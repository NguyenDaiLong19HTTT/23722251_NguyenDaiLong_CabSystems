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c73b9b75c24f16" /></Relationships>
</file>

<file path=xl/workbook.xml><?xml version="1.0" encoding="utf-8"?>
<x:workbook xmlns:x="http://schemas.openxmlformats.org/spreadsheetml/2006/main">
  <x:sheets>
    <x:sheet xmlns:r="http://schemas.openxmlformats.org/officeDocument/2006/relationships" name="Mô tả các cột" sheetId="1" r:id="R6a51653892fd4c3a"/>
    <x:sheet xmlns:r="http://schemas.openxmlformats.org/officeDocument/2006/relationships" name="Login Test Cases" sheetId="2" r:id="R58bb51830fec450b"/>
    <x:sheet xmlns:r="http://schemas.openxmlformats.org/officeDocument/2006/relationships" name="Register Test Cases" sheetId="3" r:id="Ra77b5f7f3b994183"/>
    <x:sheet xmlns:r="http://schemas.openxmlformats.org/officeDocument/2006/relationships" name="Profile Test Cases" sheetId="4" r:id="R79701820156548cd"/>
    <x:sheet xmlns:r="http://schemas.openxmlformats.org/officeDocument/2006/relationships" name="Booking Test Cases" sheetId="5" r:id="Ra4230d8e2e4b46fa"/>
    <x:sheet xmlns:r="http://schemas.openxmlformats.org/officeDocument/2006/relationships" name="Dispatch Test Cases" sheetId="6" r:id="R58deae1349bb4942"/>
    <x:sheet xmlns:r="http://schemas.openxmlformats.org/officeDocument/2006/relationships" name="TripStatus Test Cases" sheetId="7" r:id="R98ca99d1e3bc47dc"/>
    <x:sheet xmlns:r="http://schemas.openxmlformats.org/officeDocument/2006/relationships" name="Tracking Test Cases" sheetId="8" r:id="R7bff2e9f73704c57"/>
    <x:sheet xmlns:r="http://schemas.openxmlformats.org/officeDocument/2006/relationships" name="Payment Test Cases" sheetId="9" r:id="R55b0e71760984f7b"/>
    <x:sheet xmlns:r="http://schemas.openxmlformats.org/officeDocument/2006/relationships" name="Rating Test Cases" sheetId="10" r:id="Rfd06d6fd10b04dc5"/>
    <x:sheet xmlns:r="http://schemas.openxmlformats.org/officeDocument/2006/relationships" name="Notification Test Cases" sheetId="11" r:id="R1e9dae1958f9464d"/>
    <x:sheet xmlns:r="http://schemas.openxmlformats.org/officeDocument/2006/relationships" name="Admin Test Cases" sheetId="12" r:id="R56836b48a4754c6d"/>
    <x:sheet xmlns:r="http://schemas.openxmlformats.org/officeDocument/2006/relationships" name="Driver Registration Test Cases" sheetId="13" r:id="R6c135e3b043a4177"/>
    <x:sheet xmlns:r="http://schemas.openxmlformats.org/officeDocument/2006/relationships" name="Architecture Test Cases" sheetId="14" r:id="Rfac26069a13d4e21"/>
    <x:sheet xmlns:r="http://schemas.openxmlformats.org/officeDocument/2006/relationships" name="Security Test Cases" sheetId="15" r:id="R548dd7502a114365"/>
    <x:sheet xmlns:r="http://schemas.openxmlformats.org/officeDocument/2006/relationships" name="Rubric Mapping" sheetId="16" r:id="Ra360fab84298450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_ * #,##0.00_ ;_ * \-#,##0.00_ ;_ * &quot;-&quot;??_ ;_ @_ "/>
    <x:numFmt numFmtId="165" formatCode="_ * #,##0_ ;_ * \-#,##0_ ;_ * &quot;-&quot;_ ;_ @_ "/>
    <x:numFmt numFmtId="200" formatCode="0"/>
  </x:numFmts>
  <x:fonts count="24">
    <x:font>
      <x:sz val="11"/>
      <x:color theme="1"/>
      <x:name val="Calibri"/>
    </x:font>
    <x:font>
      <x:b/>
      <x:sz val="11"/>
      <x:color rgb="FFFFFFFF"/>
      <x:name val="Calibr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172B4D"/>
      <x:name val="Calibri"/>
    </x:font>
    <x:font>
      <x:sz val="11"/>
      <x:color rgb="FF172B4D"/>
      <x:name val="Calibri"/>
    </x:font>
  </x:fonts>
  <x:fills count="38">
    <x:fill>
      <x:patternFill patternType="none"/>
    </x:fill>
    <x:fill>
      <x:patternFill patternType="gray125"/>
    </x:fill>
    <x:fill>
      <x:patternFill patternType="solid">
        <x:fgColor rgb="FF1F4E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FFF8DE"/>
      </x:patternFill>
    </x:fill>
    <x:fill>
      <x:patternFill patternType="solid">
        <x:fgColor rgb="FF1F4E78"/>
      </x:patternFill>
    </x:fill>
    <x:fill>
      <x:patternFill patternType="solid">
        <x:fgColor rgb="FFFFF8DE"/>
      </x:patternFill>
    </x:fill>
  </x:fills>
  <x:borders count="10">
    <x:border/>
    <x:border>
      <x:left style="thin">
        <x:color rgb="FFB7B7B7"/>
      </x:left>
      <x:right style="thin">
        <x:color rgb="FFB7B7B7"/>
      </x:right>
      <x:top style="thin">
        <x:color rgb="FFB7B7B7"/>
      </x:top>
      <x:bottom style="thin">
        <x:color rgb="FFB7B7B7"/>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2" fillId="0" borderId="0"/>
    <x:xf numFmtId="164" fontId="2" fillId="0" borderId="0" applyAlignment="1">
      <x:alignment vertical="center"/>
    </x:xf>
    <x:xf numFmtId="44" fontId="2" fillId="0" borderId="0" applyAlignment="1">
      <x:alignment vertical="center"/>
    </x:xf>
    <x:xf numFmtId="9" fontId="2" fillId="0" borderId="0" applyAlignment="1">
      <x:alignment vertical="center"/>
    </x:xf>
    <x:xf numFmtId="165" fontId="2" fillId="0" borderId="0" applyAlignment="1">
      <x:alignment vertical="center"/>
    </x:xf>
    <x:xf numFmtId="42" fontId="2" fillId="0" borderId="0" applyAlignment="1">
      <x:alignment vertical="center"/>
    </x:xf>
    <x:xf numFmtId="0" fontId="3" fillId="0" borderId="0" applyAlignment="1">
      <x:alignment vertical="center"/>
    </x:xf>
    <x:xf numFmtId="0" fontId="4" fillId="0" borderId="0" applyAlignment="1">
      <x:alignment vertical="center"/>
    </x:xf>
    <x:xf numFmtId="0" fontId="2" fillId="3" borderId="2" applyAlignment="1">
      <x:alignment vertical="center"/>
    </x:xf>
    <x:xf numFmtId="0" fontId="5" fillId="0" borderId="0" applyAlignment="1">
      <x:alignment vertical="center"/>
    </x:xf>
    <x:xf numFmtId="0" fontId="6" fillId="0" borderId="0" applyAlignment="1">
      <x:alignment vertical="center"/>
    </x:xf>
    <x:xf numFmtId="0" fontId="7" fillId="0" borderId="0" applyAlignment="1">
      <x:alignment vertical="center"/>
    </x:xf>
    <x:xf numFmtId="0" fontId="8" fillId="0" borderId="3" applyAlignment="1">
      <x:alignment vertical="center"/>
    </x:xf>
    <x:xf numFmtId="0" fontId="9" fillId="0" borderId="3" applyAlignment="1">
      <x:alignment vertical="center"/>
    </x:xf>
    <x:xf numFmtId="0" fontId="10" fillId="0" borderId="4" applyAlignment="1">
      <x:alignment vertical="center"/>
    </x:xf>
    <x:xf numFmtId="0" fontId="10" fillId="0" borderId="0" applyAlignment="1">
      <x:alignment vertical="center"/>
    </x:xf>
    <x:xf numFmtId="0" fontId="11" fillId="4" borderId="5" applyAlignment="1">
      <x:alignment vertical="center"/>
    </x:xf>
    <x:xf numFmtId="0" fontId="12" fillId="5" borderId="6" applyAlignment="1">
      <x:alignment vertical="center"/>
    </x:xf>
    <x:xf numFmtId="0" fontId="13" fillId="5" borderId="5" applyAlignment="1">
      <x:alignment vertical="center"/>
    </x:xf>
    <x:xf numFmtId="0" fontId="14" fillId="6" borderId="7" applyAlignment="1">
      <x:alignment vertical="center"/>
    </x:xf>
    <x:xf numFmtId="0" fontId="15" fillId="0" borderId="8" applyAlignment="1">
      <x:alignment vertical="center"/>
    </x:xf>
    <x:xf numFmtId="0" fontId="16" fillId="0" borderId="9" applyAlignment="1">
      <x:alignment vertical="center"/>
    </x:xf>
    <x:xf numFmtId="0" fontId="17" fillId="7" borderId="0" applyAlignment="1">
      <x:alignment vertical="center"/>
    </x:xf>
    <x:xf numFmtId="0" fontId="18" fillId="8" borderId="0" applyAlignment="1">
      <x:alignment vertical="center"/>
    </x:xf>
    <x:xf numFmtId="0" fontId="19" fillId="9" borderId="0" applyAlignment="1">
      <x:alignment vertical="center"/>
    </x:xf>
    <x:xf numFmtId="0" fontId="20" fillId="10" borderId="0" applyAlignment="1">
      <x:alignment vertical="center"/>
    </x:xf>
    <x:xf numFmtId="0" fontId="21" fillId="11" borderId="0" applyAlignment="1">
      <x:alignment vertical="center"/>
    </x:xf>
    <x:xf numFmtId="0" fontId="21" fillId="12" borderId="0" applyAlignment="1">
      <x:alignment vertical="center"/>
    </x:xf>
    <x:xf numFmtId="0" fontId="20" fillId="13" borderId="0" applyAlignment="1">
      <x:alignment vertical="center"/>
    </x:xf>
    <x:xf numFmtId="0" fontId="20" fillId="14" borderId="0" applyAlignment="1">
      <x:alignment vertical="center"/>
    </x:xf>
    <x:xf numFmtId="0" fontId="21" fillId="15" borderId="0" applyAlignment="1">
      <x:alignment vertical="center"/>
    </x:xf>
    <x:xf numFmtId="0" fontId="21" fillId="16" borderId="0" applyAlignment="1">
      <x:alignment vertical="center"/>
    </x:xf>
    <x:xf numFmtId="0" fontId="20" fillId="17" borderId="0" applyAlignment="1">
      <x:alignment vertical="center"/>
    </x:xf>
    <x:xf numFmtId="0" fontId="20" fillId="18" borderId="0" applyAlignment="1">
      <x:alignment vertical="center"/>
    </x:xf>
    <x:xf numFmtId="0" fontId="21" fillId="19" borderId="0" applyAlignment="1">
      <x:alignment vertical="center"/>
    </x:xf>
    <x:xf numFmtId="0" fontId="21" fillId="20" borderId="0" applyAlignment="1">
      <x:alignment vertical="center"/>
    </x:xf>
    <x:xf numFmtId="0" fontId="20" fillId="21" borderId="0" applyAlignment="1">
      <x:alignment vertical="center"/>
    </x:xf>
    <x:xf numFmtId="0" fontId="20" fillId="22" borderId="0" applyAlignment="1">
      <x:alignment vertical="center"/>
    </x:xf>
    <x:xf numFmtId="0" fontId="21" fillId="23" borderId="0" applyAlignment="1">
      <x:alignment vertical="center"/>
    </x:xf>
    <x:xf numFmtId="0" fontId="21" fillId="24" borderId="0" applyAlignment="1">
      <x:alignment vertical="center"/>
    </x:xf>
    <x:xf numFmtId="0" fontId="20" fillId="25" borderId="0" applyAlignment="1">
      <x:alignment vertical="center"/>
    </x:xf>
    <x:xf numFmtId="0" fontId="20" fillId="26" borderId="0" applyAlignment="1">
      <x:alignment vertical="center"/>
    </x:xf>
    <x:xf numFmtId="0" fontId="21" fillId="27" borderId="0" applyAlignment="1">
      <x:alignment vertical="center"/>
    </x:xf>
    <x:xf numFmtId="0" fontId="21" fillId="28" borderId="0" applyAlignment="1">
      <x:alignment vertical="center"/>
    </x:xf>
    <x:xf numFmtId="0" fontId="20" fillId="29" borderId="0" applyAlignment="1">
      <x:alignment vertical="center"/>
    </x:xf>
    <x:xf numFmtId="0" fontId="20" fillId="30" borderId="0" applyAlignment="1">
      <x:alignment vertical="center"/>
    </x:xf>
    <x:xf numFmtId="0" fontId="21" fillId="31" borderId="0" applyAlignment="1">
      <x:alignment vertical="center"/>
    </x:xf>
    <x:xf numFmtId="0" fontId="21" fillId="32" borderId="0" applyAlignment="1">
      <x:alignment vertical="center"/>
    </x:xf>
    <x:xf numFmtId="0" fontId="20" fillId="33" borderId="0" applyAlignment="1">
      <x:alignment vertical="center"/>
    </x:xf>
  </x:cellStyleXfs>
  <x:cellXfs count="35">
    <x:xf numFmtId="0" fontId="0" fillId="0" borderId="0" xfId="0"/>
    <x:xf numFmtId="0" fontId="1" fillId="2" borderId="1" xfId="0" applyAlignment="1">
      <x:alignment horizontal="center" vertical="center" wrapText="1"/>
    </x:xf>
    <x:xf numFmtId="0" fontId="0" fillId="0" borderId="1" xfId="0" applyAlignment="1">
      <x:alignment vertical="top" wrapText="1"/>
    </x:xf>
    <x:xf numFmtId="0" fontId="2" fillId="0" borderId="1" xfId="0" applyAlignment="1">
      <x:alignment vertical="top"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2" fillId="2" borderId="1" xfId="0" applyNumberFormat="1" applyFont="1" applyFill="1" applyBorder="1" applyAlignment="1">
      <x:alignment horizontal="center" vertical="center" wrapText="1"/>
    </x:xf>
    <x:xf numFmtId="0" fontId="23" fillId="0" borderId="0" xfId="0" applyNumberFormat="1" applyFont="1" applyFill="1" applyBorder="1"/>
    <x:xf numFmtId="0" fontId="23" fillId="0" borderId="1" xfId="0" applyNumberFormat="1" applyFont="1" applyFill="1" applyBorder="1" applyAlignment="1">
      <x:alignment vertical="top" wrapText="1"/>
    </x:xf>
    <x:xf numFmtId="0" fontId="23" fillId="0" borderId="0" xfId="0" applyNumberFormat="1" applyFont="1" applyFill="1" applyBorder="1" applyAlignment="1">
      <x:alignment wrapText="1"/>
    </x:xf>
    <x:xf numFmtId="0" fontId="22" fillId="2" borderId="1" xfId="0" applyNumberFormat="1" applyFont="1" applyFill="1" applyBorder="1" applyAlignment="1">
      <x:alignment horizontal="center" vertical="top" wrapText="1"/>
    </x:xf>
    <x:xf numFmtId="0" fontId="23" fillId="0" borderId="0" xfId="0" applyNumberFormat="1" applyFont="1" applyFill="1" applyBorder="1" applyAlignment="1">
      <x:alignment vertical="top" wrapText="1"/>
    </x:xf>
    <x:xf numFmtId="0" fontId="22" fillId="34" borderId="1" xfId="0" applyNumberFormat="1" applyFont="1" applyFill="1" applyBorder="1" applyAlignment="1">
      <x:alignment horizontal="center" vertical="top" wrapText="1"/>
    </x:xf>
    <x:xf numFmtId="0" fontId="23" fillId="34" borderId="0" xfId="0" applyNumberFormat="1" applyFont="1" applyFill="1" applyBorder="1" applyAlignment="1">
      <x:alignment vertical="top" wrapText="1"/>
    </x:xf>
    <x:xf numFmtId="0" fontId="1" fillId="34" borderId="1" xfId="0" applyNumberFormat="1" applyFont="1" applyFill="1" applyBorder="1" applyAlignment="1">
      <x:alignment horizontal="center" vertical="top" wrapText="1"/>
    </x:xf>
    <x:xf numFmtId="0" fontId="1" fillId="34" borderId="0" xfId="0" applyNumberFormat="1" applyFont="1" applyFill="1" applyBorder="1" applyAlignment="1">
      <x:alignment vertical="top" wrapText="1"/>
    </x:xf>
    <x:xf numFmtId="0" fontId="1" fillId="34" borderId="0" xfId="0" applyNumberFormat="1" applyFont="1" applyFill="1" applyBorder="1" applyAlignment="1">
      <x:alignment horizontal="center" vertical="top" wrapText="1"/>
    </x:xf>
    <x:xf numFmtId="0" fontId="1" fillId="34" borderId="1" xfId="0" applyNumberFormat="1" applyFont="1" applyFill="1" applyBorder="1" applyAlignment="1">
      <x:alignment horizontal="center" vertical="center" wrapText="1"/>
    </x:xf>
    <x:xf numFmtId="0" fontId="1" fillId="34" borderId="0" xfId="0" applyNumberFormat="1" applyFont="1" applyFill="1" applyBorder="1" applyAlignment="1">
      <x:alignment horizontal="center" vertical="center" wrapText="1"/>
    </x:xf>
    <x:xf numFmtId="0" fontId="23" fillId="35" borderId="0" xfId="0" applyNumberFormat="1" applyFont="1" applyFill="1" applyBorder="1" applyAlignment="1">
      <x:alignment vertical="top" wrapText="1"/>
    </x:xf>
    <x:xf numFmtId="0" fontId="22" fillId="2" borderId="0" xfId="0" applyNumberFormat="1" applyFont="1" applyFill="1" applyBorder="1" applyAlignment="1">
      <x:alignment horizontal="center" vertical="center" wrapText="1"/>
    </x:xf>
    <x:xf numFmtId="0" fontId="22" fillId="2" borderId="0" xfId="0" applyNumberFormat="1" applyFont="1" applyFill="1" applyBorder="1" applyAlignment="1">
      <x:alignment horizontal="center" vertical="top" wrapText="1"/>
    </x:xf>
    <x:xf numFmtId="0" fontId="22" fillId="36" borderId="1" xfId="0" applyNumberFormat="1" applyFont="1" applyFill="1" applyBorder="1" applyAlignment="1">
      <x:alignment horizontal="center" vertical="top" wrapText="1"/>
    </x:xf>
    <x:xf numFmtId="0" fontId="22" fillId="36" borderId="0" xfId="0" applyNumberFormat="1" applyFont="1" applyFill="1" applyBorder="1" applyAlignment="1">
      <x:alignment horizontal="center" vertical="top" wrapText="1"/>
    </x:xf>
    <x:xf numFmtId="0" fontId="23" fillId="36" borderId="0" xfId="0" applyNumberFormat="1" applyFont="1" applyFill="1" applyBorder="1" applyAlignment="1">
      <x:alignment vertical="top" wrapText="1"/>
    </x:xf>
    <x:xf numFmtId="0" fontId="1" fillId="36" borderId="1" xfId="0" applyNumberFormat="1" applyFont="1" applyFill="1" applyBorder="1" applyAlignment="1">
      <x:alignment horizontal="center" vertical="top" wrapText="1"/>
    </x:xf>
    <x:xf numFmtId="0" fontId="1" fillId="36" borderId="0" xfId="0" applyNumberFormat="1" applyFont="1" applyFill="1" applyBorder="1" applyAlignment="1">
      <x:alignment horizontal="center" vertical="top" wrapText="1"/>
    </x:xf>
    <x:xf numFmtId="0" fontId="1" fillId="36" borderId="0" xfId="0" applyNumberFormat="1" applyFont="1" applyFill="1" applyBorder="1" applyAlignment="1">
      <x:alignment vertical="top" wrapText="1"/>
    </x:xf>
    <x:xf numFmtId="0" fontId="1" fillId="36" borderId="1" xfId="0" applyNumberFormat="1" applyFont="1" applyFill="1" applyBorder="1" applyAlignment="1">
      <x:alignment horizontal="center" vertical="center" wrapText="1"/>
    </x:xf>
    <x:xf numFmtId="0" fontId="1" fillId="36" borderId="0" xfId="0" applyNumberFormat="1" applyFont="1" applyFill="1" applyBorder="1" applyAlignment="1">
      <x:alignment horizontal="center" vertical="center" wrapText="1"/>
    </x:xf>
    <x:xf numFmtId="0" fontId="23" fillId="37" borderId="0" xfId="0" applyNumberFormat="1" applyFont="1" applyFill="1" applyBorder="1" applyAlignment="1">
      <x:alignment vertical="top" wrapText="1"/>
    </x:xf>
    <x:xf numFmtId="200" fontId="23" fillId="0" borderId="0" xfId="0" applyNumberFormat="1" applyFont="1" applyFill="1" applyBorder="1" applyAlignment="1">
      <x:alignment vertical="top"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C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103">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7A4B00"/>
      </x:font>
      <x:fill>
        <x:patternFill>
          <x:bgColor rgb="FFFFF0C2"/>
        </x:patternFill>
      </x:fill>
    </x:dxf>
    <x:dxf>
      <x:font>
        <x:color rgb="FF9C2020"/>
      </x:font>
      <x:fill>
        <x:patternFill>
          <x:bgColor rgb="FFFCE8E6"/>
        </x:patternFill>
      </x:fill>
    </x:dxf>
    <x:dxf>
      <x:font>
        <x:color rgb="FF7A4B00"/>
      </x:font>
      <x:fill>
        <x:patternFill>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
      <x:font>
        <x:color rgb="FF574A32"/>
      </x:font>
      <x:fill>
        <x:patternFill patternType="solid">
          <x:bgColor rgb="FFFFF0C2"/>
        </x:patternFill>
      </x:fill>
    </x:dxf>
    <x:dxf>
      <x:font>
        <x:color rgb="FF574A32"/>
      </x:font>
      <x:fill>
        <x:patternFill patternType="solid">
          <x:bgColor rgb="FFEDEFF2"/>
        </x:patternFill>
      </x:fill>
    </x:dxf>
    <x:dxf>
      <x:font>
        <x:color rgb="FF574A32"/>
      </x:font>
      <x:fill>
        <x:patternFill patternType="solid">
          <x:bgColor rgb="FFEDEFF2"/>
        </x:patternFill>
      </x:fill>
    </x:dxf>
    <x:dxf>
      <x:font>
        <x:color rgb="FF9C2020"/>
      </x:font>
      <x:fill>
        <x:patternFill patternType="solid">
          <x:bgColor rgb="FFFCE8E6"/>
        </x:patternFill>
      </x:fill>
    </x:dxf>
    <x:dxf>
      <x:font>
        <x:color rgb="FF7A4B00"/>
      </x:font>
      <x:fill>
        <x:patternFill patternType="solid">
          <x:bgColor rgb="FFFFF0C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73f3a9766264599" /><Relationship Type="http://schemas.openxmlformats.org/officeDocument/2006/relationships/theme" Target="/xl/theme/theme1.xml" Id="R2c1b8d638a9e41c4" /><Relationship Type="http://schemas.openxmlformats.org/officeDocument/2006/relationships/sharedStrings" Target="/xl/sharedStrings.xml" Id="R645bec70b4ef4d15" /><Relationship Type="http://schemas.openxmlformats.org/officeDocument/2006/relationships/worksheet" Target="/xl/worksheets/sheet1.xml" Id="R6a51653892fd4c3a" /><Relationship Type="http://schemas.openxmlformats.org/officeDocument/2006/relationships/worksheet" Target="/xl/worksheets/sheet2.xml" Id="R58bb51830fec450b" /><Relationship Type="http://schemas.openxmlformats.org/officeDocument/2006/relationships/worksheet" Target="/xl/worksheets/sheet3.xml" Id="Ra77b5f7f3b994183" /><Relationship Type="http://schemas.openxmlformats.org/officeDocument/2006/relationships/worksheet" Target="/xl/worksheets/sheet4.xml" Id="R79701820156548cd" /><Relationship Type="http://schemas.openxmlformats.org/officeDocument/2006/relationships/worksheet" Target="/xl/worksheets/sheet5.xml" Id="Ra4230d8e2e4b46fa" /><Relationship Type="http://schemas.openxmlformats.org/officeDocument/2006/relationships/worksheet" Target="/xl/worksheets/sheet6.xml" Id="R58deae1349bb4942" /><Relationship Type="http://schemas.openxmlformats.org/officeDocument/2006/relationships/worksheet" Target="/xl/worksheets/sheet7.xml" Id="R98ca99d1e3bc47dc" /><Relationship Type="http://schemas.openxmlformats.org/officeDocument/2006/relationships/worksheet" Target="/xl/worksheets/sheet8.xml" Id="R7bff2e9f73704c57" /><Relationship Type="http://schemas.openxmlformats.org/officeDocument/2006/relationships/worksheet" Target="/xl/worksheets/sheet9.xml" Id="R55b0e71760984f7b" /><Relationship Type="http://schemas.openxmlformats.org/officeDocument/2006/relationships/worksheet" Target="/xl/worksheets/sheet10.xml" Id="Rfd06d6fd10b04dc5" /><Relationship Type="http://schemas.openxmlformats.org/officeDocument/2006/relationships/worksheet" Target="/xl/worksheets/sheet11.xml" Id="R1e9dae1958f9464d" /><Relationship Type="http://schemas.openxmlformats.org/officeDocument/2006/relationships/worksheet" Target="/xl/worksheets/sheet12.xml" Id="R56836b48a4754c6d" /><Relationship Type="http://schemas.openxmlformats.org/officeDocument/2006/relationships/worksheet" Target="/xl/worksheets/sheet13.xml" Id="R6c135e3b043a4177" /><Relationship Type="http://schemas.openxmlformats.org/officeDocument/2006/relationships/worksheet" Target="/xl/worksheets/sheet14.xml" Id="Rfac26069a13d4e21" /><Relationship Type="http://schemas.openxmlformats.org/officeDocument/2006/relationships/worksheet" Target="/xl/worksheets/sheet15.xml" Id="R548dd7502a114365" /><Relationship Type="http://schemas.openxmlformats.org/officeDocument/2006/relationships/worksheet" Target="/xl/worksheets/sheet16.xml" Id="Ra360fab842984503" /></Relationships>
</file>

<file path=xl/tables/table1.xml><?xml version="1.0" encoding="utf-8"?>
<x:table xmlns:x="http://schemas.openxmlformats.org/spreadsheetml/2006/main" id="1" name="CabTests0" displayName="CabTests0" ref="A1:Q26" headerRowCount="1" totalsRowCount="0" totalsRowShown="0">
  <x:autoFilter ref="A1:Q26"/>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2.xml><?xml version="1.0" encoding="utf-8"?>
<x:table xmlns:x="http://schemas.openxmlformats.org/spreadsheetml/2006/main" id="2" name="CabTests1" displayName="CabTests1" ref="A1:Q24" headerRowCount="1" totalsRowCount="0" totalsRowShown="0">
  <x:autoFilter ref="A1:Q24"/>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3.xml><?xml version="1.0" encoding="utf-8"?>
<x:table xmlns:x="http://schemas.openxmlformats.org/spreadsheetml/2006/main" id="3" name="CabTests2" displayName="CabTests2" ref="A1:Q29" headerRowCount="1" totalsRowCount="0" totalsRowShown="0">
  <x:autoFilter ref="A1:Q29"/>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4.xml><?xml version="1.0" encoding="utf-8"?>
<x:table xmlns:x="http://schemas.openxmlformats.org/spreadsheetml/2006/main" id="4" name="CabTests3" displayName="CabTests3" ref="A1:Q31" headerRowCount="1" totalsRowCount="0" totalsRowShown="0">
  <x:autoFilter ref="A1:Q31"/>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5.xml><?xml version="1.0" encoding="utf-8"?>
<x:table xmlns:x="http://schemas.openxmlformats.org/spreadsheetml/2006/main" id="5" name="CabTests4" displayName="CabTests4" ref="A1:Q34" headerRowCount="1" totalsRowCount="0" totalsRowShown="0">
  <x:autoFilter ref="A1:Q34"/>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6.xml><?xml version="1.0" encoding="utf-8"?>
<x:table xmlns:x="http://schemas.openxmlformats.org/spreadsheetml/2006/main" id="6" name="CabTests5" displayName="CabTests5" ref="A1:Q31" headerRowCount="1" totalsRowCount="0" totalsRowShown="0">
  <x:autoFilter ref="A1:Q31"/>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7.xml><?xml version="1.0" encoding="utf-8"?>
<x:table xmlns:x="http://schemas.openxmlformats.org/spreadsheetml/2006/main" id="7" name="CabTests6" displayName="CabTests6" ref="A1:Q29" headerRowCount="1" totalsRowCount="0" totalsRowShown="0">
  <x:autoFilter ref="A1:Q29"/>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8.xml><?xml version="1.0" encoding="utf-8"?>
<x:table xmlns:x="http://schemas.openxmlformats.org/spreadsheetml/2006/main" id="8" name="CabTests7" displayName="CabTests7" ref="A1:Q38" headerRowCount="1" totalsRowCount="0" totalsRowShown="0">
  <x:autoFilter ref="A1:Q38"/>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9.xml><?xml version="1.0" encoding="utf-8"?>
<x:table xmlns:x="http://schemas.openxmlformats.org/spreadsheetml/2006/main" id="9" name="CabTests8" displayName="CabTests8" ref="A1:Q33" headerRowCount="1" totalsRowCount="0" totalsRowShown="0">
  <x:autoFilter ref="A1:Q33"/>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10.xml><?xml version="1.0" encoding="utf-8"?>
<x:table xmlns:x="http://schemas.openxmlformats.org/spreadsheetml/2006/main" id="10" name="CabTests9" displayName="CabTests9" ref="A1:Q35" headerRowCount="1" totalsRowCount="0" totalsRowShown="0">
  <x:autoFilter ref="A1:Q35"/>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11.xml><?xml version="1.0" encoding="utf-8"?>
<x:table xmlns:x="http://schemas.openxmlformats.org/spreadsheetml/2006/main" id="11" name="CabTests10" displayName="CabTests10" ref="A1:Q33" headerRowCount="1" totalsRowCount="0" totalsRowShown="0">
  <x:autoFilter ref="A1:Q33"/>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12.xml><?xml version="1.0" encoding="utf-8"?>
<x:table xmlns:x="http://schemas.openxmlformats.org/spreadsheetml/2006/main" id="12" name="CabTests11" displayName="CabTests11" ref="A1:Q31" headerRowCount="1" totalsRowCount="0" totalsRowShown="0">
  <x:autoFilter ref="A1:Q31"/>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13.xml><?xml version="1.0" encoding="utf-8"?>
<x:table xmlns:x="http://schemas.openxmlformats.org/spreadsheetml/2006/main" id="13" name="CabTests12" displayName="CabTests12" ref="A1:Q18" headerRowCount="1" totalsRowCount="0" totalsRowShown="0">
  <x:autoFilter ref="A1:Q18"/>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14.xml><?xml version="1.0" encoding="utf-8"?>
<x:table xmlns:x="http://schemas.openxmlformats.org/spreadsheetml/2006/main" id="14" name="CabTests13" displayName="CabTests13" ref="A1:Q20" headerRowCount="1" totalsRowCount="0" totalsRowShown="0">
  <x:autoFilter ref="A1:Q20"/>
  <x:tableColumns count="17">
    <x:tableColumn id="1" name="Test Case ID"/>
    <x:tableColumn id="2" name="Test Scenario"/>
    <x:tableColumn id="3" name="Test Case"/>
    <x:tableColumn id="4" name="Preconditions"/>
    <x:tableColumn id="5" name="Test Steps"/>
    <x:tableColumn id="6" name="Test Data"/>
    <x:tableColumn id="7" name="Expected Result"/>
    <x:tableColumn id="8" name="Priority"/>
    <x:tableColumn id="9" name="Requirement ID"/>
    <x:tableColumn id="10" name="API / Operation"/>
    <x:tableColumn id="11" name="Test Level"/>
    <x:tableColumn id="12" name="Design Status"/>
    <x:tableColumn id="13" name="Actual Result"/>
    <x:tableColumn id="14" name="Execution Status"/>
    <x:tableColumn id="15" name="Evidence / Notes"/>
    <x:tableColumn id="16" name="Rubric ID"/>
    <x:tableColumn id="17" name="Required Evidence"/>
  </x:tableColumns>
  <x:tableStyleInfo name="TableStyleMedium2" showFirstColumn="0" showLastColumn="0" showRowStripes="1" showColumnStripes="0"/>
</x:table>
</file>

<file path=xl/tables/table15.xml><?xml version="1.0" encoding="utf-8"?>
<x:table xmlns:x="http://schemas.openxmlformats.org/spreadsheetml/2006/main" id="15" name="CabRubricMapping" displayName="CabRubricMapping" ref="A1:N31" headerRowCount="1" totalsRowCount="0" totalsRowShown="0">
  <x:autoFilter ref="A1:N31"/>
  <x:tableColumns count="14">
    <x:tableColumn id="1" name="Rubric ID"/>
    <x:tableColumn id="2" name="Tiêu chí (tóm tắt)"/>
    <x:tableColumn id="3" name="Ca chính"/>
    <x:tableColumn id="4" name="Ca áp dụng"/>
    <x:tableColumn id="5" name="Đủ thiết kế"/>
    <x:tableColumn id="6" name="Cần chốt"/>
    <x:tableColumn id="7" name="PASS"/>
    <x:tableColumn id="8" name="FAIL"/>
    <x:tableColumn id="9" name="BLOCKED"/>
    <x:tableColumn id="10" name="NOT_RUN"/>
    <x:tableColumn id="11" name="Theo dõi ca liên kết"/>
    <x:tableColumn id="12" name="Minh chứng cần có"/>
    <x:tableColumn id="13" name="Minh chứng thực tế"/>
    <x:tableColumn id="14" name="Đánh giá tiêu chí"/>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7eb769b62c4ff4" /></Relationships>
</file>

<file path=xl/worksheets/_rels/sheet3.xml.rels>&#65279;<?xml version="1.0" encoding="utf-8"?><Relationships xmlns="http://schemas.openxmlformats.org/package/2006/relationships"><Relationship Type="http://schemas.openxmlformats.org/officeDocument/2006/relationships/table" Target="/xl/tables/table2.xml" Id="R5297189a023749d1" /></Relationships>
</file>

<file path=xl/worksheets/_rels/sheet4.xml.rels>&#65279;<?xml version="1.0" encoding="utf-8"?><Relationships xmlns="http://schemas.openxmlformats.org/package/2006/relationships"><Relationship Type="http://schemas.openxmlformats.org/officeDocument/2006/relationships/table" Target="/xl/tables/table3.xml" Id="R7dfae70eb3564095" /></Relationships>
</file>

<file path=xl/worksheets/_rels/sheet5.xml.rels>&#65279;<?xml version="1.0" encoding="utf-8"?><Relationships xmlns="http://schemas.openxmlformats.org/package/2006/relationships"><Relationship Type="http://schemas.openxmlformats.org/officeDocument/2006/relationships/table" Target="/xl/tables/table4.xml" Id="R95b7745a3ffc4429" /></Relationships>
</file>

<file path=xl/worksheets/_rels/sheet6.xml.rels>&#65279;<?xml version="1.0" encoding="utf-8"?><Relationships xmlns="http://schemas.openxmlformats.org/package/2006/relationships"><Relationship Type="http://schemas.openxmlformats.org/officeDocument/2006/relationships/table" Target="/xl/tables/table5.xml" Id="R8032c1619a9d434f" /></Relationships>
</file>

<file path=xl/worksheets/_rels/sheet7.xml.rels>&#65279;<?xml version="1.0" encoding="utf-8"?><Relationships xmlns="http://schemas.openxmlformats.org/package/2006/relationships"><Relationship Type="http://schemas.openxmlformats.org/officeDocument/2006/relationships/table" Target="/xl/tables/table6.xml" Id="R043a15c7ddee46ff" /></Relationships>
</file>

<file path=xl/worksheets/_rels/sheet8.xml.rels>&#65279;<?xml version="1.0" encoding="utf-8"?><Relationships xmlns="http://schemas.openxmlformats.org/package/2006/relationships"><Relationship Type="http://schemas.openxmlformats.org/officeDocument/2006/relationships/table" Target="/xl/tables/table7.xml" Id="R63a4c634d7cc4fc2" /></Relationships>
</file>

<file path=xl/worksheets/_rels/sheet9.xml.rels>&#65279;<?xml version="1.0" encoding="utf-8"?><Relationships xmlns="http://schemas.openxmlformats.org/package/2006/relationships"><Relationship Type="http://schemas.openxmlformats.org/officeDocument/2006/relationships/table" Target="/xl/tables/table8.xml" Id="Rdf4a9599713d42ba" /></Relationships>
</file>

<file path=xl/worksheets/_rels/sheet10.xml.rels>&#65279;<?xml version="1.0" encoding="utf-8"?><Relationships xmlns="http://schemas.openxmlformats.org/package/2006/relationships"><Relationship Type="http://schemas.openxmlformats.org/officeDocument/2006/relationships/table" Target="/xl/tables/table9.xml" Id="R6b435d400cfa45b3" /></Relationships>
</file>

<file path=xl/worksheets/_rels/sheet11.xml.rels>&#65279;<?xml version="1.0" encoding="utf-8"?><Relationships xmlns="http://schemas.openxmlformats.org/package/2006/relationships"><Relationship Type="http://schemas.openxmlformats.org/officeDocument/2006/relationships/table" Target="/xl/tables/table10.xml" Id="Rdcdcd545e50341bc" /></Relationships>
</file>

<file path=xl/worksheets/_rels/sheet12.xml.rels>&#65279;<?xml version="1.0" encoding="utf-8"?><Relationships xmlns="http://schemas.openxmlformats.org/package/2006/relationships"><Relationship Type="http://schemas.openxmlformats.org/officeDocument/2006/relationships/table" Target="/xl/tables/table11.xml" Id="Ra53cf274cc71499b" /></Relationships>
</file>

<file path=xl/worksheets/_rels/sheet13.xml.rels>&#65279;<?xml version="1.0" encoding="utf-8"?><Relationships xmlns="http://schemas.openxmlformats.org/package/2006/relationships"><Relationship Type="http://schemas.openxmlformats.org/officeDocument/2006/relationships/table" Target="/xl/tables/table12.xml" Id="R0cdcd16155034044" /></Relationships>
</file>

<file path=xl/worksheets/_rels/sheet14.xml.rels>&#65279;<?xml version="1.0" encoding="utf-8"?><Relationships xmlns="http://schemas.openxmlformats.org/package/2006/relationships"><Relationship Type="http://schemas.openxmlformats.org/officeDocument/2006/relationships/table" Target="/xl/tables/table13.xml" Id="Ra6375e9dc7fb442c" /></Relationships>
</file>

<file path=xl/worksheets/_rels/sheet15.xml.rels>&#65279;<?xml version="1.0" encoding="utf-8"?><Relationships xmlns="http://schemas.openxmlformats.org/package/2006/relationships"><Relationship Type="http://schemas.openxmlformats.org/officeDocument/2006/relationships/table" Target="/xl/tables/table14.xml" Id="Re77d100c4c6544f4" /></Relationships>
</file>

<file path=xl/worksheets/_rels/sheet16.xml.rels>&#65279;<?xml version="1.0" encoding="utf-8"?><Relationships xmlns="http://schemas.openxmlformats.org/package/2006/relationships"><Relationship Type="http://schemas.openxmlformats.org/officeDocument/2006/relationships/table" Target="/xl/tables/table15.xml" Id="Rccb89a774f6a416e" /></Relationships>
</file>

<file path=xl/worksheets/sheet1.xml><?xml version="1.0" encoding="utf-8"?>
<x:worksheet xmlns:x="http://schemas.openxmlformats.org/spreadsheetml/2006/main">
  <x:sheetFormatPr baseColWidth="8" defaultColWidth="9.142857551574707" defaultRowHeight="15"/>
  <x:cols>
    <x:col min="1" max="1" width="23" hidden="0" customWidth="1"/>
    <x:col min="2" max="2" width="28" hidden="0" customWidth="1"/>
    <x:col min="3" max="3" width="82" hidden="0" customWidth="1"/>
    <x:col min="4" max="4" width="65" hidden="0" customWidth="1"/>
  </x:cols>
  <x:sheetData>
    <x:row r="1" ht="34" customHeight="1">
      <x:c r="A1" s="28" t="str">
        <x:v>Cột / nội dung</x:v>
      </x:c>
      <x:c r="B1" s="28" t="str">
        <x:v>Ý nghĩa</x:v>
      </x:c>
      <x:c r="C1" s="28" t="str">
        <x:v>Quy tắc sử dụng</x:v>
      </x:c>
      <x:c r="D1" s="28" t="str">
        <x:v>Ví dụ / nguồn</x:v>
      </x:c>
    </x:row>
    <x:row r="2" ht="100" customHeight="1">
      <x:c r="A2" s="11" t="str">
        <x:v>Test Case ID</x:v>
      </x:c>
      <x:c r="B2" s="11" t="str">
        <x:v>Mã ổn định</x:v>
      </x:c>
      <x:c r="C2" s="11" t="str">
        <x:v>Giữ toàn bộ 280 mã cũ. Mã mới nối tiếp từng nhóm; DREG/ARCH/SEC là nhóm mới.</x:v>
      </x:c>
      <x:c r="D2" s="11" t="str">
        <x:v>Không đổi mã để che lịch sử thay đổi.</x:v>
      </x:c>
    </x:row>
    <x:row r="3" ht="100" customHeight="1">
      <x:c r="A3" s="11" t="str">
        <x:v>Test Scenario / Test Case</x:v>
      </x:c>
      <x:c r="B3" s="11" t="str">
        <x:v>Nhóm và mục tiêu</x:v>
      </x:c>
      <x:c r="C3" s="11" t="str">
        <x:v>Mỗi ca có mục tiêu, fixture, thao tác và kết quả có thể kiểm chứng.</x:v>
      </x:c>
      <x:c r="D3" s="11" t="str">
        <x:v>Một case tham số hóa phải chạy đủ mọi lượt.</x:v>
      </x:c>
    </x:row>
    <x:row r="4" ht="100" customHeight="1">
      <x:c r="A4" s="11" t="str">
        <x:v>Preconditions</x:v>
      </x:c>
      <x:c r="B4" s="11" t="str">
        <x:v>Điều kiện ban đầu</x:v>
      </x:c>
      <x:c r="C4" s="11" t="str">
        <x:v>Chuẩn bị dữ liệu độc lập. Reset fixture giữa các ca và lượt dữ liệu.</x:v>
      </x:c>
      <x:c r="D4" s="11" t="str">
        <x:v>C1/C2 Customer; D1/D2 Driver; O1 Operator.</x:v>
      </x:c>
    </x:row>
    <x:row r="5" ht="100" customHeight="1">
      <x:c r="A5" s="11" t="str">
        <x:v>Test Steps / Test Data</x:v>
      </x:c>
      <x:c r="B5" s="11" t="str">
        <x:v>Các bước và dữ liệu giả</x:v>
      </x:c>
      <x:c r="C5" s="11" t="str">
        <x:v>Đường dẫn công khai có tiền tố /v1, trừ /health, /ready, /health/services. Chỉ dùng dữ liệu test.</x:v>
      </x:c>
      <x:c r="D5" s="11" t="str">
        <x:v>Email example.test/example.com; ID T1/P1/B1 và biển số TEST là fixture giả.</x:v>
      </x:c>
    </x:row>
    <x:row r="6" ht="100" customHeight="1">
      <x:c r="A6" s="11" t="str">
        <x:v>Expected Result</x:v>
      </x:c>
      <x:c r="B6" s="11" t="str">
        <x:v>Kết quả kỳ vọng</x:v>
      </x:c>
      <x:c r="C6" s="11" t="str">
        <x:v>Đối chiếu HTTP, response và tác dụng phụ. Kỳ vọng không phải kết quả đã chạy.</x:v>
      </x:c>
      <x:c r="D6" s="11" t="str">
        <x:v>Không chỉ kiểm tra HTTP 200 khi cần chứng minh transaction.</x:v>
      </x:c>
    </x:row>
    <x:row r="7" ht="100" customHeight="1">
      <x:c r="A7" s="11" t="str">
        <x:v>Priority</x:v>
      </x:c>
      <x:c r="B7" s="11" t="str">
        <x:v>Mức ưu tiên</x:v>
      </x:c>
      <x:c r="C7" s="11" t="str">
        <x:v>High / Medium / Low. Không phải mức điểm rubric.</x:v>
      </x:c>
      <x:c r="D7" s="11" t="str">
        <x:v>High: quyền, transaction, chống thu trùng.</x:v>
      </x:c>
    </x:row>
    <x:row r="8" ht="100" customHeight="1">
      <x:c r="A8" s="11" t="str">
        <x:v>Requirement ID</x:v>
      </x:c>
      <x:c r="B8" s="11" t="str">
        <x:v>Liên kết thiết kế</x:v>
      </x:c>
      <x:c r="C8" s="11" t="str">
        <x:v>Mã FR/AC giữ từ bản trước hoặc tham chiếu API 1.2. Rubric liên kết ở cột P.</x:v>
      </x:c>
      <x:c r="D8" s="11" t="str">
        <x:v>SRS + API 01–08 đã đề xuất trong cuộc trao đổi.</x:v>
      </x:c>
    </x:row>
    <x:row r="9" ht="100" customHeight="1">
      <x:c r="A9" s="11" t="str">
        <x:v>API / Operation</x:v>
      </x:c>
      <x:c r="B9" s="11" t="str">
        <x:v>Thao tác</x:v>
      </x:c>
      <x:c r="C9" s="11" t="str">
        <x:v>Bao gồm HTTP công khai/nội bộ, RabbitMQ, UI hoặc review cấu hình.</x:v>
      </x:c>
      <x:c r="D9" s="11" t="str">
        <x:v>Route nội bộ không gọi qua Gateway.</x:v>
      </x:c>
    </x:row>
    <x:row r="10" ht="100" customHeight="1">
      <x:c r="A10" s="14" t="str">
        <x:v>Test Level</x:v>
      </x:c>
      <x:c r="B10" s="14" t="str">
        <x:v>Cấp kiểm thử</x:v>
      </x:c>
      <x:c r="C10" s="14" t="str">
        <x:v>API / Integration / UI / Performance / Review / Security.</x:v>
      </x:c>
      <x:c r="D10" s="14" t="str">
        <x:v>Postman không đủ chứng minh không thực thi XSS trên browser.</x:v>
      </x:c>
    </x:row>
    <x:row r="11" ht="100" customHeight="1">
      <x:c r="A11" s="14" t="str">
        <x:v>Design Status</x:v>
      </x:c>
      <x:c r="B11" s="14" t="str">
        <x:v>Trạng thái thiết kế</x:v>
      </x:c>
      <x:c r="C11" s="14" t="str">
        <x:v>DEFINED: đủ kỳ vọng. NEEDS_DECISION: thiếu hợp đồng/cấu hình cần chọn. OUT_OF_SCOPE: ngoài phạm vi. SUPERSEDED: đã có ca thay thế.</x:v>
      </x:c>
      <x:c r="D11" s="14" t="str">
        <x:v>Hai trạng thái cuối không tính vào số ca đang áp dụng.</x:v>
      </x:c>
    </x:row>
    <x:row r="12" ht="100" customHeight="1">
      <x:c r="A12" s="14" t="str">
        <x:v>Actual Result</x:v>
      </x:c>
      <x:c r="B12" s="14" t="str">
        <x:v>Kết quả thực tế</x:v>
      </x:c>
      <x:c r="C12" s="14" t="str">
        <x:v>Để trống trước khi chạy; không chép Expected Result vào đây.</x:v>
      </x:c>
      <x:c r="D12" s="14" t="str">
        <x:v>Ghi khác biệt quan sát được và đường dẫn minh chứng.</x:v>
      </x:c>
    </x:row>
    <x:row r="13" ht="100" customHeight="1">
      <x:c r="A13" s="14" t="str">
        <x:v>Execution Status</x:v>
      </x:c>
      <x:c r="B13" s="14" t="str">
        <x:v>Trạng thái chạy</x:v>
      </x:c>
      <x:c r="C13" s="14" t="str">
        <x:v>NOT_RUN / PASS / FAIL / BLOCKED. Ca có nhiều lượt chỉ PASS khi mọi lượt yêu cầu đạt.</x:v>
      </x:c>
      <x:c r="D13" s="14" t="str">
        <x:v>Tất cả ca hiện NOT_RUN; chưa có backend được kiểm thử trong lần biên soạn này.</x:v>
      </x:c>
    </x:row>
    <x:row r="14" ht="100" customHeight="1">
      <x:c r="A14" s="14" t="str">
        <x:v>Evidence / Notes</x:v>
      </x:c>
      <x:c r="B14" s="14" t="str">
        <x:v>Minh chứng và ghi chú</x:v>
      </x:c>
      <x:c r="C14" s="14" t="str">
        <x:v>Sau chạy ghi commit, môi trường, thời gian và evidence; không lưu secret.</x:v>
      </x:c>
      <x:c r="D14" s="14" t="str">
        <x:v>Không xóa ghi chú NEEDS_DECISION nếu chưa chốt provider.</x:v>
      </x:c>
    </x:row>
    <x:row r="15" ht="100" customHeight="1">
      <x:c r="A15" s="14" t="str">
        <x:v>Rubric ID</x:v>
      </x:c>
      <x:c r="B15" s="14" t="str">
        <x:v>Liên kết tiêu chí</x:v>
      </x:c>
      <x:c r="C15" s="14" t="str">
        <x:v>R01–R30. Một ca có thể hỗ trợ nhiều tiêu chí; dấu — là ca ngoài liên kết rubric trực tiếp. Liên kết là dữ liệu thiết kế: nếu thêm ca hoặc đổi tổ hợp liên kết, cần cập nhật phạm vi/tiêu chí công thức Rubric Mapping.</x:v>
      </x:c>
      <x:c r="D15" s="14" t="str">
        <x:v>Ca hỗ trợ một phần không tự chứng minh cả tiêu chí đã đạt.</x:v>
      </x:c>
    </x:row>
    <x:row r="16" ht="100" customHeight="1">
      <x:c r="A16" s="14" t="str">
        <x:v>Required Evidence</x:v>
      </x:c>
      <x:c r="B16" s="14" t="str">
        <x:v>Minh chứng cần có</x:v>
      </x:c>
      <x:c r="C16" s="14" t="str">
        <x:v>Mô tả loại bằng chứng phải thu thập, tách khỏi evidence thực tế.</x:v>
      </x:c>
      <x:c r="D16" s="14" t="str">
        <x:v>Ledger provider + DB CAB cho chống thu tiền trùng.</x:v>
      </x:c>
    </x:row>
    <x:row r="17" ht="100" customHeight="1">
      <x:c r="A17" s="14" t="str">
        <x:v>Rubric Mapping</x:v>
      </x:c>
      <x:c r="B17" s="14" t="str">
        <x:v>Bảng theo dõi 30 tiêu chí</x:v>
      </x:c>
      <x:c r="C17" s="14" t="str">
        <x:v>Cột Ca chính chỉ nêu các ca đại diện. Các bộ đếm lấy toàn bộ cột Rubric ID và loại ca không áp dụng. Đánh giá tiêu chí là quyết định riêng sau xem evidence.</x:v>
      </x:c>
      <x:c r="D17" s="14" t="str">
        <x:v>CHƯA CHẤM không phải FAIL và không tự đổi thành ĐẠT khi đếm test PASS.</x:v>
      </x:c>
    </x:row>
    <x:row r="18" ht="100" customHeight="1">
      <x:c r="A18" s="14" t="str">
        <x:v>Phiên bản</x:v>
      </x:c>
      <x:c r="B18" s="14" t="str">
        <x:v>Cập nhật theo API 1.2 và rubric</x:v>
      </x:c>
      <x:c r="C18" s="14" t="str">
        <x:v>398 ca giữ/bổ sung; 394 ca đang áp dụng; 4 ca ngoài phạm vi/đã thay thế. Tất cả NOT_RUN.</x:v>
      </x:c>
      <x:c r="D18" s="14" t="str">
        <x:v>Ngày biên soạn: 2026-09-29.</x:v>
      </x:c>
    </x:row>
    <x:row r="19" ht="100" customHeight="1">
      <x:c r="A19" s="14" t="str">
        <x:v>Nguồn workbook</x:v>
      </x:c>
      <x:c r="B19" s="14" t="str">
        <x:v>Bản Excel đã gửi trước</x:v>
      </x:c>
      <x:c r="C19" s="14" t="str">
        <x:v>Dùng bản 280 test case đã gửi trong cuộc trao đổi. Không xác nhận đây là bản mới nhất trên GitHub.</x:v>
      </x:c>
      <x:c r="D19" s="14" t="str">
        <x:v>CAB_Test_Cases_ver_1.xlsx; giữ nguyên bản nguồn.</x:v>
      </x:c>
    </x:row>
    <x:row r="20" ht="100" customHeight="1">
      <x:c r="A20" s="14" t="str">
        <x:v>Nguồn thiết kế</x:v>
      </x:c>
      <x:c r="B20" s="14" t="str">
        <x:v>Repository và bản đề xuất</x:v>
      </x:c>
      <x:c r="C20" s="14" t="str">
        <x:v>Đối chiếu các bản SRS/API/Microservice đã thảo luận; không tuyên bố đã kiểm tra commit mới.</x:v>
      </x:c>
      <x:c r="D20" s="14" t="str">
        <x:v>https://github.com/NguyenDaiLong19HTTT/23722251_NguyenDaiLong_CabSystems</x:v>
      </x:c>
    </x:row>
    <x:row r="21" ht="100" customHeight="1">
      <x:c r="A21" s="14" t="str">
        <x:v>Nguồn rubric</x:v>
      </x:c>
      <x:c r="B21" s="14" t="str">
        <x:v>Phiếu chấm project của giảng viên</x:v>
      </x:c>
      <x:c r="C21" s="14" t="str">
        <x:v>30 tiêu chí, mỗi tiêu chí 1 điểm; bảng tóm tắt để theo dõi, không thay quyết định chấm của giảng viên.</x:v>
      </x:c>
      <x:c r="D21" s="14" t="str">
        <x:v>PHIEU_CHAM_PROJECT.pdf — tài liệu người dùng cung cấp.</x:v>
      </x:c>
    </x:row>
    <x:row r="22" ht="100" customHeight="1">
      <x:c r="A22" s="14" t="str">
        <x:v>Cấu hình fixture</x:v>
      </x:c>
      <x:c r="B22" s="14" t="str">
        <x:v>Giá trị thử nghiệm</x:v>
      </x:c>
      <x:c r="C22" s="14" t="str">
        <x:v>GPS stale=30s; OTP=6 chữ số/5 phút/5 lần sai/resend60s; NO_SHOW=300s. Hạn mức 5 request/60s chỉ là fixture cho ca kiểm tra rate limit.</x:v>
      </x:c>
      <x:c r="D22" s="14" t="str">
        <x:v>Dispatch: bán kính5km; offer30s; tối đa5lượt; deadline180s theo thiết kế hiện tại.</x:v>
      </x:c>
    </x:row>
    <x:row r="23" ht="100" customHeight="1">
      <x:c r="A23" s="14" t="str">
        <x:v>Đơn vị thời gian</x:v>
      </x:c>
      <x:c r="B23" s="14" t="str">
        <x:v>Biên và đồng hồ</x:v>
      </x:c>
      <x:c r="C23" s="14" t="str">
        <x:v>GPS dùng recordedAt. Khoảng báo cáo [from,to). Thời gian có timezone. Dùng đồng hồ kiểm soát cho kiểm tra biên.</x:v>
      </x:c>
      <x:c r="D23" s="14" t="str">
        <x:v>Tại expiresAt thì token/offer đã hết hạn theo hợp đồng tương ứng.</x:v>
      </x:c>
    </x:row>
    <x:row r="24" ht="100" customHeight="1">
      <x:c r="A24" s="14" t="str">
        <x:v>Phần cần chốt</x:v>
      </x:c>
      <x:c r="B24" s="14" t="str">
        <x:v>Provider và hợp đồng</x:v>
      </x:c>
      <x:c r="C24" s="14" t="str">
        <x:v>Payment sandbox, payload/chữ ký/ACK và gửi OTP thực tế cần chọn provider. Mock chỉ chứng minh logic nội bộ.</x:v>
      </x:c>
      <x:c r="D24" s="14" t="str">
        <x:v>NEEDS_DECISION vẫn là NOT_RUN, không tự biến thành PASS hoặc BLOCKED thực thi.</x:v>
      </x:c>
    </x:row>
    <x:row r="25" ht="100" customHeight="1">
      <x:c r="A25" s="14" t="str">
        <x:v>Giới hạn đo</x:v>
      </x:c>
      <x:c r="B25" s="14" t="str">
        <x:v>Không suy diễn kết quả</x:v>
      </x:c>
      <x:c r="C25" s="14" t="str">
        <x:v>Chưa chạy API, sandbox, tải hoặc browser. Bảng kiểm thử không phải bằng chứng đã đạt rubric.</x:v>
      </x:c>
      <x:c r="D25" s="14" t="str">
        <x:v>Các công thức đếm trạng thái chỉ phản ánh dữ liệu người chạy nhập.</x:v>
      </x:c>
    </x:row>
    <x:row r="26" ht="100" customHeight="1">
      <x:c r="A26" s="14" t="str">
        <x:v>Lịch sử thay thế</x:v>
      </x:c>
      <x:c r="B26" s="14" t="str">
        <x:v>API cũ</x:v>
      </x:c>
      <x:c r="C26" s="14" t="str">
        <x:v>TC-ADMIN-007 → TC-DREG-024; TC-ADMIN-021 → TC-DREG-008. TC-ADMIN-022 đã sửa sang review Application.</x:v>
      </x:c>
      <x:c r="D26" s="14" t="str">
        <x:v>TC-RATING-016 và TC-ADMIN-013 ngoài phạm vi.</x:v>
      </x:c>
    </x:row>
    <x:row r="27" ht="100" customHeight="1">
      <x:c r="A27" s="14" t="str">
        <x:v>An toàn chạy test</x:v>
      </x:c>
      <x:c r="B27" s="14" t="str">
        <x:v>Môi trường cô lập</x:v>
      </x:c>
      <x:c r="C27" s="14" t="str">
        <x:v>Fault injection, restart, sai quyền DB và tải cao chỉ chạy trên môi trường test được phép. Không dùng dữ liệu hoặc secret thật trong workbook.</x:v>
      </x:c>
      <x:c r="D27" s="14" t="str">
        <x:v>Chưa thực hiện bất kỳ thao tác thử nghiệm hạ tầng nào khi tạo file này.</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ColWidth="9"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90" customHeight="1">
      <x:c r="A2" s="11" t="str">
        <x:v>TC-AUTH-001</x:v>
      </x:c>
      <x:c r="B2" s="11" t="str">
        <x:v>Người dùng đăng nhập</x:v>
      </x:c>
      <x:c r="C2" s="11" t="str">
        <x:v>Đăng nhập thành công bằng email</x:v>
      </x:c>
      <x:c r="D2" s="11" t="str">
        <x:v>Account C1 ACTIVE; email c1@example.com; phone +84912345678; mật khẩu thật trong fixture là Password@123.</x:v>
      </x:c>
      <x:c r="E2" s="11" t="str">
        <x:v>1. Chuẩn bị dữ liệu và trạng thái trong Preconditions.
2. Gọi POST /auth/login với Test Data.
3. Đối chiếu HTTP, nội dung phản hồi và trạng thái lưu trữ với Expected Result.</x:v>
      </x:c>
      <x:c r="F2" s="11" t="str">
        <x:v>{"emailOrPhone":"c1@example.com","password":"Password@123"}</x:v>
      </x:c>
      <x:c r="G2" s="11" t="str">
        <x:v>200; trả đúng Account, accessToken, refreshToken, tokenType, expiresIn và sessionExpiresAt; tạo Session hợp lệ.</x:v>
      </x:c>
      <x:c r="H2" s="11" t="str">
        <x:v>High</x:v>
      </x:c>
      <x:c r="I2" s="14" t="str">
        <x:v>FR01; AC01</x:v>
      </x:c>
      <x:c r="J2" s="14" t="str">
        <x:v>POST /auth/login</x:v>
      </x:c>
      <x:c r="K2" s="14" t="str">
        <x:v>API</x:v>
      </x:c>
      <x:c r="L2" s="14" t="str">
        <x:v>DEFINED</x:v>
      </x:c>
      <x:c r="M2" s="33"/>
      <x:c r="N2" s="33" t="str">
        <x:v>NOT_RUN</x:v>
      </x:c>
      <x:c r="O2" s="14" t="str">
        <x:v>Hợp đồng tham chiếu: 01-auth-customer-api.yaml. Chưa chạy kiểm thử. Đối chiếu bản API 1.2 trong cuộc trao đổi; không xác nhận trạng thái commit GitHub.</x:v>
      </x:c>
      <x:c r="P2" s="14" t="str">
        <x:v>R10</x:v>
      </x:c>
      <x:c r="Q2" s="14" t="str">
        <x:v>Request/response đã che token; dữ liệu trước/sau hoặc log kiểm tra có correlationId; môi trường, commit và thời gian chạy. Không ghi mật khẩu thật.</x:v>
      </x:c>
    </x:row>
    <x:row r="3" ht="90" customHeight="1">
      <x:c r="A3" s="11" t="str">
        <x:v>TC-AUTH-002</x:v>
      </x:c>
      <x:c r="B3" s="11" t="str">
        <x:v>Người dùng đăng nhập</x:v>
      </x:c>
      <x:c r="C3" s="11" t="str">
        <x:v>Đăng nhập với emailOrPhone không tồn tại</x:v>
      </x:c>
      <x:c r="D3" s="11" t="str">
        <x:v>Không có Account mang email unknown@example.com.</x:v>
      </x:c>
      <x:c r="E3" s="11" t="str">
        <x:v>1. Chuẩn bị dữ liệu và trạng thái trong Preconditions.
2. Gọi POST /auth/login với Test Data.
3. Đối chiếu HTTP, nội dung phản hồi và trạng thái lưu trữ với Expected Result.</x:v>
      </x:c>
      <x:c r="F3" s="11" t="str">
        <x:v>{"emailOrPhone":"unknown@example.com","password":"Password@123"}</x:v>
      </x:c>
      <x:c r="G3" s="11" t="str">
        <x:v>401; thông báo chung thông tin đăng nhập không hợp lệ; không tạo Session.</x:v>
      </x:c>
      <x:c r="H3" s="11" t="str">
        <x:v>High</x:v>
      </x:c>
      <x:c r="I3" s="14" t="str">
        <x:v>FR01; AC01</x:v>
      </x:c>
      <x:c r="J3" s="14" t="str">
        <x:v>POST /auth/login</x:v>
      </x:c>
      <x:c r="K3" s="14" t="str">
        <x:v>API</x:v>
      </x:c>
      <x:c r="L3" s="14" t="str">
        <x:v>DEFINED</x:v>
      </x:c>
      <x:c r="M3" s="33"/>
      <x:c r="N3" s="33" t="str">
        <x:v>NOT_RUN</x:v>
      </x:c>
      <x:c r="O3" s="14" t="str">
        <x:v>Hợp đồng tham chiếu: 01-auth-customer-api.yaml. Chưa chạy kiểm thử. Đối chiếu bản API 1.2 trong cuộc trao đổi; không xác nhận trạng thái commit GitHub.</x:v>
      </x:c>
      <x:c r="P3" s="14" t="str">
        <x:v>R10</x:v>
      </x:c>
      <x:c r="Q3" s="14" t="str">
        <x:v>Request/response đã che token; dữ liệu trước/sau hoặc log kiểm tra có correlationId; môi trường, commit và thời gian chạy. Không ghi mật khẩu thật.</x:v>
      </x:c>
    </x:row>
    <x:row r="4" ht="90" customHeight="1">
      <x:c r="A4" s="11" t="str">
        <x:v>TC-AUTH-003</x:v>
      </x:c>
      <x:c r="B4" s="11" t="str">
        <x:v>Người dùng đăng nhập</x:v>
      </x:c>
      <x:c r="C4" s="11" t="str">
        <x:v>Đăng nhập với password không đúng</x:v>
      </x:c>
      <x:c r="D4" s="11" t="str">
        <x:v>Account C1 ACTIVE; email c1@example.com; phone +84912345678; mật khẩu thật trong fixture là Password@123.</x:v>
      </x:c>
      <x:c r="E4" s="11" t="str">
        <x:v>1. Chuẩn bị dữ liệu và trạng thái trong Preconditions.
2. Gọi POST /auth/login với Test Data.
3. Đối chiếu HTTP, nội dung phản hồi và trạng thái lưu trữ với Expected Result.</x:v>
      </x:c>
      <x:c r="F4" s="11" t="str">
        <x:v>{"emailOrPhone":"c1@example.com","password":"Wrong@123"}</x:v>
      </x:c>
      <x:c r="G4" s="11" t="str">
        <x:v>401; không tạo Session; không tiết lộ mật khẩu hoặc hash.</x:v>
      </x:c>
      <x:c r="H4" s="11" t="str">
        <x:v>High</x:v>
      </x:c>
      <x:c r="I4" s="14" t="str">
        <x:v>FR01; AC01</x:v>
      </x:c>
      <x:c r="J4" s="14" t="str">
        <x:v>POST /auth/login</x:v>
      </x:c>
      <x:c r="K4" s="14" t="str">
        <x:v>API</x:v>
      </x:c>
      <x:c r="L4" s="14" t="str">
        <x:v>DEFINED</x:v>
      </x:c>
      <x:c r="M4" s="33"/>
      <x:c r="N4" s="33" t="str">
        <x:v>NOT_RUN</x:v>
      </x:c>
      <x:c r="O4" s="14" t="str">
        <x:v>Hợp đồng tham chiếu: 01-auth-customer-api.yaml. Chưa chạy kiểm thử. Đối chiếu bản API 1.2 trong cuộc trao đổi; không xác nhận trạng thái commit GitHub.</x:v>
      </x:c>
      <x:c r="P4" s="14" t="str">
        <x:v>R10</x:v>
      </x:c>
      <x:c r="Q4" s="14" t="str">
        <x:v>Request/response đã che token; dữ liệu trước/sau hoặc log kiểm tra có correlationId; môi trường, commit và thời gian chạy. Không ghi mật khẩu thật.</x:v>
      </x:c>
    </x:row>
    <x:row r="5" ht="90" customHeight="1">
      <x:c r="A5" s="11" t="str">
        <x:v>TC-AUTH-004</x:v>
      </x:c>
      <x:c r="B5" s="11" t="str">
        <x:v>Người dùng đăng nhập</x:v>
      </x:c>
      <x:c r="C5" s="11" t="str">
        <x:v>emailOrPhone để trống</x:v>
      </x:c>
      <x:c r="D5" s="11" t="str">
        <x:v>Đang ở màn hình Login</x:v>
      </x:c>
      <x:c r="E5" s="11" t="str">
        <x:v>1. Chuẩn bị dữ liệu và trạng thái trong Preconditions.
2. Gọi POST /auth/login với Test Data.
3. Đối chiếu HTTP, nội dung phản hồi và trạng thái lưu trữ với Expected Result.</x:v>
      </x:c>
      <x:c r="F5" s="11" t="str">
        <x:v>emailOrPhone: empty
Password: Password@123</x:v>
      </x:c>
      <x:c r="G5" s="11" t="str">
        <x:v>400; validation thất bại; không tạo Session hoặc token.</x:v>
      </x:c>
      <x:c r="H5" s="11" t="str">
        <x:v>High</x:v>
      </x:c>
      <x:c r="I5" s="14" t="str">
        <x:v>FR01; AC01</x:v>
      </x:c>
      <x:c r="J5" s="14" t="str">
        <x:v>POST /auth/login</x:v>
      </x:c>
      <x:c r="K5" s="14" t="str">
        <x:v>API</x:v>
      </x:c>
      <x:c r="L5" s="14" t="str">
        <x:v>DEFINED</x:v>
      </x:c>
      <x:c r="M5" s="33"/>
      <x:c r="N5" s="33" t="str">
        <x:v>NOT_RUN</x:v>
      </x:c>
      <x:c r="O5" s="14" t="str">
        <x:v>Hợp đồng tham chiếu: 01-auth-customer-api.yaml. Chưa chạy kiểm thử. Đối chiếu bản API 1.2 trong cuộc trao đổi; không xác nhận trạng thái commit GitHub.</x:v>
      </x:c>
      <x:c r="P5" s="14" t="str">
        <x:v>R10</x:v>
      </x:c>
      <x:c r="Q5" s="14" t="str">
        <x:v>Request/response đã che token; dữ liệu trước/sau hoặc log kiểm tra có correlationId; môi trường, commit và thời gian chạy. Không ghi mật khẩu thật.</x:v>
      </x:c>
    </x:row>
    <x:row r="6" ht="90" customHeight="1">
      <x:c r="A6" s="11" t="str">
        <x:v>TC-AUTH-005</x:v>
      </x:c>
      <x:c r="B6" s="11" t="str">
        <x:v>Người dùng đăng nhập</x:v>
      </x:c>
      <x:c r="C6" s="11" t="str">
        <x:v>Password để trống</x:v>
      </x:c>
      <x:c r="D6" s="11" t="str">
        <x:v>Đang ở màn hình Login</x:v>
      </x:c>
      <x:c r="E6" s="11" t="str">
        <x:v>1. Chuẩn bị dữ liệu và trạng thái trong Preconditions.
2. Gọi POST /auth/login với Test Data.
3. Đối chiếu HTTP, nội dung phản hồi và trạng thái lưu trữ với Expected Result.</x:v>
      </x:c>
      <x:c r="F6" s="11" t="str">
        <x:v>emailOrPhone: c1@example.com
Password: empty</x:v>
      </x:c>
      <x:c r="G6" s="11" t="str">
        <x:v>400; validation thất bại; không tạo Session hoặc token.</x:v>
      </x:c>
      <x:c r="H6" s="11" t="str">
        <x:v>High</x:v>
      </x:c>
      <x:c r="I6" s="14" t="str">
        <x:v>FR01; AC01</x:v>
      </x:c>
      <x:c r="J6" s="14" t="str">
        <x:v>POST /auth/login</x:v>
      </x:c>
      <x:c r="K6" s="14" t="str">
        <x:v>API</x:v>
      </x:c>
      <x:c r="L6" s="14" t="str">
        <x:v>DEFINED</x:v>
      </x:c>
      <x:c r="M6" s="33"/>
      <x:c r="N6" s="33" t="str">
        <x:v>NOT_RUN</x:v>
      </x:c>
      <x:c r="O6" s="14" t="str">
        <x:v>Hợp đồng tham chiếu: 01-auth-customer-api.yaml. Chưa chạy kiểm thử. Đối chiếu bản API 1.2 trong cuộc trao đổi; không xác nhận trạng thái commit GitHub.</x:v>
      </x:c>
      <x:c r="P6" s="14" t="str">
        <x:v>R10</x:v>
      </x:c>
      <x:c r="Q6" s="14" t="str">
        <x:v>Request/response đã che token; dữ liệu trước/sau hoặc log kiểm tra có correlationId; môi trường, commit và thời gian chạy. Không ghi mật khẩu thật.</x:v>
      </x:c>
    </x:row>
    <x:row r="7" ht="90" customHeight="1">
      <x:c r="A7" s="11" t="str">
        <x:v>TC-AUTH-006</x:v>
      </x:c>
      <x:c r="B7" s="11" t="str">
        <x:v>Người dùng đăng nhập</x:v>
      </x:c>
      <x:c r="C7" s="11" t="str">
        <x:v>emailOrPhone và password đều để trống</x:v>
      </x:c>
      <x:c r="D7" s="11" t="str">
        <x:v>Đang ở màn hình Login</x:v>
      </x:c>
      <x:c r="E7" s="11" t="str">
        <x:v>1. Chuẩn bị dữ liệu và trạng thái trong Preconditions.
2. Gọi POST /auth/login với Test Data.
3. Đối chiếu HTTP, nội dung phản hồi và trạng thái lưu trữ với Expected Result.</x:v>
      </x:c>
      <x:c r="F7" s="11" t="str">
        <x:v>emailOrPhone: empty
Password: empty</x:v>
      </x:c>
      <x:c r="G7" s="11" t="str">
        <x:v>400; validation thất bại; không tạo Session hoặc token.</x:v>
      </x:c>
      <x:c r="H7" s="11" t="str">
        <x:v>High</x:v>
      </x:c>
      <x:c r="I7" s="14" t="str">
        <x:v>FR01; AC01</x:v>
      </x:c>
      <x:c r="J7" s="14" t="str">
        <x:v>POST /auth/login</x:v>
      </x:c>
      <x:c r="K7" s="14" t="str">
        <x:v>API</x:v>
      </x:c>
      <x:c r="L7" s="14" t="str">
        <x:v>DEFINED</x:v>
      </x:c>
      <x:c r="M7" s="33"/>
      <x:c r="N7" s="33" t="str">
        <x:v>NOT_RUN</x:v>
      </x:c>
      <x:c r="O7" s="14" t="str">
        <x:v>Hợp đồng tham chiếu: 01-auth-customer-api.yaml. Chưa chạy kiểm thử. Đối chiếu bản API 1.2 trong cuộc trao đổi; không xác nhận trạng thái commit GitHub.</x:v>
      </x:c>
      <x:c r="P7" s="14" t="str">
        <x:v>R10</x:v>
      </x:c>
      <x:c r="Q7" s="14" t="str">
        <x:v>Request/response đã che token; dữ liệu trước/sau hoặc log kiểm tra có correlationId; môi trường, commit và thời gian chạy. Không ghi mật khẩu thật.</x:v>
      </x:c>
    </x:row>
    <x:row r="8" ht="90" customHeight="1">
      <x:c r="A8" s="11" t="str">
        <x:v>TC-AUTH-007</x:v>
      </x:c>
      <x:c r="B8" s="11" t="str">
        <x:v>Người dùng đăng nhập</x:v>
      </x:c>
      <x:c r="C8" s="11" t="str">
        <x:v>emailOrPhone có định dạng không hợp lệ</x:v>
      </x:c>
      <x:c r="D8" s="11" t="str">
        <x:v>Đang ở màn hình Login</x:v>
      </x:c>
      <x:c r="E8" s="11" t="str">
        <x:v>1. Chuẩn bị dữ liệu và trạng thái trong Preconditions.
2. Gọi POST /auth/login với Test Data.
3. Đối chiếu HTTP, nội dung phản hồi và trạng thái lưu trữ với Expected Result.</x:v>
      </x:c>
      <x:c r="F8" s="11" t="str">
        <x:v>emailOrPhone: user@@@
Password: Password@123</x:v>
      </x:c>
      <x:c r="G8" s="11" t="str">
        <x:v>400; validation thất bại; không tạo Session hoặc token.</x:v>
      </x:c>
      <x:c r="H8" s="11" t="str">
        <x:v>Medium</x:v>
      </x:c>
      <x:c r="I8" s="14" t="str">
        <x:v>FR01; AC01</x:v>
      </x:c>
      <x:c r="J8" s="14" t="str">
        <x:v>POST /auth/login</x:v>
      </x:c>
      <x:c r="K8" s="14" t="str">
        <x:v>API</x:v>
      </x:c>
      <x:c r="L8" s="14" t="str">
        <x:v>DEFINED</x:v>
      </x:c>
      <x:c r="M8" s="33"/>
      <x:c r="N8" s="33" t="str">
        <x:v>NOT_RUN</x:v>
      </x:c>
      <x:c r="O8" s="14" t="str">
        <x:v>Hợp đồng tham chiếu: 01-auth-customer-api.yaml. Chưa chạy kiểm thử. Đối chiếu bản API 1.2 trong cuộc trao đổi; không xác nhận trạng thái commit GitHub.</x:v>
      </x:c>
      <x:c r="P8" s="14" t="str">
        <x:v>R10</x:v>
      </x:c>
      <x:c r="Q8" s="14" t="str">
        <x:v>Request/response đã che token; dữ liệu trước/sau hoặc log kiểm tra có correlationId; môi trường, commit và thời gian chạy. Không ghi mật khẩu thật.</x:v>
      </x:c>
    </x:row>
    <x:row r="9" ht="90" customHeight="1">
      <x:c r="A9" s="11" t="str">
        <x:v>TC-AUTH-008</x:v>
      </x:c>
      <x:c r="B9" s="11" t="str">
        <x:v>Người dùng đăng nhập</x:v>
      </x:c>
      <x:c r="C9" s="11" t="str">
        <x:v>Mật khẩu nhập sai dù ngắn hơn quy tắc đăng ký</x:v>
      </x:c>
      <x:c r="D9" s="11" t="str">
        <x:v>Account C1 ACTIVE; email c1@example.com; phone +84912345678; mật khẩu thật trong fixture là Password@123.</x:v>
      </x:c>
      <x:c r="E9" s="11" t="str">
        <x:v>1. Chuẩn bị dữ liệu và trạng thái trong Preconditions.
2. Gọi POST /auth/login với Test Data.
3. Đối chiếu HTTP, nội dung phản hồi và trạng thái lưu trữ với Expected Result.</x:v>
      </x:c>
      <x:c r="F9" s="11" t="str">
        <x:v>{"emailOrPhone":"c1@example.com","password":"123"}</x:v>
      </x:c>
      <x:c r="G9" s="11" t="str">
        <x:v>401; xác thực thất bại. Không áp quy tắc độ dài mật khẩu mới của đăng ký lên mật khẩu dùng để đăng nhập.</x:v>
      </x:c>
      <x:c r="H9" s="11" t="str">
        <x:v>Medium</x:v>
      </x:c>
      <x:c r="I9" s="14" t="str">
        <x:v>FR01; AC01</x:v>
      </x:c>
      <x:c r="J9" s="14" t="str">
        <x:v>POST /auth/login</x:v>
      </x:c>
      <x:c r="K9" s="14" t="str">
        <x:v>API</x:v>
      </x:c>
      <x:c r="L9" s="14" t="str">
        <x:v>DEFINED</x:v>
      </x:c>
      <x:c r="M9" s="33"/>
      <x:c r="N9" s="33" t="str">
        <x:v>NOT_RUN</x:v>
      </x:c>
      <x:c r="O9" s="14" t="str">
        <x:v>Hợp đồng tham chiếu: 01-auth-customer-api.yaml. Chưa chạy kiểm thử. Đối chiếu bản API 1.2 trong cuộc trao đổi; không xác nhận trạng thái commit GitHub.</x:v>
      </x:c>
      <x:c r="P9" s="14" t="str">
        <x:v>R10</x:v>
      </x:c>
      <x:c r="Q9" s="14" t="str">
        <x:v>Request/response đã che token; dữ liệu trước/sau hoặc log kiểm tra có correlationId; môi trường, commit và thời gian chạy. Không ghi mật khẩu thật.</x:v>
      </x:c>
    </x:row>
    <x:row r="10" ht="90" customHeight="1">
      <x:c r="A10" s="11" t="str">
        <x:v>TC-AUTH-009</x:v>
      </x:c>
      <x:c r="B10" s="11" t="str">
        <x:v>Người dùng đăng nhập</x:v>
      </x:c>
      <x:c r="C10" s="11" t="str">
        <x:v>Đăng nhập bằng tài khoản bị khóa</x:v>
      </x:c>
      <x:c r="D10" s="11" t="str">
        <x:v>Account C1 ACTIVE; email c1@example.com; phone +84912345678; mật khẩu thật trong fixture là Password@123. Chuyển C1 sang SUSPENDED.</x:v>
      </x:c>
      <x:c r="E10" s="11" t="str">
        <x:v>1. Chuẩn bị dữ liệu và trạng thái trong Preconditions.
2. Gọi POST /auth/login với Test Data.
3. Đối chiếu HTTP, nội dung phản hồi và trạng thái lưu trữ với Expected Result.</x:v>
      </x:c>
      <x:c r="F10" s="11" t="str">
        <x:v>emailOrPhone=c1@example.com; password=Password@123</x:v>
      </x:c>
      <x:c r="G10" s="11" t="str">
        <x:v>403 sau khi xác minh đúng mật khẩu; không tạo Session.</x:v>
      </x:c>
      <x:c r="H10" s="11" t="str">
        <x:v>High</x:v>
      </x:c>
      <x:c r="I10" s="14" t="str">
        <x:v>FR01; AC01</x:v>
      </x:c>
      <x:c r="J10" s="14" t="str">
        <x:v>POST /auth/login</x:v>
      </x:c>
      <x:c r="K10" s="14" t="str">
        <x:v>API</x:v>
      </x:c>
      <x:c r="L10" s="14" t="str">
        <x:v>DEFINED</x:v>
      </x:c>
      <x:c r="M10" s="33"/>
      <x:c r="N10" s="33" t="str">
        <x:v>NOT_RUN</x:v>
      </x:c>
      <x:c r="O10" s="14" t="str">
        <x:v>Hợp đồng tham chiếu: 01-auth-customer-api.yaml. Chưa chạy kiểm thử. Đối chiếu bản API 1.2 trong cuộc trao đổi; không xác nhận trạng thái commit GitHub.</x:v>
      </x:c>
      <x:c r="P10" s="14" t="str">
        <x:v>R10</x:v>
      </x:c>
      <x:c r="Q10" s="14" t="str">
        <x:v>Request/response đã che token; dữ liệu trước/sau hoặc log kiểm tra có correlationId; môi trường, commit và thời gian chạy. Không ghi mật khẩu thật.</x:v>
      </x:c>
    </x:row>
    <x:row r="11" ht="90" customHeight="1">
      <x:c r="A11" s="11" t="str">
        <x:v>TC-AUTH-010</x:v>
      </x:c>
      <x:c r="B11" s="11" t="str">
        <x:v>Người dùng đăng nhập</x:v>
      </x:c>
      <x:c r="C11" s="11" t="str">
        <x:v>Đăng nhập bằng tài khoản INACTIVE</x:v>
      </x:c>
      <x:c r="D11" s="11" t="str">
        <x:v>Account C1 ACTIVE; email c1@example.com; phone +84912345678; mật khẩu thật trong fixture là Password@123. Chuyển C1 sang INACTIVE.</x:v>
      </x:c>
      <x:c r="E11" s="11" t="str">
        <x:v>1. Chuẩn bị dữ liệu và trạng thái trong Preconditions.
2. Gọi POST /auth/login với Test Data.
3. Đối chiếu HTTP, nội dung phản hồi và trạng thái lưu trữ với Expected Result.</x:v>
      </x:c>
      <x:c r="F11" s="11" t="str">
        <x:v>emailOrPhone=c1@example.com; password=Password@123</x:v>
      </x:c>
      <x:c r="G11" s="11" t="str">
        <x:v>403 sau khi xác minh đúng mật khẩu; không tạo Session.</x:v>
      </x:c>
      <x:c r="H11" s="11" t="str">
        <x:v>High</x:v>
      </x:c>
      <x:c r="I11" s="14" t="str">
        <x:v>FR01; AC01</x:v>
      </x:c>
      <x:c r="J11" s="14" t="str">
        <x:v>POST /auth/login</x:v>
      </x:c>
      <x:c r="K11" s="14" t="str">
        <x:v>API</x:v>
      </x:c>
      <x:c r="L11" s="14" t="str">
        <x:v>DEFINED</x:v>
      </x:c>
      <x:c r="M11" s="33"/>
      <x:c r="N11" s="33" t="str">
        <x:v>NOT_RUN</x:v>
      </x:c>
      <x:c r="O11" s="14" t="str">
        <x:v>Hợp đồng tham chiếu: 01-auth-customer-api.yaml. Chưa chạy kiểm thử. Đối chiếu bản API 1.2 trong cuộc trao đổi; không xác nhận trạng thái commit GitHub.</x:v>
      </x:c>
      <x:c r="P11" s="14" t="str">
        <x:v>R10</x:v>
      </x:c>
      <x:c r="Q11" s="14" t="str">
        <x:v>Request/response đã che token; dữ liệu trước/sau hoặc log kiểm tra có correlationId; môi trường, commit và thời gian chạy. Không ghi mật khẩu thật.</x:v>
      </x:c>
    </x:row>
    <x:row r="12" ht="90" customHeight="1">
      <x:c r="A12" s="11" t="str">
        <x:v>TC-AUTH-011</x:v>
      </x:c>
      <x:c r="B12" s="11" t="str">
        <x:v>Người dùng đăng nhập</x:v>
      </x:c>
      <x:c r="C12" s="11" t="str">
        <x:v>Email đăng nhập không phân biệt hoa/thường</x:v>
      </x:c>
      <x:c r="D12" s="11" t="str">
        <x:v>Account C1 ACTIVE; email c1@example.com; phone +84912345678; mật khẩu thật trong fixture là Password@123.</x:v>
      </x:c>
      <x:c r="E12" s="11" t="str">
        <x:v>1. Chuẩn bị dữ liệu và trạng thái trong Preconditions.
2. Gọi POST /auth/login với Test Data.
3. Đối chiếu HTTP, nội dung phản hồi và trạng thái lưu trữ với Expected Result.</x:v>
      </x:c>
      <x:c r="F12" s="11" t="str">
        <x:v>{"emailOrPhone":" C1@EXAMPLE.COM ","password":"Password@123"}</x:v>
      </x:c>
      <x:c r="G12" s="11" t="str">
        <x:v>200; chuẩn hóa email về c1@example.com; đúng một danh tính C1.</x:v>
      </x:c>
      <x:c r="H12" s="11" t="str">
        <x:v>Medium</x:v>
      </x:c>
      <x:c r="I12" s="14" t="str">
        <x:v>FR01; AC01</x:v>
      </x:c>
      <x:c r="J12" s="14" t="str">
        <x:v>POST /auth/login</x:v>
      </x:c>
      <x:c r="K12" s="14" t="str">
        <x:v>API</x:v>
      </x:c>
      <x:c r="L12" s="14" t="str">
        <x:v>DEFINED</x:v>
      </x:c>
      <x:c r="M12" s="33"/>
      <x:c r="N12" s="33" t="str">
        <x:v>NOT_RUN</x:v>
      </x:c>
      <x:c r="O12" s="14" t="str">
        <x:v>Hợp đồng tham chiếu: 01-auth-customer-api.yaml. Chưa chạy kiểm thử. Đối chiếu bản API 1.2 trong cuộc trao đổi; không xác nhận trạng thái commit GitHub.</x:v>
      </x:c>
      <x:c r="P12" s="14" t="str">
        <x:v>R10</x:v>
      </x:c>
      <x:c r="Q12" s="14" t="str">
        <x:v>Request/response đã che token; dữ liệu trước/sau hoặc log kiểm tra có correlationId; môi trường, commit và thời gian chạy. Không ghi mật khẩu thật.</x:v>
      </x:c>
    </x:row>
    <x:row r="13" ht="90" customHeight="1">
      <x:c r="A13" s="11" t="str">
        <x:v>TC-AUTH-012</x:v>
      </x:c>
      <x:c r="B13" s="11" t="str">
        <x:v>Người dùng đăng nhập</x:v>
      </x:c>
      <x:c r="C13" s="11" t="str">
        <x:v>Password phân biệt chữ hoa/chữ thường</x:v>
      </x:c>
      <x:c r="D13" s="11" t="str">
        <x:v>Account C1 ACTIVE; email c1@example.com; phone +84912345678; mật khẩu thật trong fixture là Password@123.</x:v>
      </x:c>
      <x:c r="E13" s="11" t="str">
        <x:v>1. Chuẩn bị dữ liệu và trạng thái trong Preconditions.
2. Gọi POST /auth/login với Test Data.
3. Đối chiếu HTTP, nội dung phản hồi và trạng thái lưu trữ với Expected Result.</x:v>
      </x:c>
      <x:c r="F13" s="11" t="str">
        <x:v>{"emailOrPhone":"c1@example.com","password":"password@123"}</x:v>
      </x:c>
      <x:c r="G13" s="11" t="str">
        <x:v>401; mật khẩu phân biệt chữ hoa/thường.</x:v>
      </x:c>
      <x:c r="H13" s="11" t="str">
        <x:v>High</x:v>
      </x:c>
      <x:c r="I13" s="14" t="str">
        <x:v>FR01; AC01</x:v>
      </x:c>
      <x:c r="J13" s="14" t="str">
        <x:v>POST /auth/login</x:v>
      </x:c>
      <x:c r="K13" s="14" t="str">
        <x:v>API</x:v>
      </x:c>
      <x:c r="L13" s="14" t="str">
        <x:v>DEFINED</x:v>
      </x:c>
      <x:c r="M13" s="33"/>
      <x:c r="N13" s="33" t="str">
        <x:v>NOT_RUN</x:v>
      </x:c>
      <x:c r="O13" s="14" t="str">
        <x:v>Hợp đồng tham chiếu: 01-auth-customer-api.yaml. Chưa chạy kiểm thử. Đối chiếu bản API 1.2 trong cuộc trao đổi; không xác nhận trạng thái commit GitHub.</x:v>
      </x:c>
      <x:c r="P13" s="14" t="str">
        <x:v>R10</x:v>
      </x:c>
      <x:c r="Q13" s="14" t="str">
        <x:v>Request/response đã che token; dữ liệu trước/sau hoặc log kiểm tra có correlationId; môi trường, commit và thời gian chạy. Không ghi mật khẩu thật.</x:v>
      </x:c>
    </x:row>
    <x:row r="14" ht="90" customHeight="1">
      <x:c r="A14" s="11" t="str">
        <x:v>TC-AUTH-013</x:v>
      </x:c>
      <x:c r="B14" s="11" t="str">
        <x:v>Người dùng đăng nhập</x:v>
      </x:c>
      <x:c r="C14" s="11" t="str">
        <x:v>Không trim mật khẩu khi xác thực</x:v>
      </x:c>
      <x:c r="D14" s="11" t="str">
        <x:v>Account C1 ACTIVE; email c1@example.com; phone +84912345678; mật khẩu thật trong fixture là Password@123.</x:v>
      </x:c>
      <x:c r="E14" s="11" t="str">
        <x:v>1. Chuẩn bị dữ liệu và trạng thái trong Preconditions.
2. Gọi POST /auth/login với Test Data.
3. Đối chiếu HTTP, nội dung phản hồi và trạng thái lưu trữ với Expected Result.</x:v>
      </x:c>
      <x:c r="F14" s="11" t="str">
        <x:v>password=" Password@123 "</x:v>
      </x:c>
      <x:c r="G14" s="11" t="str">
        <x:v>401; chuỗi có khoảng trắng khác mật khẩu fixture, không tự trim để đăng nhập.</x:v>
      </x:c>
      <x:c r="H14" s="11" t="str">
        <x:v>Medium</x:v>
      </x:c>
      <x:c r="I14" s="14" t="str">
        <x:v>FR01; AC01</x:v>
      </x:c>
      <x:c r="J14" s="14" t="str">
        <x:v>POST /auth/login</x:v>
      </x:c>
      <x:c r="K14" s="14" t="str">
        <x:v>API</x:v>
      </x:c>
      <x:c r="L14" s="14" t="str">
        <x:v>DEFINED</x:v>
      </x:c>
      <x:c r="M14" s="33"/>
      <x:c r="N14" s="33" t="str">
        <x:v>NOT_RUN</x:v>
      </x:c>
      <x:c r="O14" s="14" t="str">
        <x:v>Hợp đồng tham chiếu: 01-auth-customer-api.yaml. Chưa chạy kiểm thử. Đối chiếu bản API 1.2 trong cuộc trao đổi; không xác nhận trạng thái commit GitHub.</x:v>
      </x:c>
      <x:c r="P14" s="14" t="str">
        <x:v>R10</x:v>
      </x:c>
      <x:c r="Q14" s="14" t="str">
        <x:v>Request/response đã che token; dữ liệu trước/sau hoặc log kiểm tra có correlationId; môi trường, commit và thời gian chạy. Không ghi mật khẩu thật.</x:v>
      </x:c>
    </x:row>
    <x:row r="15" ht="90" customHeight="1">
      <x:c r="A15" s="11" t="str">
        <x:v>TC-AUTH-014</x:v>
      </x:c>
      <x:c r="B15" s="11" t="str">
        <x:v>Người dùng đăng nhập</x:v>
      </x:c>
      <x:c r="C15" s="11" t="str">
        <x:v>Kiểm tra password không hiển thị plaintext</x:v>
      </x:c>
      <x:c r="D15" s="11" t="str">
        <x:v>Có giao diện đăng nhập để kiểm tra trực tiếp.</x:v>
      </x:c>
      <x:c r="E15" s="11" t="str">
        <x:v>1. Chuẩn bị trạng thái và dữ liệu được nêu.
2. UI: nhập mật khẩu vào ô Password.
3. Kiểm tra HTTP, phản hồi và dữ liệu sau thao tác.</x:v>
      </x:c>
      <x:c r="F15" s="11" t="str">
        <x:v>Password@123</x:v>
      </x:c>
      <x:c r="G15" s="11" t="str">
        <x:v>Ký tự được che mặc định; không hiển thị mật khẩu trong URL hoặc thông báo lỗi.</x:v>
      </x:c>
      <x:c r="H15" s="11" t="str">
        <x:v>Medium</x:v>
      </x:c>
      <x:c r="I15" s="14" t="str">
        <x:v>FR01; AC01</x:v>
      </x:c>
      <x:c r="J15" s="14" t="str">
        <x:v>UI: nhập mật khẩu vào ô Password</x:v>
      </x:c>
      <x:c r="K15" s="14" t="str">
        <x:v>UI</x:v>
      </x:c>
      <x:c r="L15" s="14" t="str">
        <x:v>DEFINED</x:v>
      </x:c>
      <x:c r="M15" s="33"/>
      <x:c r="N15" s="33" t="str">
        <x:v>NOT_RUN</x:v>
      </x:c>
      <x:c r="O15" s="14" t="str">
        <x:v>Hợp đồng tham chiếu: 01-auth-customer-api.yaml. Chưa chạy kiểm thử. Đối chiếu bản API 1.2 trong cuộc trao đổi; không xác nhận trạng thái commit GitHub.</x:v>
      </x:c>
      <x:c r="P15" s="14" t="str">
        <x:v>R10</x:v>
      </x:c>
      <x:c r="Q15" s="14" t="str">
        <x:v>Request/response đã che token; dữ liệu trước/sau hoặc log kiểm tra có correlationId; môi trường, commit và thời gian chạy. Không ghi mật khẩu thật.</x:v>
      </x:c>
    </x:row>
    <x:row r="16" ht="90" customHeight="1">
      <x:c r="A16" s="11" t="str">
        <x:v>TC-AUTH-015</x:v>
      </x:c>
      <x:c r="B16" s="11" t="str">
        <x:v>Người dùng đăng nhập</x:v>
      </x:c>
      <x:c r="C16" s="11" t="str">
        <x:v>Đăng nhập thành công và truy cập chức năng được phép</x:v>
      </x:c>
      <x:c r="D16" s="11" t="str">
        <x:v>Account C1 ACTIVE; email c1@example.com; phone +84912345678; mật khẩu thật trong fixture là Password@123.</x:v>
      </x:c>
      <x:c r="E16" s="11" t="str">
        <x:v>1. Chuẩn bị trạng thái và dữ liệu được nêu.
2. POST /auth/login; GET /accounts/me.
3. Kiểm tra HTTP, phản hồi và dữ liệu sau thao tác.</x:v>
      </x:c>
      <x:c r="F16" s="11" t="str">
        <x:v>Thông tin C1 hợp lệ; dùng accessToken mới cho GET.</x:v>
      </x:c>
      <x:c r="G16" s="11" t="str">
        <x:v>POST 200; GET 200 và cùng accountId; đúng quyền CUSTOMER.</x:v>
      </x:c>
      <x:c r="H16" s="11" t="str">
        <x:v>High</x:v>
      </x:c>
      <x:c r="I16" s="14" t="str">
        <x:v>FR01; AC01</x:v>
      </x:c>
      <x:c r="J16" s="14" t="str">
        <x:v>POST /auth/login; GET /accounts/me</x:v>
      </x:c>
      <x:c r="K16" s="14" t="str">
        <x:v>API</x:v>
      </x:c>
      <x:c r="L16" s="14" t="str">
        <x:v>DEFINED</x:v>
      </x:c>
      <x:c r="M16" s="33"/>
      <x:c r="N16" s="33" t="str">
        <x:v>NOT_RUN</x:v>
      </x:c>
      <x:c r="O16" s="14" t="str">
        <x:v>Hợp đồng tham chiếu: 01-auth-customer-api.yaml. Chưa chạy kiểm thử. Đối chiếu bản API 1.2 trong cuộc trao đổi; không xác nhận trạng thái commit GitHub.</x:v>
      </x:c>
      <x:c r="P16" s="14" t="str">
        <x:v>R10</x:v>
      </x:c>
      <x:c r="Q16" s="14" t="str">
        <x:v>Request/response đã che token; dữ liệu trước/sau hoặc log kiểm tra có correlationId; môi trường, commit và thời gian chạy. Không ghi mật khẩu thật.</x:v>
      </x:c>
    </x:row>
    <x:row r="17" ht="90" customHeight="1">
      <x:c r="A17" s="11" t="str">
        <x:v>TC-AUTH-016</x:v>
      </x:c>
      <x:c r="B17" s="11" t="str">
        <x:v>Người dùng đăng nhập</x:v>
      </x:c>
      <x:c r="C17" s="11" t="str">
        <x:v>Giới hạn đăng nhập sai theo cấu hình thử nghiệm</x:v>
      </x:c>
      <x:c r="D17" s="11" t="str">
        <x:v>Gateway có fixture riêng: 5 request đăng nhập/60 giây theo IP; C1 ACTIVE. Đây là cấu hình test, không quy định hạn mức production.</x:v>
      </x:c>
      <x:c r="E17" s="11" t="str">
        <x:v>1. Gửi 5 request có body hợp lệ và mật khẩu sai từ cùng IP.
2. Gửi request thứ 6 trong cửa sổ.
3. Kiểm tra status, Retry-After, Session và Account; chờ hết cửa sổ rồi thử lại.</x:v>
      </x:c>
      <x:c r="F17" s="11" t="str">
        <x:v>Cùng emailOrPhone của C1; password sai; 6 request trong 60 giây.</x:v>
      </x:c>
      <x:c r="G17" s="11" t="str">
        <x:v>Năm request đầu 401; request thứ 6 trả 429 và Retry-After. Không có Session mới, Account không tự chuyển SUSPENDED. Sau cửa sổ, request hợp lệ lại được xử lý theo Auth.</x:v>
      </x:c>
      <x:c r="H17" s="11" t="str">
        <x:v>High</x:v>
      </x:c>
      <x:c r="I17" s="14" t="str">
        <x:v>FR01; AC01</x:v>
      </x:c>
      <x:c r="J17" s="14" t="str">
        <x:v>POST /auth/login</x:v>
      </x:c>
      <x:c r="K17" s="14" t="str">
        <x:v>API</x:v>
      </x:c>
      <x:c r="L17" s="14" t="str">
        <x:v>DEFINED</x:v>
      </x:c>
      <x:c r="M17" s="33"/>
      <x:c r="N17" s="33" t="str">
        <x:v>NOT_RUN</x:v>
      </x:c>
      <x:c r="O17" s="14" t="str">
        <x:v>Hạn mức fixture phải được cài đặt đúng trước khi chạy; không suy ra kết quả tải &gt;1000 request/giây từ ca này.</x:v>
      </x:c>
      <x:c r="P17" s="14" t="str">
        <x:v>R10; R29</x:v>
      </x:c>
      <x:c r="Q17" s="14" t="str">
        <x:v>Request/response đã che token; dữ liệu trước/sau hoặc log kiểm tra có correlationId; môi trường, commit và thời gian chạy. Không ghi mật khẩu thật.</x:v>
      </x:c>
    </x:row>
    <x:row r="18" ht="90" customHeight="1">
      <x:c r="A18" s="11" t="str">
        <x:v>TC-AUTH-017</x:v>
      </x:c>
      <x:c r="B18" s="11" t="str">
        <x:v>Người dùng đăng nhập</x:v>
      </x:c>
      <x:c r="C18" s="11" t="str">
        <x:v>Request không có emailOrPhone</x:v>
      </x:c>
      <x:c r="D18" s="11" t="str">
        <x:v>API Login đang hoạt động</x:v>
      </x:c>
      <x:c r="E18" s="11" t="str">
        <x:v>1. Chuẩn bị dữ liệu và trạng thái trong Preconditions.
2. Gọi POST /auth/login với Test Data.
3. Đối chiếu HTTP, nội dung phản hồi và trạng thái lưu trữ với Expected Result.</x:v>
      </x:c>
      <x:c r="F18" s="11" t="str">
        <x:v>{ password: Password@123 }</x:v>
      </x:c>
      <x:c r="G18" s="11" t="str">
        <x:v>400; validation thất bại; không tạo Session hoặc token.</x:v>
      </x:c>
      <x:c r="H18" s="11" t="str">
        <x:v>High</x:v>
      </x:c>
      <x:c r="I18" s="14" t="str">
        <x:v>FR01; AC01</x:v>
      </x:c>
      <x:c r="J18" s="14" t="str">
        <x:v>POST /auth/login</x:v>
      </x:c>
      <x:c r="K18" s="14" t="str">
        <x:v>API</x:v>
      </x:c>
      <x:c r="L18" s="14" t="str">
        <x:v>DEFINED</x:v>
      </x:c>
      <x:c r="M18" s="33"/>
      <x:c r="N18" s="33" t="str">
        <x:v>NOT_RUN</x:v>
      </x:c>
      <x:c r="O18" s="14" t="str">
        <x:v>Hợp đồng tham chiếu: 01-auth-customer-api.yaml. Chưa chạy kiểm thử. Đối chiếu bản API 1.2 trong cuộc trao đổi; không xác nhận trạng thái commit GitHub.</x:v>
      </x:c>
      <x:c r="P18" s="14" t="str">
        <x:v>R10</x:v>
      </x:c>
      <x:c r="Q18" s="14" t="str">
        <x:v>Request/response đã che token; dữ liệu trước/sau hoặc log kiểm tra có correlationId; môi trường, commit và thời gian chạy. Không ghi mật khẩu thật.</x:v>
      </x:c>
    </x:row>
    <x:row r="19" ht="90" customHeight="1">
      <x:c r="A19" s="11" t="str">
        <x:v>TC-AUTH-018</x:v>
      </x:c>
      <x:c r="B19" s="11" t="str">
        <x:v>Người dùng đăng nhập</x:v>
      </x:c>
      <x:c r="C19" s="11" t="str">
        <x:v>Request không có password</x:v>
      </x:c>
      <x:c r="D19" s="11" t="str">
        <x:v>API Login đang hoạt động</x:v>
      </x:c>
      <x:c r="E19" s="11" t="str">
        <x:v>1. Chuẩn bị dữ liệu và trạng thái trong Preconditions.
2. Gọi POST /auth/login với Test Data.
3. Đối chiếu HTTP, nội dung phản hồi và trạng thái lưu trữ với Expected Result.</x:v>
      </x:c>
      <x:c r="F19" s="11" t="str">
        <x:v>{ emailOrPhone: c1@example.com }</x:v>
      </x:c>
      <x:c r="G19" s="11" t="str">
        <x:v>400; validation thất bại; không tạo Session hoặc token.</x:v>
      </x:c>
      <x:c r="H19" s="11" t="str">
        <x:v>High</x:v>
      </x:c>
      <x:c r="I19" s="14" t="str">
        <x:v>FR01; AC01</x:v>
      </x:c>
      <x:c r="J19" s="14" t="str">
        <x:v>POST /auth/login</x:v>
      </x:c>
      <x:c r="K19" s="14" t="str">
        <x:v>API</x:v>
      </x:c>
      <x:c r="L19" s="14" t="str">
        <x:v>DEFINED</x:v>
      </x:c>
      <x:c r="M19" s="33"/>
      <x:c r="N19" s="33" t="str">
        <x:v>NOT_RUN</x:v>
      </x:c>
      <x:c r="O19" s="14" t="str">
        <x:v>Hợp đồng tham chiếu: 01-auth-customer-api.yaml. Chưa chạy kiểm thử. Đối chiếu bản API 1.2 trong cuộc trao đổi; không xác nhận trạng thái commit GitHub.</x:v>
      </x:c>
      <x:c r="P19" s="14" t="str">
        <x:v>R10</x:v>
      </x:c>
      <x:c r="Q19" s="14" t="str">
        <x:v>Request/response đã che token; dữ liệu trước/sau hoặc log kiểm tra có correlationId; môi trường, commit và thời gian chạy. Không ghi mật khẩu thật.</x:v>
      </x:c>
    </x:row>
    <x:row r="20" ht="90" customHeight="1">
      <x:c r="A20" s="11" t="str">
        <x:v>TC-AUTH-019</x:v>
      </x:c>
      <x:c r="B20" s="11" t="str">
        <x:v>Người dùng đăng nhập</x:v>
      </x:c>
      <x:c r="C20" s="11" t="str">
        <x:v>Request với emailOrPhone/password không hợp lệ</x:v>
      </x:c>
      <x:c r="D20" s="11" t="str">
        <x:v>Không có email unknown@example.com.</x:v>
      </x:c>
      <x:c r="E20" s="11" t="str">
        <x:v>1. Chuẩn bị dữ liệu và trạng thái trong Preconditions.
2. Gọi POST /auth/login với Test Data.
3. Đối chiếu HTTP, nội dung phản hồi và trạng thái lưu trữ với Expected Result.</x:v>
      </x:c>
      <x:c r="F20" s="11" t="str">
        <x:v>{"emailOrPhone":"unknown@example.com","password":"wrong"}</x:v>
      </x:c>
      <x:c r="G20" s="11" t="str">
        <x:v>401; phản hồi chung, không tạo token.</x:v>
      </x:c>
      <x:c r="H20" s="11" t="str">
        <x:v>High</x:v>
      </x:c>
      <x:c r="I20" s="14" t="str">
        <x:v>FR01; AC01</x:v>
      </x:c>
      <x:c r="J20" s="14" t="str">
        <x:v>POST /auth/login</x:v>
      </x:c>
      <x:c r="K20" s="14" t="str">
        <x:v>API</x:v>
      </x:c>
      <x:c r="L20" s="14" t="str">
        <x:v>DEFINED</x:v>
      </x:c>
      <x:c r="M20" s="33"/>
      <x:c r="N20" s="33" t="str">
        <x:v>NOT_RUN</x:v>
      </x:c>
      <x:c r="O20" s="14" t="str">
        <x:v>Hợp đồng tham chiếu: 01-auth-customer-api.yaml. Chưa chạy kiểm thử. Đối chiếu bản API 1.2 trong cuộc trao đổi; không xác nhận trạng thái commit GitHub.</x:v>
      </x:c>
      <x:c r="P20" s="14" t="str">
        <x:v>R10</x:v>
      </x:c>
      <x:c r="Q20" s="14" t="str">
        <x:v>Request/response đã che token; dữ liệu trước/sau hoặc log kiểm tra có correlationId; môi trường, commit và thời gian chạy. Không ghi mật khẩu thật.</x:v>
      </x:c>
    </x:row>
    <x:row r="21" ht="90" customHeight="1">
      <x:c r="A21" s="11" t="str">
        <x:v>TC-AUTH-020</x:v>
      </x:c>
      <x:c r="B21" s="11" t="str">
        <x:v>Người dùng đăng nhập</x:v>
      </x:c>
      <x:c r="C21" s="11" t="str">
        <x:v>Response không trả về password</x:v>
      </x:c>
      <x:c r="D21" s="11" t="str">
        <x:v>Account C1 ACTIVE; email c1@example.com; phone +84912345678; mật khẩu thật trong fixture là Password@123.</x:v>
      </x:c>
      <x:c r="E21" s="11" t="str">
        <x:v>1. Chuẩn bị dữ liệu và trạng thái trong Preconditions.
2. Gọi POST /auth/login với Test Data.
3. Đối chiếu HTTP, nội dung phản hồi và trạng thái lưu trữ với Expected Result.</x:v>
      </x:c>
      <x:c r="F21" s="11" t="str">
        <x:v>Thông tin đăng nhập hợp lệ.</x:v>
      </x:c>
      <x:c r="G21" s="11" t="str">
        <x:v>200; không chứa password hoặc passwordHash. Access token và refresh token là thành phần hợp lệ; Cache-Control: no-store.</x:v>
      </x:c>
      <x:c r="H21" s="11" t="str">
        <x:v>High</x:v>
      </x:c>
      <x:c r="I21" s="14" t="str">
        <x:v>FR01; AC01</x:v>
      </x:c>
      <x:c r="J21" s="14" t="str">
        <x:v>POST /auth/login</x:v>
      </x:c>
      <x:c r="K21" s="14" t="str">
        <x:v>API</x:v>
      </x:c>
      <x:c r="L21" s="14" t="str">
        <x:v>DEFINED</x:v>
      </x:c>
      <x:c r="M21" s="33"/>
      <x:c r="N21" s="33" t="str">
        <x:v>NOT_RUN</x:v>
      </x:c>
      <x:c r="O21" s="14" t="str">
        <x:v>Hợp đồng tham chiếu: 01-auth-customer-api.yaml. Chưa chạy kiểm thử. Đối chiếu bản API 1.2 trong cuộc trao đổi; không xác nhận trạng thái commit GitHub.</x:v>
      </x:c>
      <x:c r="P21" s="14" t="str">
        <x:v>R10</x:v>
      </x:c>
      <x:c r="Q21" s="14" t="str">
        <x:v>Request/response đã che token; dữ liệu trước/sau hoặc log kiểm tra có correlationId; môi trường, commit và thời gian chạy. Không ghi mật khẩu thật.</x:v>
      </x:c>
    </x:row>
    <x:row r="22" ht="90" customHeight="1">
      <x:c r="A22" s="14" t="str">
        <x:v>TC-AUTH-021</x:v>
      </x:c>
      <x:c r="B22" s="14" t="str">
        <x:v>Người dùng đăng nhập</x:v>
      </x:c>
      <x:c r="C22" s="14" t="str">
        <x:v>Đăng nhập bằng phone E.164</x:v>
      </x:c>
      <x:c r="D22" s="14" t="str">
        <x:v>Account C1 ACTIVE; email c1@example.com; phone +84912345678; mật khẩu thật trong fixture là Password@123.</x:v>
      </x:c>
      <x:c r="E22" s="14" t="str">
        <x:v>1. Thiết lập fixture và trạng thái theo Preconditions.
2. POST /auth/login với Test Data.
3. Đối chiếu phản hồi và dữ liệu lưu trữ theo Expected Result.</x:v>
      </x:c>
      <x:c r="F22" s="14" t="str">
        <x:v>{"emailOrPhone":"+84912345678","password":"Password@123"}</x:v>
      </x:c>
      <x:c r="G22" s="14" t="str">
        <x:v>200; đúng Account C1 và role CUSTOMER; tạo Session hợp lệ.</x:v>
      </x:c>
      <x:c r="H22" s="14" t="str">
        <x:v>High</x:v>
      </x:c>
      <x:c r="I22" s="14" t="str">
        <x:v>FR01; AC01</x:v>
      </x:c>
      <x:c r="J22" s="14" t="str">
        <x:v>POST /auth/login</x:v>
      </x:c>
      <x:c r="K22" s="14" t="str">
        <x:v>Integration</x:v>
      </x:c>
      <x:c r="L22" s="14" t="str">
        <x:v>DEFINED</x:v>
      </x:c>
      <x:c r="M22" s="33"/>
      <x:c r="N22" s="33" t="str">
        <x:v>NOT_RUN</x:v>
      </x:c>
      <x:c r="O22" s="14" t="str">
        <x:v>Bổ sung theo thiết kế đã duyệt; chưa chạy kiểm thử. Tham chiếu: 01-auth-customer-api.yaml. Đối chiếu bản API 1.2 trong cuộc trao đổi; không xác nhận trạng thái commit GitHub.</x:v>
      </x:c>
      <x:c r="P22" s="14" t="str">
        <x:v>R10</x:v>
      </x:c>
      <x:c r="Q22" s="14" t="str">
        <x:v>Request/response đã che token; dữ liệu trước/sau hoặc log kiểm tra có correlationId; môi trường, commit và thời gian chạy. Không ghi mật khẩu thật.</x:v>
      </x:c>
    </x:row>
    <x:row r="23" ht="104" customHeight="1">
      <x:c r="A23" s="14" t="str">
        <x:v>TC-AUTH-022</x:v>
      </x:c>
      <x:c r="B23" s="14" t="str">
        <x:v>Người dùng đăng nhập</x:v>
      </x:c>
      <x:c r="C23" s="14" t="str">
        <x:v>Refresh luân chuyển token và giữ hạn phiên</x:v>
      </x:c>
      <x:c r="D23" s="14" t="str">
        <x:v>C1 có Session còn hạn, refresh token R1 hợp lệ.</x:v>
      </x:c>
      <x:c r="E23" s="14" t="str">
        <x:v>1. Thiết lập fixture và trạng thái theo Preconditions.
2. POST /auth/refresh; thử dùng lại R1 với Test Data.
3. Đối chiếu phản hồi và dữ liệu lưu trữ theo Expected Result.</x:v>
      </x:c>
      <x:c r="F23" s="14" t="str">
        <x:v>Lần 1: refreshToken=R1; ghi token R2 và sessionExpiresAt.</x:v>
      </x:c>
      <x:c r="G23" s="14" t="str">
        <x:v>Lần 1 trả 200 với refresh token mới; R1 không dùng lại được; sessionExpiresAt không kéo dài.</x:v>
      </x:c>
      <x:c r="H23" s="14" t="str">
        <x:v>High</x:v>
      </x:c>
      <x:c r="I23" s="14" t="str">
        <x:v>FR01.5; AC01</x:v>
      </x:c>
      <x:c r="J23" s="14" t="str">
        <x:v>POST /auth/refresh; thử dùng lại R1</x:v>
      </x:c>
      <x:c r="K23" s="14" t="str">
        <x:v>Integration</x:v>
      </x:c>
      <x:c r="L23" s="14" t="str">
        <x:v>DEFINED</x:v>
      </x:c>
      <x:c r="M23" s="33"/>
      <x:c r="N23" s="33" t="str">
        <x:v>NOT_RUN</x:v>
      </x:c>
      <x:c r="O23" s="14" t="str">
        <x:v>Bổ sung theo thiết kế đã duyệt; chưa chạy kiểm thử. Tham chiếu: 01-auth-customer-api.yaml. Đối chiếu bản API 1.2 trong cuộc trao đổi; không xác nhận trạng thái commit GitHub.</x:v>
      </x:c>
      <x:c r="P23" s="14" t="str">
        <x:v>R10</x:v>
      </x:c>
      <x:c r="Q23" s="14" t="str">
        <x:v>Request/response đã che token; dữ liệu trước/sau hoặc log kiểm tra có correlationId; môi trường, commit và thời gian chạy. Không ghi mật khẩu thật.</x:v>
      </x:c>
    </x:row>
    <x:row r="24" ht="90" customHeight="1">
      <x:c r="A24" s="14" t="str">
        <x:v>TC-AUTH-023</x:v>
      </x:c>
      <x:c r="B24" s="14" t="str">
        <x:v>Người dùng đăng nhập</x:v>
      </x:c>
      <x:c r="C24" s="14" t="str">
        <x:v>Không refresh phiên đã hết hạn tuyệt đối</x:v>
      </x:c>
      <x:c r="D24" s="14" t="str">
        <x:v>Session có expiresAt=t0; token được luân chuyển gần t0; đồng hồ sau t0.</x:v>
      </x:c>
      <x:c r="E24" s="14" t="str">
        <x:v>1. Thiết lập fixture và trạng thái theo Preconditions.
2. POST /auth/refresh với Test Data.
3. Đối chiếu phản hồi và dữ liệu lưu trữ theo Expected Result.</x:v>
      </x:c>
      <x:c r="F24" s="14" t="str">
        <x:v>Refresh token mới nhất của Session đã hết hạn.</x:v>
      </x:c>
      <x:c r="G24" s="14" t="str">
        <x:v>401; không tạo token hoặc gia hạn Session.</x:v>
      </x:c>
      <x:c r="H24" s="14" t="str">
        <x:v>High</x:v>
      </x:c>
      <x:c r="I24" s="14" t="str">
        <x:v>FR01.5; AC01</x:v>
      </x:c>
      <x:c r="J24" s="14" t="str">
        <x:v>POST /auth/refresh</x:v>
      </x:c>
      <x:c r="K24" s="14" t="str">
        <x:v>Integration</x:v>
      </x:c>
      <x:c r="L24" s="14" t="str">
        <x:v>DEFINED</x:v>
      </x:c>
      <x:c r="M24" s="33"/>
      <x:c r="N24" s="33" t="str">
        <x:v>NOT_RUN</x:v>
      </x:c>
      <x:c r="O24" s="14" t="str">
        <x:v>Bổ sung theo thiết kế đã duyệt; chưa chạy kiểm thử. Tham chiếu: 01-auth-customer-api.yaml. Đối chiếu bản API 1.2 trong cuộc trao đổi; không xác nhận trạng thái commit GitHub.</x:v>
      </x:c>
      <x:c r="P24" s="14" t="str">
        <x:v>R10</x:v>
      </x:c>
      <x:c r="Q24" s="14" t="str">
        <x:v>Request/response đã che token; dữ liệu trước/sau hoặc log kiểm tra có correlationId; môi trường, commit và thời gian chạy. Không ghi mật khẩu thật.</x:v>
      </x:c>
    </x:row>
    <x:row r="25" ht="104" customHeight="1">
      <x:c r="A25" s="14" t="str">
        <x:v>TC-AUTH-024</x:v>
      </x:c>
      <x:c r="B25" s="14" t="str">
        <x:v>Người dùng đăng nhập</x:v>
      </x:c>
      <x:c r="C25" s="14" t="str">
        <x:v>Logout chỉ thu hồi phiên hiện tại</x:v>
      </x:c>
      <x:c r="D25" s="14" t="str">
        <x:v>C1 có hai Session A và B; token cả hai chưa hết hạn.</x:v>
      </x:c>
      <x:c r="E25" s="14" t="str">
        <x:v>1. Thiết lập fixture và trạng thái theo Preconditions.
2. POST /auth/logout với A; GET /accounts/me bằng A rồi B với Test Data.
3. Đối chiếu phản hồi và dữ liệu lưu trữ theo Expected Result.</x:v>
      </x:c>
      <x:c r="F25" s="14" t="str">
        <x:v>Token A và B của cùng Account.</x:v>
      </x:c>
      <x:c r="G25" s="14" t="str">
        <x:v>Logout 204; token A bị 401; token B vẫn GET 200.</x:v>
      </x:c>
      <x:c r="H25" s="14" t="str">
        <x:v>High</x:v>
      </x:c>
      <x:c r="I25" s="14" t="str">
        <x:v>FR01.6; AC01</x:v>
      </x:c>
      <x:c r="J25" s="14" t="str">
        <x:v>POST /auth/logout với A; GET /accounts/me bằng A rồi B</x:v>
      </x:c>
      <x:c r="K25" s="14" t="str">
        <x:v>Integration</x:v>
      </x:c>
      <x:c r="L25" s="14" t="str">
        <x:v>DEFINED</x:v>
      </x:c>
      <x:c r="M25" s="33"/>
      <x:c r="N25" s="33" t="str">
        <x:v>NOT_RUN</x:v>
      </x:c>
      <x:c r="O25" s="14" t="str">
        <x:v>Bổ sung theo thiết kế đã duyệt; chưa chạy kiểm thử. Tham chiếu: 01-auth-customer-api.yaml. Đối chiếu bản API 1.2 trong cuộc trao đổi; không xác nhận trạng thái commit GitHub.</x:v>
      </x:c>
      <x:c r="P25" s="14" t="str">
        <x:v>R10</x:v>
      </x:c>
      <x:c r="Q25" s="14" t="str">
        <x:v>Request/response đã che token; dữ liệu trước/sau hoặc log kiểm tra có correlationId; môi trường, commit và thời gian chạy. Không ghi mật khẩu thật.</x:v>
      </x:c>
    </x:row>
    <x:row r="26" ht="104" customHeight="1">
      <x:c r="A26" s="14" t="str">
        <x:v>TC-AUTH-025</x:v>
      </x:c>
      <x:c r="B26" s="14" t="str">
        <x:v>Người dùng đăng nhập</x:v>
      </x:c>
      <x:c r="C26" s="14" t="str">
        <x:v>Đổi mật khẩu thu hồi mọi phiên</x:v>
      </x:c>
      <x:c r="D26" s="14" t="str">
        <x:v>C1 có Session A/B, mật khẩu Password@123.</x:v>
      </x:c>
      <x:c r="E26" s="14" t="str">
        <x:v>1. Thiết lập fixture và trạng thái theo Preconditions.
2. POST /auth/change-password; thử GET /accounts/me bằng A/B với Test Data.
3. Đối chiếu phản hồi và dữ liệu lưu trữ theo Expected Result.</x:v>
      </x:c>
      <x:c r="F26" s="14" t="str">
        <x:v>{"currentPassword":"Password@123","newPassword":"NewPassword@123"}</x:v>
      </x:c>
      <x:c r="G26" s="14" t="str">
        <x:v>204; cả A/B bị thu hồi; đăng nhập lại bằng mật khẩu mới thành công; không phục hồi phiên cũ.</x:v>
      </x:c>
      <x:c r="H26" s="14" t="str">
        <x:v>High</x:v>
      </x:c>
      <x:c r="I26" s="14" t="str">
        <x:v>FR01.4; AC01</x:v>
      </x:c>
      <x:c r="J26" s="14" t="str">
        <x:v>POST /auth/change-password; thử GET /accounts/me bằng A/B</x:v>
      </x:c>
      <x:c r="K26" s="14" t="str">
        <x:v>Integration</x:v>
      </x:c>
      <x:c r="L26" s="14" t="str">
        <x:v>DEFINED</x:v>
      </x:c>
      <x:c r="M26" s="33"/>
      <x:c r="N26" s="33" t="str">
        <x:v>NOT_RUN</x:v>
      </x:c>
      <x:c r="O26" s="14" t="str">
        <x:v>Bổ sung theo thiết kế đã duyệt; chưa chạy kiểm thử. Tham chiếu: 01-auth-customer-api.yaml. Đối chiếu bản API 1.2 trong cuộc trao đổi; không xác nhận trạng thái commit GitHub.</x:v>
      </x:c>
      <x:c r="P26" s="14" t="str">
        <x:v>R10</x:v>
      </x:c>
      <x:c r="Q26" s="14" t="str">
        <x:v>Request/response đã che token; dữ liệu trước/sau hoặc log kiểm tra có correlationId; môi trường, commit và thời gian chạy. Không ghi mật khẩu thật.</x:v>
      </x:c>
    </x:row>
  </x:sheetData>
  <x:conditionalFormatting sqref="L2:L26">
    <x:cfRule type="containsText" dxfId="33" priority="4" operator="containsText" text="NEEDS_DECISION"/>
    <x:cfRule type="containsText" dxfId="34" priority="5" operator="containsText" text="OUT_OF_SCOPE"/>
    <x:cfRule type="containsText" dxfId="35" priority="6" operator="containsText" text="SUPERSEDED"/>
  </x:conditionalFormatting>
  <x:conditionalFormatting sqref="N2:N26">
    <x:cfRule type="containsText" dxfId="36" priority="7" operator="containsText" text="FAIL"/>
    <x:cfRule type="containsText" dxfId="37" priority="8" operator="containsText" text="BLOCKED"/>
  </x:conditionalFormatting>
  <x:dataValidations count="3">
    <x:dataValidation type="list" sqref="L2:L26">
      <x:formula1>"DEFINED,NEEDS_DECISION,OUT_OF_SCOPE,SUPERSEDED"</x:formula1>
    </x:dataValidation>
    <x:dataValidation type="list" sqref="N2:N26">
      <x:formula1>"NOT_RUN,PASS,FAIL,BLOCKED"</x:formula1>
    </x:dataValidation>
    <x:dataValidation type="list" sqref="K2:K26">
      <x:formula1>"API,Integration,UI,Performance,Review,Security"</x:formula1>
    </x:dataValidation>
  </x:dataValidations>
  <x:pageMargins left="0.7" right="0.7" top="0.75" bottom="0.75" header="0.3" footer="0.3"/>
  <x:tableParts count="1">
    <x:tablePart xmlns:r="http://schemas.openxmlformats.org/officeDocument/2006/relationships" r:id="R567eb769b62c4ff4"/>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90" customHeight="1">
      <x:c r="A2" s="11" t="str">
        <x:v>TC-REG-001</x:v>
      </x:c>
      <x:c r="B2" s="11" t="str">
        <x:v>Đăng ký tài khoản khách hàng</x:v>
      </x:c>
      <x:c r="C2" s="11" t="str">
        <x:v>Đăng ký thành công với thông tin đầy đủ và hợp lệ</x:v>
      </x:c>
      <x:c r="D2" s="11" t="str">
        <x:v>Email và phone chưa tồn tại trong bất kỳ Account nào.</x:v>
      </x:c>
      <x:c r="E2" s="11" t="str">
        <x:v>1. Chuẩn bị dữ liệu và trạng thái trong Preconditions.
2. Gọi POST /auth/register với Test Data.
3. Đối chiếu HTTP, nội dung phản hồi và trạng thái lưu trữ với Expected Result.</x:v>
      </x:c>
      <x:c r="F2" s="11" t="str">
        <x:v>{"fullName":"Nguyễn Văn Test","email":"new@example.com","phone":"+84912345678","password":"Password@123"}</x:v>
      </x:c>
      <x:c r="G2" s="11" t="str">
        <x:v>201; tạo Account CUSTOMER ACTIVE và Customer liên kết; không tạo Session hoặc trả token.</x:v>
      </x:c>
      <x:c r="H2" s="11" t="str">
        <x:v>High</x:v>
      </x:c>
      <x:c r="I2" s="14" t="str">
        <x:v>FR01.1; AC01</x:v>
      </x:c>
      <x:c r="J2" s="14" t="str">
        <x:v>POST /auth/register</x:v>
      </x:c>
      <x:c r="K2" s="14" t="str">
        <x:v>API</x:v>
      </x:c>
      <x:c r="L2" s="14" t="str">
        <x:v>DEFINED</x:v>
      </x:c>
      <x:c r="M2" s="33"/>
      <x:c r="N2" s="33" t="str">
        <x:v>NOT_RUN</x:v>
      </x:c>
      <x:c r="O2" s="14" t="str">
        <x:v>Hợp đồng tham chiếu: 01-auth-customer-api.yaml. Chưa chạy kiểm thử. Đối chiếu bản API 1.2 trong cuộc trao đổi; không xác nhận trạng thái commit GitHub.</x:v>
      </x:c>
      <x:c r="P2" s="14" t="str">
        <x:v>R09</x:v>
      </x:c>
      <x:c r="Q2" s="14" t="str">
        <x:v>Request/response đã che token; dữ liệu trước/sau hoặc log kiểm tra có correlationId; môi trường, commit và thời gian chạy. Không ghi mật khẩu thật.</x:v>
      </x:c>
    </x:row>
    <x:row r="3" ht="90" customHeight="1">
      <x:c r="A3" s="11" t="str">
        <x:v>TC-REG-002</x:v>
      </x:c>
      <x:c r="B3" s="11" t="str">
        <x:v>Đăng ký tài khoản khách hàng</x:v>
      </x:c>
      <x:c r="C3" s="11" t="str">
        <x:v>Đăng ký thất bại khi thiếu họ tên</x:v>
      </x:c>
      <x:c r="D3" s="11" t="str">
        <x:v>Đang ở màn hình Đăng ký Mọi trường không được kiểm tra dùng dữ liệu hợp lệ, email/phone chưa tồn tại.</x:v>
      </x:c>
      <x:c r="E3" s="11" t="str">
        <x:v>1. Chuẩn bị dữ liệu và trạng thái trong Preconditions.
2. Gọi POST /auth/register với Test Data.
3. Đối chiếu HTTP, nội dung phản hồi và trạng thái lưu trữ với Expected Result.</x:v>
      </x:c>
      <x:c r="F3" s="11" t="str">
        <x:v>FullName: (trống)
Phone: +84912345678
Email: tranvanb@example.com
Password: Password@123</x:v>
      </x:c>
      <x:c r="G3" s="11" t="str">
        <x:v>Không tạo tài khoản; hệ thống báo lỗi thiếu họ tên (400)</x:v>
      </x:c>
      <x:c r="H3" s="11" t="str">
        <x:v>High</x:v>
      </x:c>
      <x:c r="I3" s="14" t="str">
        <x:v>FR01.1; AC01</x:v>
      </x:c>
      <x:c r="J3" s="14" t="str">
        <x:v>POST /auth/register</x:v>
      </x:c>
      <x:c r="K3" s="14" t="str">
        <x:v>API</x:v>
      </x:c>
      <x:c r="L3" s="14" t="str">
        <x:v>DEFINED</x:v>
      </x:c>
      <x:c r="M3" s="33"/>
      <x:c r="N3" s="33" t="str">
        <x:v>NOT_RUN</x:v>
      </x:c>
      <x:c r="O3" s="14" t="str">
        <x:v>Hợp đồng tham chiếu: 01-auth-customer-api.yaml. Chưa chạy kiểm thử. Đối chiếu bản API 1.2 trong cuộc trao đổi; không xác nhận trạng thái commit GitHub.</x:v>
      </x:c>
      <x:c r="P3" s="14" t="str">
        <x:v>R09</x:v>
      </x:c>
      <x:c r="Q3" s="14" t="str">
        <x:v>Request/response đã che token; dữ liệu trước/sau hoặc log kiểm tra có correlationId; môi trường, commit và thời gian chạy. Không ghi mật khẩu thật.</x:v>
      </x:c>
    </x:row>
    <x:row r="4" ht="90" customHeight="1">
      <x:c r="A4" s="11" t="str">
        <x:v>TC-REG-003</x:v>
      </x:c>
      <x:c r="B4" s="11" t="str">
        <x:v>Đăng ký tài khoản khách hàng</x:v>
      </x:c>
      <x:c r="C4" s="11" t="str">
        <x:v>Đăng ký thất bại khi thiếu số điện thoại</x:v>
      </x:c>
      <x:c r="D4" s="11" t="str">
        <x:v>Đang ở màn hình Đăng ký Mọi trường không được kiểm tra dùng dữ liệu hợp lệ, email/phone chưa tồn tại.</x:v>
      </x:c>
      <x:c r="E4" s="11" t="str">
        <x:v>1. Chuẩn bị dữ liệu và trạng thái trong Preconditions.
2. Gọi POST /auth/register với Test Data.
3. Đối chiếu HTTP, nội dung phản hồi và trạng thái lưu trữ với Expected Result.</x:v>
      </x:c>
      <x:c r="F4" s="11" t="str">
        <x:v>FullName: Tran Van B
Phone: (trống)
Email: tranvanb@example.com
Password: Password@123</x:v>
      </x:c>
      <x:c r="G4" s="11" t="str">
        <x:v>Không tạo tài khoản; hệ thống báo lỗi thiếu số điện thoại (400)</x:v>
      </x:c>
      <x:c r="H4" s="11" t="str">
        <x:v>High</x:v>
      </x:c>
      <x:c r="I4" s="14" t="str">
        <x:v>FR01.1; AC01</x:v>
      </x:c>
      <x:c r="J4" s="14" t="str">
        <x:v>POST /auth/register</x:v>
      </x:c>
      <x:c r="K4" s="14" t="str">
        <x:v>API</x:v>
      </x:c>
      <x:c r="L4" s="14" t="str">
        <x:v>DEFINED</x:v>
      </x:c>
      <x:c r="M4" s="33"/>
      <x:c r="N4" s="33" t="str">
        <x:v>NOT_RUN</x:v>
      </x:c>
      <x:c r="O4" s="14" t="str">
        <x:v>Hợp đồng tham chiếu: 01-auth-customer-api.yaml. Chưa chạy kiểm thử. Đối chiếu bản API 1.2 trong cuộc trao đổi; không xác nhận trạng thái commit GitHub.</x:v>
      </x:c>
      <x:c r="P4" s="14" t="str">
        <x:v>R09</x:v>
      </x:c>
      <x:c r="Q4" s="14" t="str">
        <x:v>Request/response đã che token; dữ liệu trước/sau hoặc log kiểm tra có correlationId; môi trường, commit và thời gian chạy. Không ghi mật khẩu thật.</x:v>
      </x:c>
    </x:row>
    <x:row r="5" ht="90" customHeight="1">
      <x:c r="A5" s="11" t="str">
        <x:v>TC-REG-004</x:v>
      </x:c>
      <x:c r="B5" s="11" t="str">
        <x:v>Đăng ký tài khoản khách hàng</x:v>
      </x:c>
      <x:c r="C5" s="11" t="str">
        <x:v>Đăng ký thất bại khi thiếu email</x:v>
      </x:c>
      <x:c r="D5" s="11" t="str">
        <x:v>Đang ở màn hình Đăng ký Mọi trường không được kiểm tra dùng dữ liệu hợp lệ, email/phone chưa tồn tại.</x:v>
      </x:c>
      <x:c r="E5" s="11" t="str">
        <x:v>1. Chuẩn bị dữ liệu và trạng thái trong Preconditions.
2. Gọi POST /auth/register với Test Data.
3. Đối chiếu HTTP, nội dung phản hồi và trạng thái lưu trữ với Expected Result.</x:v>
      </x:c>
      <x:c r="F5" s="11" t="str">
        <x:v>FullName: Tran Van B
Phone: +84912345678
Email: (trống)
Password: Password@123</x:v>
      </x:c>
      <x:c r="G5" s="11" t="str">
        <x:v>Không tạo tài khoản; hệ thống báo lỗi thiếu email (400)</x:v>
      </x:c>
      <x:c r="H5" s="11" t="str">
        <x:v>High</x:v>
      </x:c>
      <x:c r="I5" s="14" t="str">
        <x:v>FR01.1; AC01</x:v>
      </x:c>
      <x:c r="J5" s="14" t="str">
        <x:v>POST /auth/register</x:v>
      </x:c>
      <x:c r="K5" s="14" t="str">
        <x:v>API</x:v>
      </x:c>
      <x:c r="L5" s="14" t="str">
        <x:v>DEFINED</x:v>
      </x:c>
      <x:c r="M5" s="33"/>
      <x:c r="N5" s="33" t="str">
        <x:v>NOT_RUN</x:v>
      </x:c>
      <x:c r="O5" s="14" t="str">
        <x:v>Hợp đồng tham chiếu: 01-auth-customer-api.yaml. Chưa chạy kiểm thử. Đối chiếu bản API 1.2 trong cuộc trao đổi; không xác nhận trạng thái commit GitHub.</x:v>
      </x:c>
      <x:c r="P5" s="14" t="str">
        <x:v>R09</x:v>
      </x:c>
      <x:c r="Q5" s="14" t="str">
        <x:v>Request/response đã che token; dữ liệu trước/sau hoặc log kiểm tra có correlationId; môi trường, commit và thời gian chạy. Không ghi mật khẩu thật.</x:v>
      </x:c>
    </x:row>
    <x:row r="6" ht="90" customHeight="1">
      <x:c r="A6" s="11" t="str">
        <x:v>TC-REG-005</x:v>
      </x:c>
      <x:c r="B6" s="11" t="str">
        <x:v>Đăng ký tài khoản khách hàng</x:v>
      </x:c>
      <x:c r="C6" s="11" t="str">
        <x:v>Đăng ký thất bại khi thiếu mật khẩu</x:v>
      </x:c>
      <x:c r="D6" s="11" t="str">
        <x:v>Đang ở màn hình Đăng ký Mọi trường không được kiểm tra dùng dữ liệu hợp lệ, email/phone chưa tồn tại.</x:v>
      </x:c>
      <x:c r="E6" s="11" t="str">
        <x:v>1. Chuẩn bị dữ liệu và trạng thái trong Preconditions.
2. Gọi POST /auth/register với Test Data.
3. Đối chiếu HTTP, nội dung phản hồi và trạng thái lưu trữ với Expected Result.</x:v>
      </x:c>
      <x:c r="F6" s="11" t="str">
        <x:v>FullName: Tran Van B
Phone: +84912345678
Email: tranvanb@example.com
Password: (trống)</x:v>
      </x:c>
      <x:c r="G6" s="11" t="str">
        <x:v>Không tạo tài khoản; hệ thống báo lỗi thiếu mật khẩu (400)</x:v>
      </x:c>
      <x:c r="H6" s="11" t="str">
        <x:v>High</x:v>
      </x:c>
      <x:c r="I6" s="14" t="str">
        <x:v>FR01.1; AC01</x:v>
      </x:c>
      <x:c r="J6" s="14" t="str">
        <x:v>POST /auth/register</x:v>
      </x:c>
      <x:c r="K6" s="14" t="str">
        <x:v>API</x:v>
      </x:c>
      <x:c r="L6" s="14" t="str">
        <x:v>DEFINED</x:v>
      </x:c>
      <x:c r="M6" s="33"/>
      <x:c r="N6" s="33" t="str">
        <x:v>NOT_RUN</x:v>
      </x:c>
      <x:c r="O6" s="14" t="str">
        <x:v>Hợp đồng tham chiếu: 01-auth-customer-api.yaml. Chưa chạy kiểm thử. Đối chiếu bản API 1.2 trong cuộc trao đổi; không xác nhận trạng thái commit GitHub.</x:v>
      </x:c>
      <x:c r="P6" s="14" t="str">
        <x:v>R09</x:v>
      </x:c>
      <x:c r="Q6" s="14" t="str">
        <x:v>Request/response đã che token; dữ liệu trước/sau hoặc log kiểm tra có correlationId; môi trường, commit và thời gian chạy. Không ghi mật khẩu thật.</x:v>
      </x:c>
    </x:row>
    <x:row r="7" ht="90" customHeight="1">
      <x:c r="A7" s="11" t="str">
        <x:v>TC-REG-006</x:v>
      </x:c>
      <x:c r="B7" s="11" t="str">
        <x:v>Đăng ký tài khoản khách hàng</x:v>
      </x:c>
      <x:c r="C7" s="11" t="str">
        <x:v>Đăng ký thất bại khi email sai định dạng</x:v>
      </x:c>
      <x:c r="D7" s="11" t="str">
        <x:v>Đang ở màn hình Đăng ký Mọi trường không được kiểm tra dùng dữ liệu hợp lệ, email/phone chưa tồn tại.</x:v>
      </x:c>
      <x:c r="E7" s="11" t="str">
        <x:v>1. Chuẩn bị dữ liệu và trạng thái trong Preconditions.
2. Gọi POST /auth/register với Test Data.
3. Đối chiếu HTTP, nội dung phản hồi và trạng thái lưu trữ với Expected Result.</x:v>
      </x:c>
      <x:c r="F7" s="11" t="str">
        <x:v>Email: tranvanb-example.com</x:v>
      </x:c>
      <x:c r="G7" s="11" t="str">
        <x:v>Từ chối dữ liệu; hiển thị lỗi định dạng email không hợp lệ (400)</x:v>
      </x:c>
      <x:c r="H7" s="11" t="str">
        <x:v>Medium</x:v>
      </x:c>
      <x:c r="I7" s="14" t="str">
        <x:v>FR01.1; AC01</x:v>
      </x:c>
      <x:c r="J7" s="14" t="str">
        <x:v>POST /auth/register</x:v>
      </x:c>
      <x:c r="K7" s="14" t="str">
        <x:v>API</x:v>
      </x:c>
      <x:c r="L7" s="14" t="str">
        <x:v>DEFINED</x:v>
      </x:c>
      <x:c r="M7" s="33"/>
      <x:c r="N7" s="33" t="str">
        <x:v>NOT_RUN</x:v>
      </x:c>
      <x:c r="O7" s="14" t="str">
        <x:v>Hợp đồng tham chiếu: 01-auth-customer-api.yaml. Chưa chạy kiểm thử. Đối chiếu bản API 1.2 trong cuộc trao đổi; không xác nhận trạng thái commit GitHub.</x:v>
      </x:c>
      <x:c r="P7" s="14" t="str">
        <x:v>R09</x:v>
      </x:c>
      <x:c r="Q7" s="14" t="str">
        <x:v>Request/response đã che token; dữ liệu trước/sau hoặc log kiểm tra có correlationId; môi trường, commit và thời gian chạy. Không ghi mật khẩu thật.</x:v>
      </x:c>
    </x:row>
    <x:row r="8" ht="90" customHeight="1">
      <x:c r="A8" s="11" t="str">
        <x:v>TC-REG-007</x:v>
      </x:c>
      <x:c r="B8" s="11" t="str">
        <x:v>Đăng ký tài khoản khách hàng</x:v>
      </x:c>
      <x:c r="C8" s="11" t="str">
        <x:v>Đăng ký thất bại khi số điện thoại sai định dạng</x:v>
      </x:c>
      <x:c r="D8" s="11" t="str">
        <x:v>Đang ở màn hình Đăng ký Mọi trường không được kiểm tra dùng dữ liệu hợp lệ, email/phone chưa tồn tại.</x:v>
      </x:c>
      <x:c r="E8" s="11" t="str">
        <x:v>1. Chuẩn bị dữ liệu và trạng thái trong Preconditions.
2. Gọi POST /auth/register với Test Data.
3. Đối chiếu HTTP, nội dung phản hồi và trạng thái lưu trữ với Expected Result.</x:v>
      </x:c>
      <x:c r="F8" s="11" t="str">
        <x:v>Phone: 09abcd5678</x:v>
      </x:c>
      <x:c r="G8" s="11" t="str">
        <x:v>Từ chối dữ liệu; hiển thị lỗi định dạng số điện thoại không hợp lệ (400)</x:v>
      </x:c>
      <x:c r="H8" s="11" t="str">
        <x:v>Medium</x:v>
      </x:c>
      <x:c r="I8" s="14" t="str">
        <x:v>FR01.1; AC01</x:v>
      </x:c>
      <x:c r="J8" s="14" t="str">
        <x:v>POST /auth/register</x:v>
      </x:c>
      <x:c r="K8" s="14" t="str">
        <x:v>API</x:v>
      </x:c>
      <x:c r="L8" s="14" t="str">
        <x:v>DEFINED</x:v>
      </x:c>
      <x:c r="M8" s="33"/>
      <x:c r="N8" s="33" t="str">
        <x:v>NOT_RUN</x:v>
      </x:c>
      <x:c r="O8" s="14" t="str">
        <x:v>Hợp đồng tham chiếu: 01-auth-customer-api.yaml. Chưa chạy kiểm thử. Đối chiếu bản API 1.2 trong cuộc trao đổi; không xác nhận trạng thái commit GitHub.</x:v>
      </x:c>
      <x:c r="P8" s="14" t="str">
        <x:v>R09</x:v>
      </x:c>
      <x:c r="Q8" s="14" t="str">
        <x:v>Request/response đã che token; dữ liệu trước/sau hoặc log kiểm tra có correlationId; môi trường, commit và thời gian chạy. Không ghi mật khẩu thật.</x:v>
      </x:c>
    </x:row>
    <x:row r="9" ht="90" customHeight="1">
      <x:c r="A9" s="11" t="str">
        <x:v>TC-REG-008</x:v>
      </x:c>
      <x:c r="B9" s="11" t="str">
        <x:v>Đăng ký tài khoản khách hàng</x:v>
      </x:c>
      <x:c r="C9" s="11" t="str">
        <x:v>Đăng ký thất bại khi mật khẩu ngắn hơn độ dài tối thiểu</x:v>
      </x:c>
      <x:c r="D9" s="11" t="str">
        <x:v>Quy tắc độ dài mật khẩu tối thiểu 8 ký tự đã được định nghĩa Mọi trường không được kiểm tra dùng dữ liệu hợp lệ, email/phone chưa tồn tại.</x:v>
      </x:c>
      <x:c r="E9" s="11" t="str">
        <x:v>1. Chuẩn bị dữ liệu và trạng thái trong Preconditions.
2. Gọi POST /auth/register với Test Data.
3. Đối chiếu HTTP, nội dung phản hồi và trạng thái lưu trữ với Expected Result.</x:v>
      </x:c>
      <x:c r="F9" s="11" t="str">
        <x:v>Password: Pas1</x:v>
      </x:c>
      <x:c r="G9" s="11" t="str">
        <x:v>Từ chối dữ liệu; hiển thị lỗi mật khẩu không đủ độ dài tối thiểu (400)</x:v>
      </x:c>
      <x:c r="H9" s="11" t="str">
        <x:v>Medium</x:v>
      </x:c>
      <x:c r="I9" s="14" t="str">
        <x:v>FR01.1; AC01</x:v>
      </x:c>
      <x:c r="J9" s="14" t="str">
        <x:v>POST /auth/register</x:v>
      </x:c>
      <x:c r="K9" s="14" t="str">
        <x:v>API</x:v>
      </x:c>
      <x:c r="L9" s="14" t="str">
        <x:v>DEFINED</x:v>
      </x:c>
      <x:c r="M9" s="33"/>
      <x:c r="N9" s="33" t="str">
        <x:v>NOT_RUN</x:v>
      </x:c>
      <x:c r="O9" s="14" t="str">
        <x:v>Hợp đồng tham chiếu: 01-auth-customer-api.yaml. Chưa chạy kiểm thử. Đối chiếu bản API 1.2 trong cuộc trao đổi; không xác nhận trạng thái commit GitHub.</x:v>
      </x:c>
      <x:c r="P9" s="14" t="str">
        <x:v>R09</x:v>
      </x:c>
      <x:c r="Q9" s="14" t="str">
        <x:v>Request/response đã che token; dữ liệu trước/sau hoặc log kiểm tra có correlationId; môi trường, commit và thời gian chạy. Không ghi mật khẩu thật.</x:v>
      </x:c>
    </x:row>
    <x:row r="10" ht="90" customHeight="1">
      <x:c r="A10" s="11" t="str">
        <x:v>TC-REG-009</x:v>
      </x:c>
      <x:c r="B10" s="11" t="str">
        <x:v>Đăng ký tài khoản khách hàng</x:v>
      </x:c>
      <x:c r="C10" s="11" t="str">
        <x:v>Đăng ký thất bại khi email đã được đăng ký trước đó</x:v>
      </x:c>
      <x:c r="D10" s="11" t="str">
        <x:v>Email nguyenvana@example.com đã tồn tại trong hệ thống Mọi trường không được kiểm tra dùng dữ liệu hợp lệ, email/phone chưa tồn tại.</x:v>
      </x:c>
      <x:c r="E10" s="11" t="str">
        <x:v>1. Chuẩn bị dữ liệu và trạng thái trong Preconditions.
2. Gọi POST /auth/register với Test Data.
3. Đối chiếu HTTP, nội dung phản hồi và trạng thái lưu trữ với Expected Result.</x:v>
      </x:c>
      <x:c r="F10" s="11" t="str">
        <x:v>Email: nguyenvana@example.com</x:v>
      </x:c>
      <x:c r="G10" s="11" t="str">
        <x:v>409; email hoặc phone trùng sau chuẩn hóa trong toàn bộ Account; không tạo Account/Customer mới.</x:v>
      </x:c>
      <x:c r="H10" s="11" t="str">
        <x:v>High</x:v>
      </x:c>
      <x:c r="I10" s="14" t="str">
        <x:v>FR01.1; AC01</x:v>
      </x:c>
      <x:c r="J10" s="14" t="str">
        <x:v>POST /auth/register</x:v>
      </x:c>
      <x:c r="K10" s="14" t="str">
        <x:v>API</x:v>
      </x:c>
      <x:c r="L10" s="14" t="str">
        <x:v>DEFINED</x:v>
      </x:c>
      <x:c r="M10" s="33"/>
      <x:c r="N10" s="33" t="str">
        <x:v>NOT_RUN</x:v>
      </x:c>
      <x:c r="O10" s="14" t="str">
        <x:v>Hợp đồng tham chiếu: 01-auth-customer-api.yaml. Chưa chạy kiểm thử. Đối chiếu bản API 1.2 trong cuộc trao đổi; không xác nhận trạng thái commit GitHub.</x:v>
      </x:c>
      <x:c r="P10" s="14" t="str">
        <x:v>R09</x:v>
      </x:c>
      <x:c r="Q10" s="14" t="str">
        <x:v>Request/response đã che token; dữ liệu trước/sau hoặc log kiểm tra có correlationId; môi trường, commit và thời gian chạy. Không ghi mật khẩu thật.</x:v>
      </x:c>
    </x:row>
    <x:row r="11" ht="90" customHeight="1">
      <x:c r="A11" s="11" t="str">
        <x:v>TC-REG-010</x:v>
      </x:c>
      <x:c r="B11" s="11" t="str">
        <x:v>Đăng ký tài khoản khách hàng</x:v>
      </x:c>
      <x:c r="C11" s="11" t="str">
        <x:v>Đăng ký thất bại khi số điện thoại đã được đăng ký trước đó</x:v>
      </x:c>
      <x:c r="D11" s="11" t="str">
        <x:v>Số điện thoại +84901234567 đã tồn tại trong hệ thống Mọi trường không được kiểm tra dùng dữ liệu hợp lệ, email/phone chưa tồn tại.</x:v>
      </x:c>
      <x:c r="E11" s="11" t="str">
        <x:v>1. Chuẩn bị dữ liệu và trạng thái trong Preconditions.
2. Gọi POST /auth/register với Test Data.
3. Đối chiếu HTTP, nội dung phản hồi và trạng thái lưu trữ với Expected Result.</x:v>
      </x:c>
      <x:c r="F11" s="11" t="str">
        <x:v>Phone: +84901234567</x:v>
      </x:c>
      <x:c r="G11" s="11" t="str">
        <x:v>409; email hoặc phone trùng sau chuẩn hóa trong toàn bộ Account; không tạo Account/Customer mới.</x:v>
      </x:c>
      <x:c r="H11" s="11" t="str">
        <x:v>High</x:v>
      </x:c>
      <x:c r="I11" s="14" t="str">
        <x:v>FR01.1; AC01</x:v>
      </x:c>
      <x:c r="J11" s="14" t="str">
        <x:v>POST /auth/register</x:v>
      </x:c>
      <x:c r="K11" s="14" t="str">
        <x:v>API</x:v>
      </x:c>
      <x:c r="L11" s="14" t="str">
        <x:v>DEFINED</x:v>
      </x:c>
      <x:c r="M11" s="33"/>
      <x:c r="N11" s="33" t="str">
        <x:v>NOT_RUN</x:v>
      </x:c>
      <x:c r="O11" s="14" t="str">
        <x:v>Hợp đồng tham chiếu: 01-auth-customer-api.yaml. Chưa chạy kiểm thử. Đối chiếu bản API 1.2 trong cuộc trao đổi; không xác nhận trạng thái commit GitHub.</x:v>
      </x:c>
      <x:c r="P11" s="14" t="str">
        <x:v>R09</x:v>
      </x:c>
      <x:c r="Q11" s="14" t="str">
        <x:v>Request/response đã che token; dữ liệu trước/sau hoặc log kiểm tra có correlationId; môi trường, commit và thời gian chạy. Không ghi mật khẩu thật.</x:v>
      </x:c>
    </x:row>
    <x:row r="12" ht="90" customHeight="1">
      <x:c r="A12" s="11" t="str">
        <x:v>TC-REG-011</x:v>
      </x:c>
      <x:c r="B12" s="11" t="str">
        <x:v>Đăng ký tài khoản khách hàng</x:v>
      </x:c>
      <x:c r="C12" s="11" t="str">
        <x:v>Tài khoản đăng ký công khai là CUSTOMER ACTIVE</x:v>
      </x:c>
      <x:c r="D12" s="11" t="str">
        <x:v>Hệ thống đang hoạt động; thông tin đăng ký hợp lệ, chưa tồn tại Mọi trường không được kiểm tra dùng dữ liệu hợp lệ, email/phone chưa tồn tại.</x:v>
      </x:c>
      <x:c r="E12" s="11" t="str">
        <x:v>1. Chuẩn bị dữ liệu và trạng thái trong Preconditions.
2. Gọi POST /auth/register với Test Data.
3. Đối chiếu HTTP, nội dung phản hồi và trạng thái lưu trữ với Expected Result.</x:v>
      </x:c>
      <x:c r="F12" s="11" t="str">
        <x:v>Dữ liệu đăng ký hợp lệ, email và phone duy nhất.</x:v>
      </x:c>
      <x:c r="G12" s="11" t="str">
        <x:v>201; role=CUSTOMER; accountStatus=ACTIVE; có Customer liên kết; không tự đăng nhập hoặc trả token.</x:v>
      </x:c>
      <x:c r="H12" s="11" t="str">
        <x:v>Medium</x:v>
      </x:c>
      <x:c r="I12" s="14" t="str">
        <x:v>FR01.1; AC01</x:v>
      </x:c>
      <x:c r="J12" s="14" t="str">
        <x:v>POST /auth/register</x:v>
      </x:c>
      <x:c r="K12" s="14" t="str">
        <x:v>API</x:v>
      </x:c>
      <x:c r="L12" s="14" t="str">
        <x:v>DEFINED</x:v>
      </x:c>
      <x:c r="M12" s="33"/>
      <x:c r="N12" s="33" t="str">
        <x:v>NOT_RUN</x:v>
      </x:c>
      <x:c r="O12" s="14" t="str">
        <x:v>Hợp đồng tham chiếu: 01-auth-customer-api.yaml. Chưa chạy kiểm thử. Đối chiếu bản API 1.2 trong cuộc trao đổi; không xác nhận trạng thái commit GitHub.</x:v>
      </x:c>
      <x:c r="P12" s="14" t="str">
        <x:v>R09</x:v>
      </x:c>
      <x:c r="Q12" s="14" t="str">
        <x:v>Request/response đã che token; dữ liệu trước/sau hoặc log kiểm tra có correlationId; môi trường, commit và thời gian chạy. Không ghi mật khẩu thật.</x:v>
      </x:c>
    </x:row>
    <x:row r="13" ht="90" customHeight="1">
      <x:c r="A13" s="11" t="str">
        <x:v>TC-REG-012</x:v>
      </x:c>
      <x:c r="B13" s="11" t="str">
        <x:v>Đăng ký tài khoản khách hàng</x:v>
      </x:c>
      <x:c r="C13" s="11" t="str">
        <x:v>Đăng ký thành công, kiểm tra response không trả về mật khẩu</x:v>
      </x:c>
      <x:c r="D13" s="11" t="str">
        <x:v>Hệ thống đang hoạt động Mọi trường không được kiểm tra dùng dữ liệu hợp lệ, email/phone chưa tồn tại.</x:v>
      </x:c>
      <x:c r="E13" s="11" t="str">
        <x:v>1. Chuẩn bị dữ liệu và trạng thái trong Preconditions.
2. Gọi POST /auth/register với Test Data.
3. Đối chiếu HTTP, nội dung phản hồi và trạng thái lưu trữ với Expected Result.</x:v>
      </x:c>
      <x:c r="F13" s="11" t="str">
        <x:v>FullName: Le Thi C
Phone: +84933445566
Email: lethic@example.com
Password: Password@123</x:v>
      </x:c>
      <x:c r="G13" s="11" t="str">
        <x:v>Response không chứa trường password hoặc thông tin nhạy cảm khác</x:v>
      </x:c>
      <x:c r="H13" s="11" t="str">
        <x:v>High</x:v>
      </x:c>
      <x:c r="I13" s="14" t="str">
        <x:v>FR01.1; AC01</x:v>
      </x:c>
      <x:c r="J13" s="14" t="str">
        <x:v>POST /auth/register</x:v>
      </x:c>
      <x:c r="K13" s="14" t="str">
        <x:v>API</x:v>
      </x:c>
      <x:c r="L13" s="14" t="str">
        <x:v>DEFINED</x:v>
      </x:c>
      <x:c r="M13" s="33"/>
      <x:c r="N13" s="33" t="str">
        <x:v>NOT_RUN</x:v>
      </x:c>
      <x:c r="O13" s="14" t="str">
        <x:v>Hợp đồng tham chiếu: 01-auth-customer-api.yaml. Chưa chạy kiểm thử. Đối chiếu bản API 1.2 trong cuộc trao đổi; không xác nhận trạng thái commit GitHub.</x:v>
      </x:c>
      <x:c r="P13" s="14" t="str">
        <x:v>R09</x:v>
      </x:c>
      <x:c r="Q13" s="14" t="str">
        <x:v>Request/response đã che token; dữ liệu trước/sau hoặc log kiểm tra có correlationId; môi trường, commit và thời gian chạy. Không ghi mật khẩu thật.</x:v>
      </x:c>
    </x:row>
    <x:row r="14" ht="90" customHeight="1">
      <x:c r="A14" s="11" t="str">
        <x:v>TC-REG-013</x:v>
      </x:c>
      <x:c r="B14" s="11" t="str">
        <x:v>Đăng ký tài khoản khách hàng</x:v>
      </x:c>
      <x:c r="C14" s="11" t="str">
        <x:v>Đăng ký thất bại khi để trống toàn bộ các trường bắt buộc</x:v>
      </x:c>
      <x:c r="D14" s="11" t="str">
        <x:v>Đang ở màn hình Đăng ký Mọi trường không được kiểm tra dùng dữ liệu hợp lệ, email/phone chưa tồn tại.</x:v>
      </x:c>
      <x:c r="E14" s="11" t="str">
        <x:v>1. Chuẩn bị dữ liệu và trạng thái trong Preconditions.
2. Gọi POST /auth/register với Test Data.
3. Đối chiếu HTTP, nội dung phản hồi và trạng thái lưu trữ với Expected Result.</x:v>
      </x:c>
      <x:c r="F14" s="11" t="str">
        <x:v>FullName: (trống)
Phone: (trống)
Email: (trống)
Password: (trống)</x:v>
      </x:c>
      <x:c r="G14" s="11" t="str">
        <x:v>Hệ thống từ chối và hiển thị đầy đủ các lỗi validation tương ứng (400)</x:v>
      </x:c>
      <x:c r="H14" s="11" t="str">
        <x:v>High</x:v>
      </x:c>
      <x:c r="I14" s="14" t="str">
        <x:v>FR01.1; AC01</x:v>
      </x:c>
      <x:c r="J14" s="14" t="str">
        <x:v>POST /auth/register</x:v>
      </x:c>
      <x:c r="K14" s="14" t="str">
        <x:v>API</x:v>
      </x:c>
      <x:c r="L14" s="14" t="str">
        <x:v>DEFINED</x:v>
      </x:c>
      <x:c r="M14" s="33"/>
      <x:c r="N14" s="33" t="str">
        <x:v>NOT_RUN</x:v>
      </x:c>
      <x:c r="O14" s="14" t="str">
        <x:v>Hợp đồng tham chiếu: 01-auth-customer-api.yaml. Chưa chạy kiểm thử. Đối chiếu bản API 1.2 trong cuộc trao đổi; không xác nhận trạng thái commit GitHub.</x:v>
      </x:c>
      <x:c r="P14" s="14" t="str">
        <x:v>R09</x:v>
      </x:c>
      <x:c r="Q14" s="14" t="str">
        <x:v>Request/response đã che token; dữ liệu trước/sau hoặc log kiểm tra có correlationId; môi trường, commit và thời gian chạy. Không ghi mật khẩu thật.</x:v>
      </x:c>
    </x:row>
    <x:row r="15" ht="90" customHeight="1">
      <x:c r="A15" s="11" t="str">
        <x:v>TC-REG-014</x:v>
      </x:c>
      <x:c r="B15" s="11" t="str">
        <x:v>Đăng ký tài khoản khách hàng</x:v>
      </x:c>
      <x:c r="C15" s="11" t="str">
        <x:v>Đăng ký với họ tên có dấu tiếng Việt</x:v>
      </x:c>
      <x:c r="D15" s="11" t="str">
        <x:v>Hệ thống đang hoạt động Mọi trường không được kiểm tra dùng dữ liệu hợp lệ, email/phone chưa tồn tại.</x:v>
      </x:c>
      <x:c r="E15" s="11" t="str">
        <x:v>1. Chuẩn bị dữ liệu và trạng thái trong Preconditions.
2. Gọi POST /auth/register với Test Data.
3. Đối chiếu HTTP, nội dung phản hồi và trạng thái lưu trữ với Expected Result.</x:v>
      </x:c>
      <x:c r="F15" s="11" t="str">
        <x:v>FullName: Nguyễn Thị Hồng
Phone: +84977889900
Email: nguyenthihong@example.com
Password: Password@123</x:v>
      </x:c>
      <x:c r="G15" s="11" t="str">
        <x:v>Đăng ký thành công; họ tên được lưu chính xác bao gồm dấu tiếng Việt</x:v>
      </x:c>
      <x:c r="H15" s="11" t="str">
        <x:v>Medium</x:v>
      </x:c>
      <x:c r="I15" s="14" t="str">
        <x:v>FR01.1; AC01</x:v>
      </x:c>
      <x:c r="J15" s="14" t="str">
        <x:v>POST /auth/register</x:v>
      </x:c>
      <x:c r="K15" s="14" t="str">
        <x:v>API</x:v>
      </x:c>
      <x:c r="L15" s="14" t="str">
        <x:v>DEFINED</x:v>
      </x:c>
      <x:c r="M15" s="33"/>
      <x:c r="N15" s="33" t="str">
        <x:v>NOT_RUN</x:v>
      </x:c>
      <x:c r="O15" s="14" t="str">
        <x:v>Hợp đồng tham chiếu: 01-auth-customer-api.yaml. Chưa chạy kiểm thử. Đối chiếu bản API 1.2 trong cuộc trao đổi; không xác nhận trạng thái commit GitHub.</x:v>
      </x:c>
      <x:c r="P15" s="14" t="str">
        <x:v>R09</x:v>
      </x:c>
      <x:c r="Q15" s="14" t="str">
        <x:v>Request/response đã che token; dữ liệu trước/sau hoặc log kiểm tra có correlationId; môi trường, commit và thời gian chạy. Không ghi mật khẩu thật.</x:v>
      </x:c>
    </x:row>
    <x:row r="16" ht="90" customHeight="1">
      <x:c r="A16" s="11" t="str">
        <x:v>TC-REG-015</x:v>
      </x:c>
      <x:c r="B16" s="11" t="str">
        <x:v>Đăng ký tài khoản khách hàng</x:v>
      </x:c>
      <x:c r="C16" s="11" t="str">
        <x:v>Đăng ký thất bại khi mật khẩu chỉ gồm khoảng trắng</x:v>
      </x:c>
      <x:c r="D16" s="11" t="str">
        <x:v>Đang ở màn hình Đăng ký Mọi trường không được kiểm tra dùng dữ liệu hợp lệ, email/phone chưa tồn tại.</x:v>
      </x:c>
      <x:c r="E16" s="11" t="str">
        <x:v>1. Chuẩn bị dữ liệu và trạng thái trong Preconditions.
2. Gọi POST /auth/register với Test Data.
3. Đối chiếu HTTP, nội dung phản hồi và trạng thái lưu trữ với Expected Result.</x:v>
      </x:c>
      <x:c r="F16" s="11" t="str">
        <x:v>Password: "        "</x:v>
      </x:c>
      <x:c r="G16" s="11" t="str">
        <x:v>Hệ thống coi mật khẩu là rỗng/không hợp lệ; từ chối đăng ký (400)</x:v>
      </x:c>
      <x:c r="H16" s="11" t="str">
        <x:v>Medium</x:v>
      </x:c>
      <x:c r="I16" s="14" t="str">
        <x:v>FR01.1; AC01</x:v>
      </x:c>
      <x:c r="J16" s="14" t="str">
        <x:v>POST /auth/register</x:v>
      </x:c>
      <x:c r="K16" s="14" t="str">
        <x:v>API</x:v>
      </x:c>
      <x:c r="L16" s="14" t="str">
        <x:v>DEFINED</x:v>
      </x:c>
      <x:c r="M16" s="33"/>
      <x:c r="N16" s="33" t="str">
        <x:v>NOT_RUN</x:v>
      </x:c>
      <x:c r="O16" s="14" t="str">
        <x:v>Hợp đồng tham chiếu: 01-auth-customer-api.yaml. Chưa chạy kiểm thử. Đối chiếu bản API 1.2 trong cuộc trao đổi; không xác nhận trạng thái commit GitHub.</x:v>
      </x:c>
      <x:c r="P16" s="14" t="str">
        <x:v>R09</x:v>
      </x:c>
      <x:c r="Q16" s="14" t="str">
        <x:v>Request/response đã che token; dữ liệu trước/sau hoặc log kiểm tra có correlationId; môi trường, commit và thời gian chạy. Không ghi mật khẩu thật.</x:v>
      </x:c>
    </x:row>
    <x:row r="17" ht="90" customHeight="1">
      <x:c r="A17" s="11" t="str">
        <x:v>TC-REG-016</x:v>
      </x:c>
      <x:c r="B17" s="11" t="str">
        <x:v>Đăng ký tài khoản khách hàng</x:v>
      </x:c>
      <x:c r="C17" s="11" t="str">
        <x:v>Đăng ký thất bại khi email trùng nhưng khác chữ hoa/thường</x:v>
      </x:c>
      <x:c r="D17" s="11" t="str">
        <x:v>Email nguyenvana@example.com đã tồn tại trong hệ thống Mọi trường không được kiểm tra dùng dữ liệu hợp lệ, email/phone chưa tồn tại.</x:v>
      </x:c>
      <x:c r="E17" s="11" t="str">
        <x:v>1. Chuẩn bị dữ liệu và trạng thái trong Preconditions.
2. Gọi POST /auth/register với Test Data.
3. Đối chiếu HTTP, nội dung phản hồi và trạng thái lưu trữ với Expected Result.</x:v>
      </x:c>
      <x:c r="F17" s="11" t="str">
        <x:v>Email: NGUYENVANA@EXAMPLE.COM</x:v>
      </x:c>
      <x:c r="G17" s="11" t="str">
        <x:v>409; email hoặc phone trùng sau chuẩn hóa trong toàn bộ Account; không tạo Account/Customer mới.</x:v>
      </x:c>
      <x:c r="H17" s="11" t="str">
        <x:v>Medium</x:v>
      </x:c>
      <x:c r="I17" s="14" t="str">
        <x:v>FR01.1; AC01</x:v>
      </x:c>
      <x:c r="J17" s="14" t="str">
        <x:v>POST /auth/register</x:v>
      </x:c>
      <x:c r="K17" s="14" t="str">
        <x:v>API</x:v>
      </x:c>
      <x:c r="L17" s="14" t="str">
        <x:v>DEFINED</x:v>
      </x:c>
      <x:c r="M17" s="33"/>
      <x:c r="N17" s="33" t="str">
        <x:v>NOT_RUN</x:v>
      </x:c>
      <x:c r="O17" s="14" t="str">
        <x:v>Hợp đồng tham chiếu: 01-auth-customer-api.yaml. Chưa chạy kiểm thử. Đối chiếu bản API 1.2 trong cuộc trao đổi; không xác nhận trạng thái commit GitHub.</x:v>
      </x:c>
      <x:c r="P17" s="14" t="str">
        <x:v>R09</x:v>
      </x:c>
      <x:c r="Q17" s="14" t="str">
        <x:v>Request/response đã che token; dữ liệu trước/sau hoặc log kiểm tra có correlationId; môi trường, commit và thời gian chạy. Không ghi mật khẩu thật.</x:v>
      </x:c>
    </x:row>
    <x:row r="18" ht="90" customHeight="1">
      <x:c r="A18" s="11" t="str">
        <x:v>TC-REG-017</x:v>
      </x:c>
      <x:c r="B18" s="11" t="str">
        <x:v>Đăng ký tài khoản khách hàng</x:v>
      </x:c>
      <x:c r="C18" s="11" t="str">
        <x:v>Gửi request đăng ký với body JSON rỗng</x:v>
      </x:c>
      <x:c r="D18" s="11" t="str">
        <x:v>API đăng ký đang hoạt động Mọi trường không được kiểm tra dùng dữ liệu hợp lệ, email/phone chưa tồn tại.</x:v>
      </x:c>
      <x:c r="E18" s="11" t="str">
        <x:v>1. Chuẩn bị dữ liệu và trạng thái trong Preconditions.
2. Gọi POST /auth/register với Test Data.
3. Đối chiếu HTTP, nội dung phản hồi và trạng thái lưu trữ với Expected Result.</x:v>
      </x:c>
      <x:c r="F18" s="11" t="str">
        <x:v>Body: {}</x:v>
      </x:c>
      <x:c r="G18" s="11" t="str">
        <x:v>API trả lỗi validation (400); không tạo tài khoản</x:v>
      </x:c>
      <x:c r="H18" s="11" t="str">
        <x:v>High</x:v>
      </x:c>
      <x:c r="I18" s="14" t="str">
        <x:v>FR01.1; AC01</x:v>
      </x:c>
      <x:c r="J18" s="14" t="str">
        <x:v>POST /auth/register</x:v>
      </x:c>
      <x:c r="K18" s="14" t="str">
        <x:v>API</x:v>
      </x:c>
      <x:c r="L18" s="14" t="str">
        <x:v>DEFINED</x:v>
      </x:c>
      <x:c r="M18" s="33"/>
      <x:c r="N18" s="33" t="str">
        <x:v>NOT_RUN</x:v>
      </x:c>
      <x:c r="O18" s="14" t="str">
        <x:v>Hợp đồng tham chiếu: 01-auth-customer-api.yaml. Chưa chạy kiểm thử. Đối chiếu bản API 1.2 trong cuộc trao đổi; không xác nhận trạng thái commit GitHub.</x:v>
      </x:c>
      <x:c r="P18" s="14" t="str">
        <x:v>R09</x:v>
      </x:c>
      <x:c r="Q18" s="14" t="str">
        <x:v>Request/response đã che token; dữ liệu trước/sau hoặc log kiểm tra có correlationId; môi trường, commit và thời gian chạy. Không ghi mật khẩu thật.</x:v>
      </x:c>
    </x:row>
    <x:row r="19" ht="90" customHeight="1">
      <x:c r="A19" s="11" t="str">
        <x:v>TC-REG-018</x:v>
      </x:c>
      <x:c r="B19" s="11" t="str">
        <x:v>Đăng ký tài khoản khách hàng</x:v>
      </x:c>
      <x:c r="C19" s="11" t="str">
        <x:v>Đăng ký hai tài khoản khác nhau liên tiếp</x:v>
      </x:c>
      <x:c r="D19" s="11" t="str">
        <x:v>Hai bộ dữ liệu không trùng email hoặc phone.</x:v>
      </x:c>
      <x:c r="E19" s="11" t="str">
        <x:v>1. Chuẩn bị trạng thái và dữ liệu được nêu.
2. POST /auth/register hai lần với hai bộ dữ liệu khác nhau.
3. Kiểm tra HTTP, phản hồi và dữ liệu sau thao tác.</x:v>
      </x:c>
      <x:c r="F19" s="11" t="str">
        <x:v>A: a@example.com,+84900000001; B: b@example.com,+84900000002; tên hợp lệ; Password@123.</x:v>
      </x:c>
      <x:c r="G19" s="11" t="str">
        <x:v>Cả hai lần 201; hai accountId/customerId khác nhau; không tạo phiên đăng nhập.</x:v>
      </x:c>
      <x:c r="H19" s="11" t="str">
        <x:v>Low</x:v>
      </x:c>
      <x:c r="I19" s="14" t="str">
        <x:v>FR01.1; AC01</x:v>
      </x:c>
      <x:c r="J19" s="14" t="str">
        <x:v>POST /auth/register hai lần với hai bộ dữ liệu khác nhau</x:v>
      </x:c>
      <x:c r="K19" s="14" t="str">
        <x:v>API</x:v>
      </x:c>
      <x:c r="L19" s="14" t="str">
        <x:v>DEFINED</x:v>
      </x:c>
      <x:c r="M19" s="33"/>
      <x:c r="N19" s="33" t="str">
        <x:v>NOT_RUN</x:v>
      </x:c>
      <x:c r="O19" s="14" t="str">
        <x:v>Hợp đồng tham chiếu: 01-auth-customer-api.yaml. Chưa chạy kiểm thử. Đối chiếu bản API 1.2 trong cuộc trao đổi; không xác nhận trạng thái commit GitHub.</x:v>
      </x:c>
      <x:c r="P19" s="14" t="str">
        <x:v>R09</x:v>
      </x:c>
      <x:c r="Q19" s="14" t="str">
        <x:v>Request/response đã che token; dữ liệu trước/sau hoặc log kiểm tra có correlationId; môi trường, commit và thời gian chạy. Không ghi mật khẩu thật.</x:v>
      </x:c>
    </x:row>
    <x:row r="20" ht="90" customHeight="1">
      <x:c r="A20" s="11" t="str">
        <x:v>TC-REG-019</x:v>
      </x:c>
      <x:c r="B20" s="11" t="str">
        <x:v>Đăng ký tài khoản khách hàng</x:v>
      </x:c>
      <x:c r="C20" s="11" t="str">
        <x:v>Đăng ký lại với thông tin trùng hoàn toàn với tài khoản đã đăng ký thành công trước đó</x:v>
      </x:c>
      <x:c r="D20" s="11" t="str">
        <x:v>Đã đăng ký thành công 1 tài khoản với thông tin xác định Mọi trường không được kiểm tra dùng dữ liệu hợp lệ, email/phone chưa tồn tại.</x:v>
      </x:c>
      <x:c r="E20" s="11" t="str">
        <x:v>1. Chuẩn bị dữ liệu và trạng thái trong Preconditions.
2. Gọi POST /auth/register với Test Data.
3. Đối chiếu HTTP, nội dung phản hồi và trạng thái lưu trữ với Expected Result.</x:v>
      </x:c>
      <x:c r="F20" s="11" t="str">
        <x:v>Email: tranvanb@example.com
Phone: +84912345678</x:v>
      </x:c>
      <x:c r="G20" s="11" t="str">
        <x:v>409; email hoặc phone trùng sau chuẩn hóa trong toàn bộ Account; không tạo Account/Customer mới.</x:v>
      </x:c>
      <x:c r="H20" s="11" t="str">
        <x:v>Medium</x:v>
      </x:c>
      <x:c r="I20" s="14" t="str">
        <x:v>FR01.1; AC01</x:v>
      </x:c>
      <x:c r="J20" s="14" t="str">
        <x:v>POST /auth/register</x:v>
      </x:c>
      <x:c r="K20" s="14" t="str">
        <x:v>API</x:v>
      </x:c>
      <x:c r="L20" s="14" t="str">
        <x:v>DEFINED</x:v>
      </x:c>
      <x:c r="M20" s="33"/>
      <x:c r="N20" s="33" t="str">
        <x:v>NOT_RUN</x:v>
      </x:c>
      <x:c r="O20" s="14" t="str">
        <x:v>Hợp đồng tham chiếu: 01-auth-customer-api.yaml. Chưa chạy kiểm thử. Đối chiếu bản API 1.2 trong cuộc trao đổi; không xác nhận trạng thái commit GitHub.</x:v>
      </x:c>
      <x:c r="P20" s="14" t="str">
        <x:v>R09</x:v>
      </x:c>
      <x:c r="Q20" s="14" t="str">
        <x:v>Request/response đã che token; dữ liệu trước/sau hoặc log kiểm tra có correlationId; môi trường, commit và thời gian chạy. Không ghi mật khẩu thật.</x:v>
      </x:c>
    </x:row>
    <x:row r="21" ht="90" customHeight="1">
      <x:c r="A21" s="11" t="str">
        <x:v>TC-REG-020</x:v>
      </x:c>
      <x:c r="B21" s="11" t="str">
        <x:v>Đăng ký tài khoản khách hàng</x:v>
      </x:c>
      <x:c r="C21" s="11" t="str">
        <x:v>API từ chối phone nội địa chưa chuẩn hóa E.164</x:v>
      </x:c>
      <x:c r="D21" s="11" t="str">
        <x:v>Hệ thống đang hoạt động Mọi trường không được kiểm tra dùng dữ liệu hợp lệ, email/phone chưa tồn tại.</x:v>
      </x:c>
      <x:c r="E21" s="11" t="str">
        <x:v>1. Chuẩn bị dữ liệu và trạng thái trong Preconditions.
2. Gọi POST /auth/register với Test Data.
3. Đối chiếu HTTP, nội dung phản hồi và trạng thái lưu trữ với Expected Result.</x:v>
      </x:c>
      <x:c r="F21" s="11" t="str">
        <x:v>phone="0987654321"; các trường khác hợp lệ.</x:v>
      </x:c>
      <x:c r="G21" s="11" t="str">
        <x:v>400; không tạo Account. Nếu UI có chuẩn hóa số điện thoại, kiểm tra UI bằng một case riêng.</x:v>
      </x:c>
      <x:c r="H21" s="11" t="str">
        <x:v>Low</x:v>
      </x:c>
      <x:c r="I21" s="14" t="str">
        <x:v>FR01.1; AC01</x:v>
      </x:c>
      <x:c r="J21" s="14" t="str">
        <x:v>POST /auth/register</x:v>
      </x:c>
      <x:c r="K21" s="14" t="str">
        <x:v>API</x:v>
      </x:c>
      <x:c r="L21" s="14" t="str">
        <x:v>DEFINED</x:v>
      </x:c>
      <x:c r="M21" s="33"/>
      <x:c r="N21" s="33" t="str">
        <x:v>NOT_RUN</x:v>
      </x:c>
      <x:c r="O21" s="14" t="str">
        <x:v>Hợp đồng tham chiếu: 01-auth-customer-api.yaml. Chưa chạy kiểm thử. Đối chiếu bản API 1.2 trong cuộc trao đổi; không xác nhận trạng thái commit GitHub.</x:v>
      </x:c>
      <x:c r="P21" s="14" t="str">
        <x:v>R09</x:v>
      </x:c>
      <x:c r="Q21" s="14" t="str">
        <x:v>Request/response đã che token; dữ liệu trước/sau hoặc log kiểm tra có correlationId; môi trường, commit và thời gian chạy. Không ghi mật khẩu thật.</x:v>
      </x:c>
    </x:row>
    <x:row r="22" ht="90" customHeight="1">
      <x:c r="A22" s="14" t="str">
        <x:v>TC-REG-021</x:v>
      </x:c>
      <x:c r="B22" s="14" t="str">
        <x:v>Đăng ký tài khoản khách hàng</x:v>
      </x:c>
      <x:c r="C22" s="14" t="str">
        <x:v>Không đăng ký công khai với role OPERATOR</x:v>
      </x:c>
      <x:c r="D22" s="14" t="str">
        <x:v>Email/phone mới, các trường khác hợp lệ.</x:v>
      </x:c>
      <x:c r="E22" s="14" t="str">
        <x:v>1. Thiết lập fixture và trạng thái theo Preconditions.
2. POST /auth/register với Test Data.
3. Đối chiếu phản hồi và dữ liệu lưu trữ theo Expected Result.</x:v>
      </x:c>
      <x:c r="F22" s="14" t="str">
        <x:v>Body đăng ký hợp lệ thêm "role":"OPERATOR".</x:v>
      </x:c>
      <x:c r="G22" s="14" t="str">
        <x:v>400; không tạo Account hoặc Operator.</x:v>
      </x:c>
      <x:c r="H22" s="14" t="str">
        <x:v>High</x:v>
      </x:c>
      <x:c r="I22" s="14" t="str">
        <x:v>FR01.1; AC01</x:v>
      </x:c>
      <x:c r="J22" s="14" t="str">
        <x:v>POST /auth/register</x:v>
      </x:c>
      <x:c r="K22" s="14" t="str">
        <x:v>Integration</x:v>
      </x:c>
      <x:c r="L22" s="14" t="str">
        <x:v>DEFINED</x:v>
      </x:c>
      <x:c r="M22" s="33"/>
      <x:c r="N22" s="33" t="str">
        <x:v>NOT_RUN</x:v>
      </x:c>
      <x:c r="O22" s="14" t="str">
        <x:v>Bổ sung theo thiết kế đã duyệt; chưa chạy kiểm thử. Tham chiếu: 01-auth-customer-api.yaml. Đối chiếu bản API 1.2 trong cuộc trao đổi; không xác nhận trạng thái commit GitHub.</x:v>
      </x:c>
      <x:c r="P22" s="14" t="str">
        <x:v>R09</x:v>
      </x:c>
      <x:c r="Q22" s="14" t="str">
        <x:v>Request/response đã che token; dữ liệu trước/sau hoặc log kiểm tra có correlationId; môi trường, commit và thời gian chạy. Không ghi mật khẩu thật.</x:v>
      </x:c>
    </x:row>
    <x:row r="23" ht="90" customHeight="1">
      <x:c r="A23" s="14" t="str">
        <x:v>TC-REG-022</x:v>
      </x:c>
      <x:c r="B23" s="14" t="str">
        <x:v>Đăng ký tài khoản khách hàng</x:v>
      </x:c>
      <x:c r="C23" s="14" t="str">
        <x:v>Email duy nhất giữa CUSTOMER và DRIVER</x:v>
      </x:c>
      <x:c r="D23" s="14" t="str">
        <x:v>Account DRIVER đã dùng driver@example.com.</x:v>
      </x:c>
      <x:c r="E23" s="14" t="str">
        <x:v>1. Thiết lập fixture và trạng thái theo Preconditions.
2. POST /auth/register với Test Data.
3. Đối chiếu phản hồi và dữ liệu lưu trữ theo Expected Result.</x:v>
      </x:c>
      <x:c r="F23" s="14" t="str">
        <x:v>Email driver@example.com; phone mới; fullName và password hợp lệ.</x:v>
      </x:c>
      <x:c r="G23" s="14" t="str">
        <x:v>409; không tạo Customer trùng email với Driver.</x:v>
      </x:c>
      <x:c r="H23" s="14" t="str">
        <x:v>High</x:v>
      </x:c>
      <x:c r="I23" s="14" t="str">
        <x:v>FR01.1; AC01</x:v>
      </x:c>
      <x:c r="J23" s="14" t="str">
        <x:v>POST /auth/register</x:v>
      </x:c>
      <x:c r="K23" s="14" t="str">
        <x:v>Integration</x:v>
      </x:c>
      <x:c r="L23" s="14" t="str">
        <x:v>DEFINED</x:v>
      </x:c>
      <x:c r="M23" s="33"/>
      <x:c r="N23" s="33" t="str">
        <x:v>NOT_RUN</x:v>
      </x:c>
      <x:c r="O23" s="14" t="str">
        <x:v>Bổ sung theo thiết kế đã duyệt; chưa chạy kiểm thử. Tham chiếu: 01-auth-customer-api.yaml. Đối chiếu bản API 1.2 trong cuộc trao đổi; không xác nhận trạng thái commit GitHub.</x:v>
      </x:c>
      <x:c r="P23" s="14" t="str">
        <x:v>R09</x:v>
      </x:c>
      <x:c r="Q23" s="14" t="str">
        <x:v>Request/response đã che token; dữ liệu trước/sau hoặc log kiểm tra có correlationId; môi trường, commit và thời gian chạy. Không ghi mật khẩu thật.</x:v>
      </x:c>
    </x:row>
    <x:row r="24" ht="104" customHeight="1">
      <x:c r="A24" s="14" t="str">
        <x:v>TC-REG-023</x:v>
      </x:c>
      <x:c r="B24" s="14" t="str">
        <x:v>Đăng ký tài khoản khách hàng</x:v>
      </x:c>
      <x:c r="C24" s="14" t="str">
        <x:v>Chống trùng khi đăng ký đồng thời</x:v>
      </x:c>
      <x:c r="D24" s="14" t="str">
        <x:v>Không có Account dùng race@example.com.</x:v>
      </x:c>
      <x:c r="E24" s="14" t="str">
        <x:v>1. Thiết lập fixture và trạng thái theo Preconditions.
2. Gửi đồng thời hai POST /auth/register với Test Data.
3. Đối chiếu phản hồi và dữ liệu lưu trữ theo Expected Result.</x:v>
      </x:c>
      <x:c r="F24" s="14" t="str">
        <x:v>Cùng email race@example.com, phone mới riêng cho từng request; các trường khác hợp lệ.</x:v>
      </x:c>
      <x:c r="G24" s="14" t="str">
        <x:v>Một 201, một 409; đúng một Account và một Customer tương ứng, không có bản ghi mồ côi.</x:v>
      </x:c>
      <x:c r="H24" s="14" t="str">
        <x:v>High</x:v>
      </x:c>
      <x:c r="I24" s="14" t="str">
        <x:v>FR01.1; AC01</x:v>
      </x:c>
      <x:c r="J24" s="14" t="str">
        <x:v>Gửi đồng thời hai POST /auth/register</x:v>
      </x:c>
      <x:c r="K24" s="14" t="str">
        <x:v>Integration</x:v>
      </x:c>
      <x:c r="L24" s="14" t="str">
        <x:v>DEFINED</x:v>
      </x:c>
      <x:c r="M24" s="33"/>
      <x:c r="N24" s="33" t="str">
        <x:v>NOT_RUN</x:v>
      </x:c>
      <x:c r="O24" s="14" t="str">
        <x:v>Bổ sung theo thiết kế đã duyệt; chưa chạy kiểm thử. Tham chiếu: 01-auth-customer-api.yaml. Đối chiếu bản API 1.2 trong cuộc trao đổi; không xác nhận trạng thái commit GitHub.</x:v>
      </x:c>
      <x:c r="P24" s="14" t="str">
        <x:v>R09</x:v>
      </x:c>
      <x:c r="Q24" s="14" t="str">
        <x:v>Request/response đã che token; dữ liệu trước/sau hoặc log kiểm tra có correlationId; môi trường, commit và thời gian chạy. Không ghi mật khẩu thật.</x:v>
      </x:c>
    </x:row>
  </x:sheetData>
  <x:conditionalFormatting sqref="L2:L24">
    <x:cfRule type="containsText" dxfId="38" priority="4" operator="containsText" text="NEEDS_DECISION"/>
    <x:cfRule type="containsText" dxfId="39" priority="5" operator="containsText" text="OUT_OF_SCOPE"/>
    <x:cfRule type="containsText" dxfId="40" priority="6" operator="containsText" text="SUPERSEDED"/>
  </x:conditionalFormatting>
  <x:conditionalFormatting sqref="N2:N24">
    <x:cfRule type="containsText" dxfId="41" priority="7" operator="containsText" text="FAIL"/>
    <x:cfRule type="containsText" dxfId="42" priority="8" operator="containsText" text="BLOCKED"/>
  </x:conditionalFormatting>
  <x:dataValidations count="3">
    <x:dataValidation type="list" sqref="L2:L24">
      <x:formula1>"DEFINED,NEEDS_DECISION,OUT_OF_SCOPE,SUPERSEDED"</x:formula1>
    </x:dataValidation>
    <x:dataValidation type="list" sqref="N2:N24">
      <x:formula1>"NOT_RUN,PASS,FAIL,BLOCKED"</x:formula1>
    </x:dataValidation>
    <x:dataValidation type="list" sqref="K2:K24">
      <x:formula1>"API,Integration,UI,Performance,Review,Security"</x:formula1>
    </x:dataValidation>
  </x:dataValidations>
  <x:pageMargins left="0.7" right="0.7" top="0.75" bottom="0.75" header="0.3" footer="0.3"/>
  <x:tableParts count="1">
    <x:tablePart xmlns:r="http://schemas.openxmlformats.org/officeDocument/2006/relationships" r:id="R5297189a023749d1"/>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90" customHeight="1">
      <x:c r="A2" s="11" t="str">
        <x:v>TC-PROFILE-001</x:v>
      </x:c>
      <x:c r="B2" s="11" t="str">
        <x:v>Cập nhật thông tin cá nhân khách hàng</x:v>
      </x:c>
      <x:c r="C2" s="11" t="str">
        <x:v>Cập nhật họ tên thành công</x:v>
      </x:c>
      <x:c r="D2" s="11" t="str">
        <x:v>Khách hàng đã đăng nhập và đang ở màn hình thông tin cá nhân Phiên của người gọi hợp lệ trừ khi case kiểm tra thiếu/hết hạn token.</x:v>
      </x:c>
      <x:c r="E2" s="11" t="str">
        <x:v>1. Chuẩn bị dữ liệu và trạng thái trong Preconditions.
2. Gọi PATCH /accounts/me với Test Data.
3. Đối chiếu HTTP, nội dung phản hồi và trạng thái lưu trữ với Expected Result.</x:v>
      </x:c>
      <x:c r="F2" s="11" t="str">
        <x:v>FullName mới: Nguyen Van A2</x:v>
      </x:c>
      <x:c r="G2" s="11" t="str">
        <x:v>Cập nhật thành công (200); response trả về họ tên mới</x:v>
      </x:c>
      <x:c r="H2" s="11" t="str">
        <x:v>High</x:v>
      </x:c>
      <x:c r="I2" s="14" t="str">
        <x:v>FR01.3; AC01</x:v>
      </x:c>
      <x:c r="J2" s="14" t="str">
        <x:v>PATCH /accounts/me</x:v>
      </x:c>
      <x:c r="K2" s="14" t="str">
        <x:v>API</x:v>
      </x:c>
      <x:c r="L2" s="14" t="str">
        <x:v>DEFINED</x:v>
      </x:c>
      <x:c r="M2" s="33"/>
      <x:c r="N2" s="33" t="str">
        <x:v>NOT_RUN</x:v>
      </x:c>
      <x:c r="O2" s="14" t="str">
        <x:v>Hợp đồng tham chiếu: 01-auth-customer-api.yaml. Chưa chạy kiểm thử. Đối chiếu bản API 1.2 trong cuộc trao đổi; không xác nhận trạng thái commit GitHub.</x:v>
      </x:c>
      <x:c r="P2" s="14" t="str">
        <x:v>—</x:v>
      </x:c>
      <x:c r="Q2" s="14" t="str">
        <x:v>Request/response đã che token; dữ liệu trước/sau hoặc log kiểm tra có correlationId; môi trường, commit và thời gian chạy. Không ghi mật khẩu thật.</x:v>
      </x:c>
    </x:row>
    <x:row r="3" ht="90" customHeight="1">
      <x:c r="A3" s="11" t="str">
        <x:v>TC-PROFILE-002</x:v>
      </x:c>
      <x:c r="B3" s="11" t="str">
        <x:v>Cập nhật thông tin cá nhân khách hàng</x:v>
      </x:c>
      <x:c r="C3" s="11" t="str">
        <x:v>Cập nhật số điện thoại thành công</x:v>
      </x:c>
      <x:c r="D3" s="11" t="str">
        <x:v>Khách hàng đã đăng nhập Phiên của người gọi hợp lệ trừ khi case kiểm tra thiếu/hết hạn token.</x:v>
      </x:c>
      <x:c r="E3" s="11" t="str">
        <x:v>1. Chuẩn bị dữ liệu và trạng thái trong Preconditions.
2. Gọi PATCH /accounts/me với Test Data.
3. Đối chiếu HTTP, nội dung phản hồi và trạng thái lưu trữ với Expected Result.</x:v>
      </x:c>
      <x:c r="F3" s="11" t="str">
        <x:v>Phone mới: +84909999999
currentPassword=Password@123 (đúng với fixture); phone hợp lệ phải dùng E.164.</x:v>
      </x:c>
      <x:c r="G3" s="11" t="str">
        <x:v>Cập nhật thành công (200); số điện thoại được lưu đúng</x:v>
      </x:c>
      <x:c r="H3" s="11" t="str">
        <x:v>High</x:v>
      </x:c>
      <x:c r="I3" s="14" t="str">
        <x:v>FR01.3; AC01</x:v>
      </x:c>
      <x:c r="J3" s="14" t="str">
        <x:v>PATCH /accounts/me</x:v>
      </x:c>
      <x:c r="K3" s="14" t="str">
        <x:v>API</x:v>
      </x:c>
      <x:c r="L3" s="14" t="str">
        <x:v>DEFINED</x:v>
      </x:c>
      <x:c r="M3" s="33"/>
      <x:c r="N3" s="33" t="str">
        <x:v>NOT_RUN</x:v>
      </x:c>
      <x:c r="O3" s="14" t="str">
        <x:v>Hợp đồng tham chiếu: 01-auth-customer-api.yaml. Chưa chạy kiểm thử. Đối chiếu bản API 1.2 trong cuộc trao đổi; không xác nhận trạng thái commit GitHub.</x:v>
      </x:c>
      <x:c r="P3" s="14" t="str">
        <x:v>—</x:v>
      </x:c>
      <x:c r="Q3" s="14" t="str">
        <x:v>Request/response đã che token; dữ liệu trước/sau hoặc log kiểm tra có correlationId; môi trường, commit và thời gian chạy. Không ghi mật khẩu thật.</x:v>
      </x:c>
    </x:row>
    <x:row r="4" ht="90" customHeight="1">
      <x:c r="A4" s="11" t="str">
        <x:v>TC-PROFILE-003</x:v>
      </x:c>
      <x:c r="B4" s="11" t="str">
        <x:v>Cập nhật thông tin cá nhân khách hàng</x:v>
      </x:c>
      <x:c r="C4" s="11" t="str">
        <x:v>Cập nhật email thành công</x:v>
      </x:c>
      <x:c r="D4" s="11" t="str">
        <x:v>Khách hàng đã đăng nhập Phiên của người gọi hợp lệ trừ khi case kiểm tra thiếu/hết hạn token.</x:v>
      </x:c>
      <x:c r="E4" s="11" t="str">
        <x:v>1. Chuẩn bị dữ liệu và trạng thái trong Preconditions.
2. Gọi PATCH /accounts/me với Test Data.
3. Đối chiếu HTTP, nội dung phản hồi và trạng thái lưu trữ với Expected Result.</x:v>
      </x:c>
      <x:c r="F4" s="11" t="str">
        <x:v>Email mới: nguyenvana.new@example.com
currentPassword=Password@123 (đúng với fixture); phone hợp lệ phải dùng E.164.</x:v>
      </x:c>
      <x:c r="G4" s="11" t="str">
        <x:v>Cập nhật thành công (200); email được lưu đúng</x:v>
      </x:c>
      <x:c r="H4" s="11" t="str">
        <x:v>High</x:v>
      </x:c>
      <x:c r="I4" s="14" t="str">
        <x:v>FR01.3; AC01</x:v>
      </x:c>
      <x:c r="J4" s="14" t="str">
        <x:v>PATCH /accounts/me</x:v>
      </x:c>
      <x:c r="K4" s="14" t="str">
        <x:v>API</x:v>
      </x:c>
      <x:c r="L4" s="14" t="str">
        <x:v>DEFINED</x:v>
      </x:c>
      <x:c r="M4" s="33"/>
      <x:c r="N4" s="33" t="str">
        <x:v>NOT_RUN</x:v>
      </x:c>
      <x:c r="O4" s="14" t="str">
        <x:v>Hợp đồng tham chiếu: 01-auth-customer-api.yaml. Chưa chạy kiểm thử. Đối chiếu bản API 1.2 trong cuộc trao đổi; không xác nhận trạng thái commit GitHub.</x:v>
      </x:c>
      <x:c r="P4" s="14" t="str">
        <x:v>—</x:v>
      </x:c>
      <x:c r="Q4" s="14" t="str">
        <x:v>Request/response đã che token; dữ liệu trước/sau hoặc log kiểm tra có correlationId; môi trường, commit và thời gian chạy. Không ghi mật khẩu thật.</x:v>
      </x:c>
    </x:row>
    <x:row r="5" ht="90" customHeight="1">
      <x:c r="A5" s="11" t="str">
        <x:v>TC-PROFILE-004</x:v>
      </x:c>
      <x:c r="B5" s="11" t="str">
        <x:v>Cập nhật thông tin cá nhân khách hàng</x:v>
      </x:c>
      <x:c r="C5" s="11" t="str">
        <x:v>Cập nhật đồng thời nhiều trường thành công</x:v>
      </x:c>
      <x:c r="D5" s="11" t="str">
        <x:v>Khách hàng đã đăng nhập Phiên của người gọi hợp lệ trừ khi case kiểm tra thiếu/hết hạn token.</x:v>
      </x:c>
      <x:c r="E5" s="11" t="str">
        <x:v>1. Chuẩn bị dữ liệu và trạng thái trong Preconditions.
2. Gọi PATCH /accounts/me với Test Data.
3. Đối chiếu HTTP, nội dung phản hồi và trạng thái lưu trữ với Expected Result.</x:v>
      </x:c>
      <x:c r="F5" s="11" t="str">
        <x:v>FullName: Nguyen Van A3
Phone: +84911222333
currentPassword=Password@123 (đúng với fixture); phone hợp lệ phải dùng E.164.</x:v>
      </x:c>
      <x:c r="G5" s="11" t="str">
        <x:v>Cập nhật thành công; cả hai trường đều được lưu đúng</x:v>
      </x:c>
      <x:c r="H5" s="11" t="str">
        <x:v>Medium</x:v>
      </x:c>
      <x:c r="I5" s="14" t="str">
        <x:v>FR01.3; AC01</x:v>
      </x:c>
      <x:c r="J5" s="14" t="str">
        <x:v>PATCH /accounts/me</x:v>
      </x:c>
      <x:c r="K5" s="14" t="str">
        <x:v>API</x:v>
      </x:c>
      <x:c r="L5" s="14" t="str">
        <x:v>DEFINED</x:v>
      </x:c>
      <x:c r="M5" s="33"/>
      <x:c r="N5" s="33" t="str">
        <x:v>NOT_RUN</x:v>
      </x:c>
      <x:c r="O5" s="14" t="str">
        <x:v>Hợp đồng tham chiếu: 01-auth-customer-api.yaml. Chưa chạy kiểm thử. Đối chiếu bản API 1.2 trong cuộc trao đổi; không xác nhận trạng thái commit GitHub.</x:v>
      </x:c>
      <x:c r="P5" s="14" t="str">
        <x:v>—</x:v>
      </x:c>
      <x:c r="Q5" s="14" t="str">
        <x:v>Request/response đã che token; dữ liệu trước/sau hoặc log kiểm tra có correlationId; môi trường, commit và thời gian chạy. Không ghi mật khẩu thật.</x:v>
      </x:c>
    </x:row>
    <x:row r="6" ht="90" customHeight="1">
      <x:c r="A6" s="11" t="str">
        <x:v>TC-PROFILE-005</x:v>
      </x:c>
      <x:c r="B6" s="11" t="str">
        <x:v>Cập nhật thông tin cá nhân khách hàng</x:v>
      </x:c>
      <x:c r="C6" s="11" t="str">
        <x:v>Cập nhật thất bại khi chưa đăng nhập</x:v>
      </x:c>
      <x:c r="D6" s="11" t="str">
        <x:v>Không có access token hợp lệ Phiên của người gọi hợp lệ trừ khi case kiểm tra thiếu/hết hạn token.</x:v>
      </x:c>
      <x:c r="E6" s="11" t="str">
        <x:v>1. Chuẩn bị dữ liệu và trạng thái trong Preconditions.
2. Gọi PATCH /accounts/me với Test Data.
3. Đối chiếu HTTP, nội dung phản hồi và trạng thái lưu trữ với Expected Result.</x:v>
      </x:c>
      <x:c r="F6" s="11" t="str">
        <x:v>Header Authorization: (không có)</x:v>
      </x:c>
      <x:c r="G6" s="11" t="str">
        <x:v>API trả lỗi 401 Unauthorized; không cập nhật dữ liệu</x:v>
      </x:c>
      <x:c r="H6" s="11" t="str">
        <x:v>High</x:v>
      </x:c>
      <x:c r="I6" s="14" t="str">
        <x:v>FR01.3; AC01</x:v>
      </x:c>
      <x:c r="J6" s="14" t="str">
        <x:v>PATCH /accounts/me</x:v>
      </x:c>
      <x:c r="K6" s="14" t="str">
        <x:v>API</x:v>
      </x:c>
      <x:c r="L6" s="14" t="str">
        <x:v>DEFINED</x:v>
      </x:c>
      <x:c r="M6" s="33"/>
      <x:c r="N6" s="33" t="str">
        <x:v>NOT_RUN</x:v>
      </x:c>
      <x:c r="O6" s="14" t="str">
        <x:v>Hợp đồng tham chiếu: 01-auth-customer-api.yaml. Chưa chạy kiểm thử. Đối chiếu bản API 1.2 trong cuộc trao đổi; không xác nhận trạng thái commit GitHub.</x:v>
      </x:c>
      <x:c r="P6" s="14" t="str">
        <x:v>—</x:v>
      </x:c>
      <x:c r="Q6" s="14" t="str">
        <x:v>Request/response đã che token; dữ liệu trước/sau hoặc log kiểm tra có correlationId; môi trường, commit và thời gian chạy. Không ghi mật khẩu thật.</x:v>
      </x:c>
    </x:row>
    <x:row r="7" ht="90" customHeight="1">
      <x:c r="A7" s="11" t="str">
        <x:v>TC-PROFILE-006</x:v>
      </x:c>
      <x:c r="B7" s="11" t="str">
        <x:v>Cập nhật thông tin cá nhân khách hàng</x:v>
      </x:c>
      <x:c r="C7" s="11" t="str">
        <x:v>Không nhận customerId để sửa hồ sơ người khác</x:v>
      </x:c>
      <x:c r="D7" s="11" t="str">
        <x:v>C1 đăng nhập; C2 tồn tại.</x:v>
      </x:c>
      <x:c r="E7" s="11" t="str">
        <x:v>1. Chuẩn bị dữ liệu và trạng thái trong Preconditions.
2. Gọi PATCH /accounts/me với Test Data.
3. Đối chiếu HTTP, nội dung phản hồi và trạng thái lưu trữ với Expected Result.</x:v>
      </x:c>
      <x:c r="F7" s="11" t="str">
        <x:v>{"fullName":"Tên mới","customerId":"C2"}</x:v>
      </x:c>
      <x:c r="G7" s="11" t="str">
        <x:v>400 do trường ngoài schema; cả C1 và C2 không thay đổi.</x:v>
      </x:c>
      <x:c r="H7" s="11" t="str">
        <x:v>High</x:v>
      </x:c>
      <x:c r="I7" s="14" t="str">
        <x:v>FR01.3; AC01</x:v>
      </x:c>
      <x:c r="J7" s="14" t="str">
        <x:v>PATCH /accounts/me</x:v>
      </x:c>
      <x:c r="K7" s="14" t="str">
        <x:v>API</x:v>
      </x:c>
      <x:c r="L7" s="14" t="str">
        <x:v>DEFINED</x:v>
      </x:c>
      <x:c r="M7" s="33"/>
      <x:c r="N7" s="33" t="str">
        <x:v>NOT_RUN</x:v>
      </x:c>
      <x:c r="O7" s="14" t="str">
        <x:v>Hợp đồng tham chiếu: 01-auth-customer-api.yaml. Chưa chạy kiểm thử. Đối chiếu bản API 1.2 trong cuộc trao đổi; không xác nhận trạng thái commit GitHub.</x:v>
      </x:c>
      <x:c r="P7" s="14" t="str">
        <x:v>—</x:v>
      </x:c>
      <x:c r="Q7" s="14" t="str">
        <x:v>Request/response đã che token; dữ liệu trước/sau hoặc log kiểm tra có correlationId; môi trường, commit và thời gian chạy. Không ghi mật khẩu thật.</x:v>
      </x:c>
    </x:row>
    <x:row r="8" ht="90" customHeight="1">
      <x:c r="A8" s="11" t="str">
        <x:v>TC-PROFILE-007</x:v>
      </x:c>
      <x:c r="B8" s="11" t="str">
        <x:v>Cập nhật thông tin cá nhân khách hàng</x:v>
      </x:c>
      <x:c r="C8" s="11" t="str">
        <x:v>Không tự đổi role qua hồ sơ</x:v>
      </x:c>
      <x:c r="D8" s="11" t="str">
        <x:v>C1 có role CUSTOMER.</x:v>
      </x:c>
      <x:c r="E8" s="11" t="str">
        <x:v>1. Chuẩn bị dữ liệu và trạng thái trong Preconditions.
2. Gọi PATCH /accounts/me với Test Data.
3. Đối chiếu HTTP, nội dung phản hồi và trạng thái lưu trữ với Expected Result.</x:v>
      </x:c>
      <x:c r="F8" s="11" t="str">
        <x:v>{"role":"OPERATOR"}</x:v>
      </x:c>
      <x:c r="G8" s="11" t="str">
        <x:v>400; role vẫn CUSTOMER.</x:v>
      </x:c>
      <x:c r="H8" s="11" t="str">
        <x:v>Medium</x:v>
      </x:c>
      <x:c r="I8" s="14" t="str">
        <x:v>FR01.3; AC01</x:v>
      </x:c>
      <x:c r="J8" s="14" t="str">
        <x:v>PATCH /accounts/me</x:v>
      </x:c>
      <x:c r="K8" s="14" t="str">
        <x:v>API</x:v>
      </x:c>
      <x:c r="L8" s="14" t="str">
        <x:v>DEFINED</x:v>
      </x:c>
      <x:c r="M8" s="33"/>
      <x:c r="N8" s="33" t="str">
        <x:v>NOT_RUN</x:v>
      </x:c>
      <x:c r="O8" s="14" t="str">
        <x:v>Hợp đồng tham chiếu: 01-auth-customer-api.yaml. Chưa chạy kiểm thử. Đối chiếu bản API 1.2 trong cuộc trao đổi; không xác nhận trạng thái commit GitHub.</x:v>
      </x:c>
      <x:c r="P8" s="14" t="str">
        <x:v>—</x:v>
      </x:c>
      <x:c r="Q8" s="14" t="str">
        <x:v>Request/response đã che token; dữ liệu trước/sau hoặc log kiểm tra có correlationId; môi trường, commit và thời gian chạy. Không ghi mật khẩu thật.</x:v>
      </x:c>
    </x:row>
    <x:row r="9" ht="90" customHeight="1">
      <x:c r="A9" s="11" t="str">
        <x:v>TC-PROFILE-008</x:v>
      </x:c>
      <x:c r="B9" s="11" t="str">
        <x:v>Cập nhật thông tin cá nhân khách hàng</x:v>
      </x:c>
      <x:c r="C9" s="11" t="str">
        <x:v>Cập nhật thất bại khi email sai định dạng</x:v>
      </x:c>
      <x:c r="D9" s="11" t="str">
        <x:v>Khách hàng đã đăng nhập Phiên của người gọi hợp lệ trừ khi case kiểm tra thiếu/hết hạn token.</x:v>
      </x:c>
      <x:c r="E9" s="11" t="str">
        <x:v>1. Chuẩn bị dữ liệu và trạng thái trong Preconditions.
2. Gọi PATCH /accounts/me với Test Data.
3. Đối chiếu HTTP, nội dung phản hồi và trạng thái lưu trữ với Expected Result.</x:v>
      </x:c>
      <x:c r="F9" s="11" t="str">
        <x:v>Email: nguyenvana#example
currentPassword=Password@123 (đúng với fixture); phone hợp lệ phải dùng E.164.</x:v>
      </x:c>
      <x:c r="G9" s="11" t="str">
        <x:v>Hệ thống từ chối cập nhật; báo lỗi định dạng email (400)</x:v>
      </x:c>
      <x:c r="H9" s="11" t="str">
        <x:v>Medium</x:v>
      </x:c>
      <x:c r="I9" s="14" t="str">
        <x:v>FR01.3; AC01</x:v>
      </x:c>
      <x:c r="J9" s="14" t="str">
        <x:v>PATCH /accounts/me</x:v>
      </x:c>
      <x:c r="K9" s="14" t="str">
        <x:v>API</x:v>
      </x:c>
      <x:c r="L9" s="14" t="str">
        <x:v>DEFINED</x:v>
      </x:c>
      <x:c r="M9" s="33"/>
      <x:c r="N9" s="33" t="str">
        <x:v>NOT_RUN</x:v>
      </x:c>
      <x:c r="O9" s="14" t="str">
        <x:v>Hợp đồng tham chiếu: 01-auth-customer-api.yaml. Chưa chạy kiểm thử. Đối chiếu bản API 1.2 trong cuộc trao đổi; không xác nhận trạng thái commit GitHub.</x:v>
      </x:c>
      <x:c r="P9" s="14" t="str">
        <x:v>—</x:v>
      </x:c>
      <x:c r="Q9" s="14" t="str">
        <x:v>Request/response đã che token; dữ liệu trước/sau hoặc log kiểm tra có correlationId; môi trường, commit và thời gian chạy. Không ghi mật khẩu thật.</x:v>
      </x:c>
    </x:row>
    <x:row r="10" ht="90" customHeight="1">
      <x:c r="A10" s="11" t="str">
        <x:v>TC-PROFILE-009</x:v>
      </x:c>
      <x:c r="B10" s="11" t="str">
        <x:v>Cập nhật thông tin cá nhân khách hàng</x:v>
      </x:c>
      <x:c r="C10" s="11" t="str">
        <x:v>Cập nhật thất bại khi số điện thoại sai định dạng</x:v>
      </x:c>
      <x:c r="D10" s="11" t="str">
        <x:v>Khách hàng đã đăng nhập Phiên của người gọi hợp lệ trừ khi case kiểm tra thiếu/hết hạn token.</x:v>
      </x:c>
      <x:c r="E10" s="11" t="str">
        <x:v>1. Chuẩn bị dữ liệu và trạng thái trong Preconditions.
2. Gọi PATCH /accounts/me với Test Data.
3. Đối chiếu HTTP, nội dung phản hồi và trạng thái lưu trữ với Expected Result.</x:v>
      </x:c>
      <x:c r="F10" s="11" t="str">
        <x:v>Phone: 09-99-99
currentPassword=Password@123 (đúng với fixture); phone hợp lệ phải dùng E.164.</x:v>
      </x:c>
      <x:c r="G10" s="11" t="str">
        <x:v>Hệ thống từ chối cập nhật; báo lỗi định dạng số điện thoại (400)</x:v>
      </x:c>
      <x:c r="H10" s="11" t="str">
        <x:v>Medium</x:v>
      </x:c>
      <x:c r="I10" s="14" t="str">
        <x:v>FR01.3; AC01</x:v>
      </x:c>
      <x:c r="J10" s="14" t="str">
        <x:v>PATCH /accounts/me</x:v>
      </x:c>
      <x:c r="K10" s="14" t="str">
        <x:v>API</x:v>
      </x:c>
      <x:c r="L10" s="14" t="str">
        <x:v>DEFINED</x:v>
      </x:c>
      <x:c r="M10" s="33"/>
      <x:c r="N10" s="33" t="str">
        <x:v>NOT_RUN</x:v>
      </x:c>
      <x:c r="O10" s="14" t="str">
        <x:v>Hợp đồng tham chiếu: 01-auth-customer-api.yaml. Chưa chạy kiểm thử. Đối chiếu bản API 1.2 trong cuộc trao đổi; không xác nhận trạng thái commit GitHub.</x:v>
      </x:c>
      <x:c r="P10" s="14" t="str">
        <x:v>—</x:v>
      </x:c>
      <x:c r="Q10" s="14" t="str">
        <x:v>Request/response đã che token; dữ liệu trước/sau hoặc log kiểm tra có correlationId; môi trường, commit và thời gian chạy. Không ghi mật khẩu thật.</x:v>
      </x:c>
    </x:row>
    <x:row r="11" ht="90" customHeight="1">
      <x:c r="A11" s="11" t="str">
        <x:v>TC-PROFILE-010</x:v>
      </x:c>
      <x:c r="B11" s="11" t="str">
        <x:v>Cập nhật thông tin cá nhân khách hàng</x:v>
      </x:c>
      <x:c r="C11" s="11" t="str">
        <x:v>Cập nhật thất bại khi email trùng với tài khoản khác đã tồn tại</x:v>
      </x:c>
      <x:c r="D11" s="11" t="str">
        <x:v>Email user2@example.com đã được đăng ký bởi khách hàng khác Phiên của người gọi hợp lệ trừ khi case kiểm tra thiếu/hết hạn token.</x:v>
      </x:c>
      <x:c r="E11" s="11" t="str">
        <x:v>1. Chuẩn bị dữ liệu và trạng thái trong Preconditions.
2. Gọi PATCH /accounts/me với Test Data.
3. Đối chiếu HTTP, nội dung phản hồi và trạng thái lưu trữ với Expected Result.</x:v>
      </x:c>
      <x:c r="F11" s="11" t="str">
        <x:v>Email: user2@example.com
currentPassword=Password@123 (đúng với fixture); phone hợp lệ phải dùng E.164.</x:v>
      </x:c>
      <x:c r="G11" s="11" t="str">
        <x:v>409; dữ liệu email/phone đã thuộc Account khác; không cập nhật bất kỳ trường nào trong request.</x:v>
      </x:c>
      <x:c r="H11" s="11" t="str">
        <x:v>Medium</x:v>
      </x:c>
      <x:c r="I11" s="14" t="str">
        <x:v>FR01.3; AC01</x:v>
      </x:c>
      <x:c r="J11" s="14" t="str">
        <x:v>PATCH /accounts/me</x:v>
      </x:c>
      <x:c r="K11" s="14" t="str">
        <x:v>API</x:v>
      </x:c>
      <x:c r="L11" s="14" t="str">
        <x:v>DEFINED</x:v>
      </x:c>
      <x:c r="M11" s="33"/>
      <x:c r="N11" s="33" t="str">
        <x:v>NOT_RUN</x:v>
      </x:c>
      <x:c r="O11" s="14" t="str">
        <x:v>Hợp đồng tham chiếu: 01-auth-customer-api.yaml. Chưa chạy kiểm thử. Đối chiếu bản API 1.2 trong cuộc trao đổi; không xác nhận trạng thái commit GitHub.</x:v>
      </x:c>
      <x:c r="P11" s="14" t="str">
        <x:v>—</x:v>
      </x:c>
      <x:c r="Q11" s="14" t="str">
        <x:v>Request/response đã che token; dữ liệu trước/sau hoặc log kiểm tra có correlationId; môi trường, commit và thời gian chạy. Không ghi mật khẩu thật.</x:v>
      </x:c>
    </x:row>
    <x:row r="12" ht="90" customHeight="1">
      <x:c r="A12" s="11" t="str">
        <x:v>TC-PROFILE-011</x:v>
      </x:c>
      <x:c r="B12" s="11" t="str">
        <x:v>Cập nhật thông tin cá nhân khách hàng</x:v>
      </x:c>
      <x:c r="C12" s="11" t="str">
        <x:v>Cập nhật thất bại khi để trống họ tên</x:v>
      </x:c>
      <x:c r="D12" s="11" t="str">
        <x:v>Khách hàng đã đăng nhập Phiên của người gọi hợp lệ trừ khi case kiểm tra thiếu/hết hạn token.</x:v>
      </x:c>
      <x:c r="E12" s="11" t="str">
        <x:v>1. Chuẩn bị dữ liệu và trạng thái trong Preconditions.
2. Gọi PATCH /accounts/me với Test Data.
3. Đối chiếu HTTP, nội dung phản hồi và trạng thái lưu trữ với Expected Result.</x:v>
      </x:c>
      <x:c r="F12" s="11" t="str">
        <x:v>FullName: (trống)</x:v>
      </x:c>
      <x:c r="G12" s="11" t="str">
        <x:v>400; fullName rỗng không hợp lệ; không sửa dữ liệu.</x:v>
      </x:c>
      <x:c r="H12" s="11" t="str">
        <x:v>Medium</x:v>
      </x:c>
      <x:c r="I12" s="14" t="str">
        <x:v>FR01.3; AC01</x:v>
      </x:c>
      <x:c r="J12" s="14" t="str">
        <x:v>PATCH /accounts/me</x:v>
      </x:c>
      <x:c r="K12" s="14" t="str">
        <x:v>API</x:v>
      </x:c>
      <x:c r="L12" s="14" t="str">
        <x:v>DEFINED</x:v>
      </x:c>
      <x:c r="M12" s="33"/>
      <x:c r="N12" s="33" t="str">
        <x:v>NOT_RUN</x:v>
      </x:c>
      <x:c r="O12" s="14" t="str">
        <x:v>Hợp đồng tham chiếu: 01-auth-customer-api.yaml. Chưa chạy kiểm thử. Đối chiếu bản API 1.2 trong cuộc trao đổi; không xác nhận trạng thái commit GitHub.</x:v>
      </x:c>
      <x:c r="P12" s="14" t="str">
        <x:v>—</x:v>
      </x:c>
      <x:c r="Q12" s="14" t="str">
        <x:v>Request/response đã che token; dữ liệu trước/sau hoặc log kiểm tra có correlationId; môi trường, commit và thời gian chạy. Không ghi mật khẩu thật.</x:v>
      </x:c>
    </x:row>
    <x:row r="13" ht="90" customHeight="1">
      <x:c r="A13" s="11" t="str">
        <x:v>TC-PROFILE-012</x:v>
      </x:c>
      <x:c r="B13" s="11" t="str">
        <x:v>Cập nhật thông tin cá nhân khách hàng</x:v>
      </x:c>
      <x:c r="C13" s="11" t="str">
        <x:v>Body cập nhật rỗng bị từ chối</x:v>
      </x:c>
      <x:c r="D13" s="11" t="str">
        <x:v>Khách hàng đã đăng nhập; thông tin hiện tại đã biết Phiên của người gọi hợp lệ trừ khi case kiểm tra thiếu/hết hạn token.</x:v>
      </x:c>
      <x:c r="E13" s="11" t="str">
        <x:v>1. Chuẩn bị dữ liệu và trạng thái trong Preconditions.
2. Gọi PATCH /accounts/me với Test Data.
3. Đối chiếu HTTP, nội dung phản hồi và trạng thái lưu trữ với Expected Result.</x:v>
      </x:c>
      <x:c r="F13" s="11" t="str">
        <x:v>{}</x:v>
      </x:c>
      <x:c r="G13" s="11" t="str">
        <x:v>400; không có trường cập nhật; Account giữ nguyên.</x:v>
      </x:c>
      <x:c r="H13" s="11" t="str">
        <x:v>Low</x:v>
      </x:c>
      <x:c r="I13" s="14" t="str">
        <x:v>FR01.3; AC01</x:v>
      </x:c>
      <x:c r="J13" s="14" t="str">
        <x:v>PATCH /accounts/me</x:v>
      </x:c>
      <x:c r="K13" s="14" t="str">
        <x:v>API</x:v>
      </x:c>
      <x:c r="L13" s="14" t="str">
        <x:v>DEFINED</x:v>
      </x:c>
      <x:c r="M13" s="33"/>
      <x:c r="N13" s="33" t="str">
        <x:v>NOT_RUN</x:v>
      </x:c>
      <x:c r="O13" s="14" t="str">
        <x:v>Hợp đồng tham chiếu: 01-auth-customer-api.yaml. Chưa chạy kiểm thử. Đối chiếu bản API 1.2 trong cuộc trao đổi; không xác nhận trạng thái commit GitHub.</x:v>
      </x:c>
      <x:c r="P13" s="14" t="str">
        <x:v>—</x:v>
      </x:c>
      <x:c r="Q13" s="14" t="str">
        <x:v>Request/response đã che token; dữ liệu trước/sau hoặc log kiểm tra có correlationId; môi trường, commit và thời gian chạy. Không ghi mật khẩu thật.</x:v>
      </x:c>
    </x:row>
    <x:row r="14" ht="90" customHeight="1">
      <x:c r="A14" s="11" t="str">
        <x:v>TC-PROFILE-013</x:v>
      </x:c>
      <x:c r="B14" s="11" t="str">
        <x:v>Cập nhật thông tin cá nhân khách hàng</x:v>
      </x:c>
      <x:c r="C14" s="11" t="str">
        <x:v>Cập nhật một phần, các trường không gửi vẫn giữ nguyên giá trị cũ</x:v>
      </x:c>
      <x:c r="D14" s="11" t="str">
        <x:v>Khách hàng đã đăng nhập; đã có sẵn email hiện tại Phiên của người gọi hợp lệ trừ khi case kiểm tra thiếu/hết hạn token.</x:v>
      </x:c>
      <x:c r="E14" s="11" t="str">
        <x:v>1. Chuẩn bị dữ liệu và trạng thái trong Preconditions.
2. Gọi PATCH /accounts/me với Test Data.
3. Đối chiếu HTTP, nội dung phản hồi và trạng thái lưu trữ với Expected Result.</x:v>
      </x:c>
      <x:c r="F14" s="11" t="str">
        <x:v>Body: { fullName: Nguyen Van A4 }</x:v>
      </x:c>
      <x:c r="G14" s="11" t="str">
        <x:v>fullName được cập nhật; email và phone giữ nguyên giá trị cũ</x:v>
      </x:c>
      <x:c r="H14" s="11" t="str">
        <x:v>Medium</x:v>
      </x:c>
      <x:c r="I14" s="14" t="str">
        <x:v>FR01.3; AC01</x:v>
      </x:c>
      <x:c r="J14" s="14" t="str">
        <x:v>PATCH /accounts/me</x:v>
      </x:c>
      <x:c r="K14" s="14" t="str">
        <x:v>API</x:v>
      </x:c>
      <x:c r="L14" s="14" t="str">
        <x:v>DEFINED</x:v>
      </x:c>
      <x:c r="M14" s="33"/>
      <x:c r="N14" s="33" t="str">
        <x:v>NOT_RUN</x:v>
      </x:c>
      <x:c r="O14" s="14" t="str">
        <x:v>Hợp đồng tham chiếu: 01-auth-customer-api.yaml. Chưa chạy kiểm thử. Đối chiếu bản API 1.2 trong cuộc trao đổi; không xác nhận trạng thái commit GitHub.</x:v>
      </x:c>
      <x:c r="P14" s="14" t="str">
        <x:v>—</x:v>
      </x:c>
      <x:c r="Q14" s="14" t="str">
        <x:v>Request/response đã che token; dữ liệu trước/sau hoặc log kiểm tra có correlationId; môi trường, commit và thời gian chạy. Không ghi mật khẩu thật.</x:v>
      </x:c>
    </x:row>
    <x:row r="15" ht="90" customHeight="1">
      <x:c r="A15" s="11" t="str">
        <x:v>TC-PROFILE-014</x:v>
      </x:c>
      <x:c r="B15" s="11" t="str">
        <x:v>Cập nhật thông tin cá nhân khách hàng</x:v>
      </x:c>
      <x:c r="C15" s="11" t="str">
        <x:v>Cập nhật thành công, response trả về đúng dữ liệu mới nhất</x:v>
      </x:c>
      <x:c r="D15" s="11" t="str">
        <x:v>Khách hàng đã đăng nhập Phiên của người gọi hợp lệ trừ khi case kiểm tra thiếu/hết hạn token.</x:v>
      </x:c>
      <x:c r="E15" s="11" t="str">
        <x:v>1. Chuẩn bị dữ liệu và trạng thái trong Preconditions.
2. Gọi PATCH /accounts/me với Test Data.
3. Đối chiếu HTTP, nội dung phản hồi và trạng thái lưu trữ với Expected Result.</x:v>
      </x:c>
      <x:c r="F15" s="11" t="str">
        <x:v>FullName: Nguyen Van A5</x:v>
      </x:c>
      <x:c r="G15" s="11" t="str">
        <x:v>Response chứa đúng giá trị fullName vừa cập nhật</x:v>
      </x:c>
      <x:c r="H15" s="11" t="str">
        <x:v>Medium</x:v>
      </x:c>
      <x:c r="I15" s="14" t="str">
        <x:v>FR01.3; AC01</x:v>
      </x:c>
      <x:c r="J15" s="14" t="str">
        <x:v>PATCH /accounts/me</x:v>
      </x:c>
      <x:c r="K15" s="14" t="str">
        <x:v>API</x:v>
      </x:c>
      <x:c r="L15" s="14" t="str">
        <x:v>DEFINED</x:v>
      </x:c>
      <x:c r="M15" s="33"/>
      <x:c r="N15" s="33" t="str">
        <x:v>NOT_RUN</x:v>
      </x:c>
      <x:c r="O15" s="14" t="str">
        <x:v>Hợp đồng tham chiếu: 01-auth-customer-api.yaml. Chưa chạy kiểm thử. Đối chiếu bản API 1.2 trong cuộc trao đổi; không xác nhận trạng thái commit GitHub.</x:v>
      </x:c>
      <x:c r="P15" s="14" t="str">
        <x:v>—</x:v>
      </x:c>
      <x:c r="Q15" s="14" t="str">
        <x:v>Request/response đã che token; dữ liệu trước/sau hoặc log kiểm tra có correlationId; môi trường, commit và thời gian chạy. Không ghi mật khẩu thật.</x:v>
      </x:c>
    </x:row>
    <x:row r="16" ht="90" customHeight="1">
      <x:c r="A16" s="11" t="str">
        <x:v>TC-PROFILE-015</x:v>
      </x:c>
      <x:c r="B16" s="11" t="str">
        <x:v>Cập nhật thông tin cá nhân khách hàng</x:v>
      </x:c>
      <x:c r="C16" s="11" t="str">
        <x:v>Tên chứa ký tự đặc biệt được xử lý theo schema</x:v>
      </x:c>
      <x:c r="D16" s="11" t="str">
        <x:v>Khách hàng đã đăng nhập Phiên của người gọi hợp lệ trừ khi case kiểm tra thiếu/hết hạn token.</x:v>
      </x:c>
      <x:c r="E16" s="11" t="str">
        <x:v>1. Chuẩn bị dữ liệu và trạng thái trong Preconditions.
2. Gọi PATCH /accounts/me với Test Data.
3. Đối chiếu HTTP, nội dung phản hồi và trạng thái lưu trữ với Expected Result.</x:v>
      </x:c>
      <x:c r="F16" s="11" t="str">
        <x:v>{"fullName":"Nguyen@#$123"}</x:v>
      </x:c>
      <x:c r="G16" s="11" t="str">
        <x:v>200 khi đáp ứng độ dài và nonblank theo API 01; lưu đúng fullName. Không áp regex cấm ký tự chưa được quy định. UI hiển thị dưới dạng text.</x:v>
      </x:c>
      <x:c r="H16" s="11" t="str">
        <x:v>Low</x:v>
      </x:c>
      <x:c r="I16" s="14" t="str">
        <x:v>FR01.3; AC01</x:v>
      </x:c>
      <x:c r="J16" s="14" t="str">
        <x:v>PATCH /accounts/me</x:v>
      </x:c>
      <x:c r="K16" s="14" t="str">
        <x:v>API</x:v>
      </x:c>
      <x:c r="L16" s="14" t="str">
        <x:v>DEFINED</x:v>
      </x:c>
      <x:c r="M16" s="33"/>
      <x:c r="N16" s="33" t="str">
        <x:v>NOT_RUN</x:v>
      </x:c>
      <x:c r="O16" s="14" t="str">
        <x:v>Không dùng ca này để chứng minh đã chống XSS; dùng TC-SEC-009.</x:v>
      </x:c>
      <x:c r="P16" s="14" t="str">
        <x:v>—</x:v>
      </x:c>
      <x:c r="Q16" s="14" t="str">
        <x:v>Request/response đã che token; dữ liệu trước/sau hoặc log kiểm tra có correlationId; môi trường, commit và thời gian chạy. Không ghi mật khẩu thật.</x:v>
      </x:c>
    </x:row>
    <x:row r="17" ht="90" customHeight="1">
      <x:c r="A17" s="11" t="str">
        <x:v>TC-PROFILE-016</x:v>
      </x:c>
      <x:c r="B17" s="11" t="str">
        <x:v>Cập nhật thông tin cá nhân khách hàng</x:v>
      </x:c>
      <x:c r="C17" s="11" t="str">
        <x:v>Cập nhật thất bại khi token đã hết hạn</x:v>
      </x:c>
      <x:c r="D17" s="11" t="str">
        <x:v>Access token của khách hàng đã hết hạn Phiên của người gọi hợp lệ trừ khi case kiểm tra thiếu/hết hạn token.</x:v>
      </x:c>
      <x:c r="E17" s="11" t="str">
        <x:v>1. Chuẩn bị dữ liệu và trạng thái trong Preconditions.
2. Gọi PATCH /accounts/me với Test Data.
3. Đối chiếu HTTP, nội dung phản hồi và trạng thái lưu trữ với Expected Result.</x:v>
      </x:c>
      <x:c r="F17" s="11" t="str">
        <x:v>Header Authorization: Bearer &lt;expired_token&gt;</x:v>
      </x:c>
      <x:c r="G17" s="11" t="str">
        <x:v>API trả lỗi 401 Unauthorized</x:v>
      </x:c>
      <x:c r="H17" s="11" t="str">
        <x:v>High</x:v>
      </x:c>
      <x:c r="I17" s="14" t="str">
        <x:v>FR01.3; AC01</x:v>
      </x:c>
      <x:c r="J17" s="14" t="str">
        <x:v>PATCH /accounts/me</x:v>
      </x:c>
      <x:c r="K17" s="14" t="str">
        <x:v>API</x:v>
      </x:c>
      <x:c r="L17" s="14" t="str">
        <x:v>DEFINED</x:v>
      </x:c>
      <x:c r="M17" s="33"/>
      <x:c r="N17" s="33" t="str">
        <x:v>NOT_RUN</x:v>
      </x:c>
      <x:c r="O17" s="14" t="str">
        <x:v>Hợp đồng tham chiếu: 01-auth-customer-api.yaml. Chưa chạy kiểm thử. Đối chiếu bản API 1.2 trong cuộc trao đổi; không xác nhận trạng thái commit GitHub.</x:v>
      </x:c>
      <x:c r="P17" s="14" t="str">
        <x:v>—</x:v>
      </x:c>
      <x:c r="Q17" s="14" t="str">
        <x:v>Request/response đã che token; dữ liệu trước/sau hoặc log kiểm tra có correlationId; môi trường, commit và thời gian chạy. Không ghi mật khẩu thật.</x:v>
      </x:c>
    </x:row>
    <x:row r="18" ht="90" customHeight="1">
      <x:c r="A18" s="11" t="str">
        <x:v>TC-PROFILE-017</x:v>
      </x:c>
      <x:c r="B18" s="11" t="str">
        <x:v>Cập nhật thông tin cá nhân khách hàng</x:v>
      </x:c>
      <x:c r="C18" s="11" t="str">
        <x:v>Xem hồ sơ của chính Account trong phiên</x:v>
      </x:c>
      <x:c r="D18" s="11" t="str">
        <x:v>C1 đang đăng nhập hợp lệ.</x:v>
      </x:c>
      <x:c r="E18" s="11" t="str">
        <x:v>1. Chuẩn bị trạng thái và dữ liệu được nêu.
2. GET /accounts/me.
3. Kiểm tra HTTP, phản hồi và dữ liệu sau thao tác.</x:v>
      </x:c>
      <x:c r="F18" s="11" t="str">
        <x:v>Authorization: token C1; không có customerId trong path/body.</x:v>
      </x:c>
      <x:c r="G18" s="11" t="str">
        <x:v>200; đúng Account C1, không trả password/hash.</x:v>
      </x:c>
      <x:c r="H18" s="11" t="str">
        <x:v>Medium</x:v>
      </x:c>
      <x:c r="I18" s="14" t="str">
        <x:v>FR01.3; AC01</x:v>
      </x:c>
      <x:c r="J18" s="14" t="str">
        <x:v>GET /accounts/me</x:v>
      </x:c>
      <x:c r="K18" s="14" t="str">
        <x:v>API</x:v>
      </x:c>
      <x:c r="L18" s="14" t="str">
        <x:v>DEFINED</x:v>
      </x:c>
      <x:c r="M18" s="33"/>
      <x:c r="N18" s="33" t="str">
        <x:v>NOT_RUN</x:v>
      </x:c>
      <x:c r="O18" s="14" t="str">
        <x:v>Hợp đồng tham chiếu: 01-auth-customer-api.yaml. Chưa chạy kiểm thử. Đối chiếu bản API 1.2 trong cuộc trao đổi; không xác nhận trạng thái commit GitHub.</x:v>
      </x:c>
      <x:c r="P18" s="14" t="str">
        <x:v>—</x:v>
      </x:c>
      <x:c r="Q18" s="14" t="str">
        <x:v>Request/response đã che token; dữ liệu trước/sau hoặc log kiểm tra có correlationId; môi trường, commit và thời gian chạy. Không ghi mật khẩu thật.</x:v>
      </x:c>
    </x:row>
    <x:row r="19" ht="90" customHeight="1">
      <x:c r="A19" s="11" t="str">
        <x:v>TC-PROFILE-018</x:v>
      </x:c>
      <x:c r="B19" s="11" t="str">
        <x:v>Cập nhật thông tin cá nhân khách hàng</x:v>
      </x:c>
      <x:c r="C19" s="11" t="str">
        <x:v>Không dùng access token của phiên đã thu hồi</x:v>
      </x:c>
      <x:c r="D19" s="11" t="str">
        <x:v>Token C1 còn hạn nhưng Session tương ứng đã bị thu hồi.</x:v>
      </x:c>
      <x:c r="E19" s="11" t="str">
        <x:v>1. Chuẩn bị trạng thái và dữ liệu được nêu.
2. GET /accounts/me.
3. Kiểm tra HTTP, phản hồi và dữ liệu sau thao tác.</x:v>
      </x:c>
      <x:c r="F19" s="11" t="str">
        <x:v>Authorization: token của Session bị thu hồi.</x:v>
      </x:c>
      <x:c r="G19" s="11" t="str">
        <x:v>401; không trả thông tin hồ sơ.</x:v>
      </x:c>
      <x:c r="H19" s="11" t="str">
        <x:v>Medium</x:v>
      </x:c>
      <x:c r="I19" s="14" t="str">
        <x:v>FR01.3; AC01</x:v>
      </x:c>
      <x:c r="J19" s="14" t="str">
        <x:v>GET /accounts/me</x:v>
      </x:c>
      <x:c r="K19" s="14" t="str">
        <x:v>API</x:v>
      </x:c>
      <x:c r="L19" s="14" t="str">
        <x:v>DEFINED</x:v>
      </x:c>
      <x:c r="M19" s="33"/>
      <x:c r="N19" s="33" t="str">
        <x:v>NOT_RUN</x:v>
      </x:c>
      <x:c r="O19" s="14" t="str">
        <x:v>Hợp đồng tham chiếu: 01-auth-customer-api.yaml. Chưa chạy kiểm thử. Đối chiếu bản API 1.2 trong cuộc trao đổi; không xác nhận trạng thái commit GitHub.</x:v>
      </x:c>
      <x:c r="P19" s="14" t="str">
        <x:v>—</x:v>
      </x:c>
      <x:c r="Q19" s="14" t="str">
        <x:v>Request/response đã che token; dữ liệu trước/sau hoặc log kiểm tra có correlationId; môi trường, commit và thời gian chạy. Không ghi mật khẩu thật.</x:v>
      </x:c>
    </x:row>
    <x:row r="20" ht="90" customHeight="1">
      <x:c r="A20" s="11" t="str">
        <x:v>TC-PROFILE-019</x:v>
      </x:c>
      <x:c r="B20" s="11" t="str">
        <x:v>Cập nhật thông tin cá nhân khách hàng</x:v>
      </x:c>
      <x:c r="C20" s="11" t="str">
        <x:v>Cập nhật liên tiếp nhiều lần, mỗi lần lưu đúng giá trị mới nhất</x:v>
      </x:c>
      <x:c r="D20" s="11" t="str">
        <x:v>Khách hàng đã đăng nhập Phiên của người gọi hợp lệ trừ khi case kiểm tra thiếu/hết hạn token.</x:v>
      </x:c>
      <x:c r="E20" s="11" t="str">
        <x:v>1. Chuẩn bị trạng thái và dữ liệu được nêu.
2. PATCH /accounts/me hai lần liên tiếp, chờ phản hồi lần trước.
3. Kiểm tra HTTP, phản hồi và dữ liệu sau thao tác.</x:v>
      </x:c>
      <x:c r="F20" s="11" t="str">
        <x:v>Lần 1: {"fullName":"Nguyễn Văn X"}; lần 2: {"fullName":"Nguyễn Văn Y"}.</x:v>
      </x:c>
      <x:c r="G20" s="11" t="str">
        <x:v>Hai lần 200; GET /accounts/me cuối cùng có fullName Nguyễn Văn Y; email/phone không đổi.</x:v>
      </x:c>
      <x:c r="H20" s="11" t="str">
        <x:v>Low</x:v>
      </x:c>
      <x:c r="I20" s="14" t="str">
        <x:v>FR01.3; AC01</x:v>
      </x:c>
      <x:c r="J20" s="14" t="str">
        <x:v>PATCH /accounts/me hai lần liên tiếp, chờ phản hồi lần trước</x:v>
      </x:c>
      <x:c r="K20" s="14" t="str">
        <x:v>API</x:v>
      </x:c>
      <x:c r="L20" s="14" t="str">
        <x:v>DEFINED</x:v>
      </x:c>
      <x:c r="M20" s="33"/>
      <x:c r="N20" s="33" t="str">
        <x:v>NOT_RUN</x:v>
      </x:c>
      <x:c r="O20" s="14" t="str">
        <x:v>Hợp đồng tham chiếu: 01-auth-customer-api.yaml. Chưa chạy kiểm thử. Đối chiếu bản API 1.2 trong cuộc trao đổi; không xác nhận trạng thái commit GitHub.</x:v>
      </x:c>
      <x:c r="P20" s="14" t="str">
        <x:v>—</x:v>
      </x:c>
      <x:c r="Q20" s="14" t="str">
        <x:v>Request/response đã che token; dữ liệu trước/sau hoặc log kiểm tra có correlationId; môi trường, commit và thời gian chạy. Không ghi mật khẩu thật.</x:v>
      </x:c>
    </x:row>
    <x:row r="21" ht="90" customHeight="1">
      <x:c r="A21" s="11" t="str">
        <x:v>TC-PROFILE-020</x:v>
      </x:c>
      <x:c r="B21" s="11" t="str">
        <x:v>Cập nhật thông tin cá nhân khách hàng</x:v>
      </x:c>
      <x:c r="C21" s="11" t="str">
        <x:v>Cập nhật thất bại khi số điện thoại trùng với khách hàng khác</x:v>
      </x:c>
      <x:c r="D21" s="11" t="str">
        <x:v>Số điện thoại +84900000001 đã thuộc về khách hàng khác Phiên của người gọi hợp lệ trừ khi case kiểm tra thiếu/hết hạn token.</x:v>
      </x:c>
      <x:c r="E21" s="11" t="str">
        <x:v>1. Chuẩn bị dữ liệu và trạng thái trong Preconditions.
2. Gọi PATCH /accounts/me với Test Data.
3. Đối chiếu HTTP, nội dung phản hồi và trạng thái lưu trữ với Expected Result.</x:v>
      </x:c>
      <x:c r="F21" s="11" t="str">
        <x:v>Phone: +84900000001
currentPassword=Password@123 (đúng với fixture); phone hợp lệ phải dùng E.164.</x:v>
      </x:c>
      <x:c r="G21" s="11" t="str">
        <x:v>409; dữ liệu email/phone đã thuộc Account khác; không cập nhật bất kỳ trường nào trong request.</x:v>
      </x:c>
      <x:c r="H21" s="11" t="str">
        <x:v>Medium</x:v>
      </x:c>
      <x:c r="I21" s="14" t="str">
        <x:v>FR01.3; AC01</x:v>
      </x:c>
      <x:c r="J21" s="14" t="str">
        <x:v>PATCH /accounts/me</x:v>
      </x:c>
      <x:c r="K21" s="14" t="str">
        <x:v>API</x:v>
      </x:c>
      <x:c r="L21" s="14" t="str">
        <x:v>DEFINED</x:v>
      </x:c>
      <x:c r="M21" s="33"/>
      <x:c r="N21" s="33" t="str">
        <x:v>NOT_RUN</x:v>
      </x:c>
      <x:c r="O21" s="14" t="str">
        <x:v>Hợp đồng tham chiếu: 01-auth-customer-api.yaml. Chưa chạy kiểm thử. Đối chiếu bản API 1.2 trong cuộc trao đổi; không xác nhận trạng thái commit GitHub.</x:v>
      </x:c>
      <x:c r="P21" s="14" t="str">
        <x:v>—</x:v>
      </x:c>
      <x:c r="Q21" s="14" t="str">
        <x:v>Request/response đã che token; dữ liệu trước/sau hoặc log kiểm tra có correlationId; môi trường, commit và thời gian chạy. Không ghi mật khẩu thật.</x:v>
      </x:c>
    </x:row>
    <x:row r="22" ht="90" customHeight="1">
      <x:c r="A22" s="14" t="str">
        <x:v>TC-PROFILE-021</x:v>
      </x:c>
      <x:c r="B22" s="14" t="str">
        <x:v>Cập nhật thông tin cá nhân khách hàng</x:v>
      </x:c>
      <x:c r="C22" s="14" t="str">
        <x:v>Đổi email thiếu currentPassword</x:v>
      </x:c>
      <x:c r="D22" s="14" t="str">
        <x:v>C1 đăng nhập, email mới chưa tồn tại.</x:v>
      </x:c>
      <x:c r="E22" s="14" t="str">
        <x:v>1. Thiết lập fixture và trạng thái theo Preconditions.
2. PATCH /accounts/me với Test Data.
3. Đối chiếu phản hồi và dữ liệu lưu trữ theo Expected Result.</x:v>
      </x:c>
      <x:c r="F22" s="14" t="str">
        <x:v>{"email":"new-c1@example.com"}</x:v>
      </x:c>
      <x:c r="G22" s="14" t="str">
        <x:v>400; email giữ nguyên.</x:v>
      </x:c>
      <x:c r="H22" s="14" t="str">
        <x:v>High</x:v>
      </x:c>
      <x:c r="I22" s="14" t="str">
        <x:v>FR01.3; AC01</x:v>
      </x:c>
      <x:c r="J22" s="14" t="str">
        <x:v>PATCH /accounts/me</x:v>
      </x:c>
      <x:c r="K22" s="14" t="str">
        <x:v>Integration</x:v>
      </x:c>
      <x:c r="L22" s="14" t="str">
        <x:v>DEFINED</x:v>
      </x:c>
      <x:c r="M22" s="33"/>
      <x:c r="N22" s="33" t="str">
        <x:v>NOT_RUN</x:v>
      </x:c>
      <x:c r="O22" s="14" t="str">
        <x:v>Bổ sung theo thiết kế đã duyệt; chưa chạy kiểm thử. Tham chiếu: 01-auth-customer-api.yaml. Đối chiếu bản API 1.2 trong cuộc trao đổi; không xác nhận trạng thái commit GitHub.</x:v>
      </x:c>
      <x:c r="P22" s="14" t="str">
        <x:v>—</x:v>
      </x:c>
      <x:c r="Q22" s="14" t="str">
        <x:v>Request/response đã che token; dữ liệu trước/sau hoặc log kiểm tra có correlationId; môi trường, commit và thời gian chạy. Không ghi mật khẩu thật.</x:v>
      </x:c>
    </x:row>
    <x:row r="23" ht="90" customHeight="1">
      <x:c r="A23" s="14" t="str">
        <x:v>TC-PROFILE-022</x:v>
      </x:c>
      <x:c r="B23" s="14" t="str">
        <x:v>Cập nhật thông tin cá nhân khách hàng</x:v>
      </x:c>
      <x:c r="C23" s="14" t="str">
        <x:v>Đổi phone bằng currentPassword sai</x:v>
      </x:c>
      <x:c r="D23" s="14" t="str">
        <x:v>C1 đăng nhập, phone mới chưa tồn tại.</x:v>
      </x:c>
      <x:c r="E23" s="14" t="str">
        <x:v>1. Thiết lập fixture và trạng thái theo Preconditions.
2. PATCH /accounts/me với Test Data.
3. Đối chiếu phản hồi và dữ liệu lưu trữ theo Expected Result.</x:v>
      </x:c>
      <x:c r="F23" s="14" t="str">
        <x:v>{"phone":"+84900000009","currentPassword":"Wrong@123"}</x:v>
      </x:c>
      <x:c r="G23" s="14" t="str">
        <x:v>400; phone giữ nguyên.</x:v>
      </x:c>
      <x:c r="H23" s="14" t="str">
        <x:v>High</x:v>
      </x:c>
      <x:c r="I23" s="14" t="str">
        <x:v>FR01.3; AC01</x:v>
      </x:c>
      <x:c r="J23" s="14" t="str">
        <x:v>PATCH /accounts/me</x:v>
      </x:c>
      <x:c r="K23" s="14" t="str">
        <x:v>Integration</x:v>
      </x:c>
      <x:c r="L23" s="14" t="str">
        <x:v>DEFINED</x:v>
      </x:c>
      <x:c r="M23" s="33"/>
      <x:c r="N23" s="33" t="str">
        <x:v>NOT_RUN</x:v>
      </x:c>
      <x:c r="O23" s="14" t="str">
        <x:v>Bổ sung theo thiết kế đã duyệt; chưa chạy kiểm thử. Tham chiếu: 01-auth-customer-api.yaml. Đối chiếu bản API 1.2 trong cuộc trao đổi; không xác nhận trạng thái commit GitHub.</x:v>
      </x:c>
      <x:c r="P23" s="14" t="str">
        <x:v>—</x:v>
      </x:c>
      <x:c r="Q23" s="14" t="str">
        <x:v>Request/response đã che token; dữ liệu trước/sau hoặc log kiểm tra có correlationId; môi trường, commit và thời gian chạy. Không ghi mật khẩu thật.</x:v>
      </x:c>
    </x:row>
    <x:row r="24" ht="90" customHeight="1">
      <x:c r="A24" s="14" t="str">
        <x:v>TC-PROFILE-023</x:v>
      </x:c>
      <x:c r="B24" s="14" t="str">
        <x:v>Cập nhật thông tin cá nhân khách hàng</x:v>
      </x:c>
      <x:c r="C24" s="14" t="str">
        <x:v>Body chỉ có currentPassword bị từ chối</x:v>
      </x:c>
      <x:c r="D24" s="14" t="str">
        <x:v>C1 đăng nhập, mật khẩu đúng.</x:v>
      </x:c>
      <x:c r="E24" s="14" t="str">
        <x:v>1. Thiết lập fixture và trạng thái theo Preconditions.
2. PATCH /accounts/me với Test Data.
3. Đối chiếu phản hồi và dữ liệu lưu trữ theo Expected Result.</x:v>
      </x:c>
      <x:c r="F24" s="14" t="str">
        <x:v>{"currentPassword":"Password@123"}</x:v>
      </x:c>
      <x:c r="G24" s="14" t="str">
        <x:v>400; không có trường cập nhật; Account/version không đổi.</x:v>
      </x:c>
      <x:c r="H24" s="14" t="str">
        <x:v>High</x:v>
      </x:c>
      <x:c r="I24" s="14" t="str">
        <x:v>FR01.3; AC01</x:v>
      </x:c>
      <x:c r="J24" s="14" t="str">
        <x:v>PATCH /accounts/me</x:v>
      </x:c>
      <x:c r="K24" s="14" t="str">
        <x:v>Integration</x:v>
      </x:c>
      <x:c r="L24" s="14" t="str">
        <x:v>DEFINED</x:v>
      </x:c>
      <x:c r="M24" s="33"/>
      <x:c r="N24" s="33" t="str">
        <x:v>NOT_RUN</x:v>
      </x:c>
      <x:c r="O24" s="14" t="str">
        <x:v>Bổ sung theo thiết kế đã duyệt; chưa chạy kiểm thử. Tham chiếu: 01-auth-customer-api.yaml. Đối chiếu bản API 1.2 trong cuộc trao đổi; không xác nhận trạng thái commit GitHub.</x:v>
      </x:c>
      <x:c r="P24" s="14" t="str">
        <x:v>—</x:v>
      </x:c>
      <x:c r="Q24" s="14" t="str">
        <x:v>Request/response đã che token; dữ liệu trước/sau hoặc log kiểm tra có correlationId; môi trường, commit và thời gian chạy. Không ghi mật khẩu thật.</x:v>
      </x:c>
    </x:row>
    <x:row r="25" ht="90" customHeight="1">
      <x:c r="A25" s="14" t="str">
        <x:v>TC-PROFILE-024</x:v>
      </x:c>
      <x:c r="B25" s="14" t="str">
        <x:v>Cập nhật thông tin cá nhân khách hàng</x:v>
      </x:c>
      <x:c r="C25" s="14" t="str">
        <x:v>Cập nhật nhiều trường phải nguyên tử</x:v>
      </x:c>
      <x:c r="D25" s="14" t="str">
        <x:v>C1 đăng nhập; taken@example.com thuộc Account C2.</x:v>
      </x:c>
      <x:c r="E25" s="14" t="str">
        <x:v>1. Thiết lập fixture và trạng thái theo Preconditions.
2. PATCH /accounts/me với Test Data.
3. Đối chiếu phản hồi và dữ liệu lưu trữ theo Expected Result.</x:v>
      </x:c>
      <x:c r="F25" s="14" t="str">
        <x:v>{"fullName":"Tên mới","email":"taken@example.com","currentPassword":"Password@123"}</x:v>
      </x:c>
      <x:c r="G25" s="14" t="str">
        <x:v>409; fullName và email của C1 đều giữ nguyên.</x:v>
      </x:c>
      <x:c r="H25" s="14" t="str">
        <x:v>High</x:v>
      </x:c>
      <x:c r="I25" s="14" t="str">
        <x:v>FR01.3; AC01</x:v>
      </x:c>
      <x:c r="J25" s="14" t="str">
        <x:v>PATCH /accounts/me</x:v>
      </x:c>
      <x:c r="K25" s="14" t="str">
        <x:v>Integration</x:v>
      </x:c>
      <x:c r="L25" s="14" t="str">
        <x:v>DEFINED</x:v>
      </x:c>
      <x:c r="M25" s="33"/>
      <x:c r="N25" s="33" t="str">
        <x:v>NOT_RUN</x:v>
      </x:c>
      <x:c r="O25" s="14" t="str">
        <x:v>Bổ sung theo thiết kế đã duyệt; chưa chạy kiểm thử. Tham chiếu: 01-auth-customer-api.yaml. Đối chiếu bản API 1.2 trong cuộc trao đổi; không xác nhận trạng thái commit GitHub.</x:v>
      </x:c>
      <x:c r="P25" s="14" t="str">
        <x:v>—</x:v>
      </x:c>
      <x:c r="Q25" s="14" t="str">
        <x:v>Request/response đã che token; dữ liệu trước/sau hoặc log kiểm tra có correlationId; môi trường, commit và thời gian chạy. Không ghi mật khẩu thật.</x:v>
      </x:c>
    </x:row>
    <x:row r="26" ht="104" customHeight="1">
      <x:c r="A26" s="14" t="str">
        <x:v>TC-PROFILE-025</x:v>
      </x:c>
      <x:c r="B26" s="14" t="str">
        <x:v>Profile</x:v>
      </x:c>
      <x:c r="C26" s="14" t="str">
        <x:v>Lấy Customer theo ID đúng quyền</x:v>
      </x:c>
      <x:c r="D26" s="14" t="str">
        <x:v>C1 ACTIVE và có Customer CU1.</x:v>
      </x:c>
      <x:c r="E26" s="14" t="str">
        <x:v>1. Chuẩn bị fixture độc lập theo Preconditions.
2. GET /customers/CU1 với Test Data; lưu phản hồi và correlationId.
3. Đối chiếu từng điều kiện Expected Result với dữ liệu sau thao tác.</x:v>
      </x:c>
      <x:c r="F26" s="14" t="str">
        <x:v>JWT C1, sau đó JWT O1 trong lượt riêng</x:v>
      </x:c>
      <x:c r="G26" s="14" t="str">
        <x:v>200 đúng CU1; không password/hash/token.</x:v>
      </x:c>
      <x:c r="H26" s="14" t="str">
        <x:v>High</x:v>
      </x:c>
      <x:c r="I26" s="14" t="str">
        <x:v>API 1.2; rubric liên kết</x:v>
      </x:c>
      <x:c r="J26" s="14" t="str">
        <x:v>GET /customers/CU1</x:v>
      </x:c>
      <x:c r="K26" s="14" t="str">
        <x:v>Integration</x:v>
      </x:c>
      <x:c r="L26" s="14" t="str">
        <x:v>DEFINED</x:v>
      </x:c>
      <x:c r="M26" s="33"/>
      <x:c r="N26" s="33" t="str">
        <x:v>NOT_RUN</x:v>
      </x:c>
      <x:c r="O26" s="14" t="str">
        <x:v>Chưa chạy. Fixture giả trong môi trường kiểm thử cô lập.</x:v>
      </x:c>
      <x:c r="P26" s="14" t="str">
        <x:v>R11</x:v>
      </x:c>
      <x:c r="Q26" s="14" t="str">
        <x:v>Request/response đã che token; dữ liệu trước/sau hoặc log kiểm tra có correlationId; môi trường, commit và thời gian chạy. Không ghi mật khẩu thật.</x:v>
      </x:c>
    </x:row>
    <x:row r="27" ht="104" customHeight="1">
      <x:c r="A27" s="14" t="str">
        <x:v>TC-PROFILE-026</x:v>
      </x:c>
      <x:c r="B27" s="14" t="str">
        <x:v>Profile</x:v>
      </x:c>
      <x:c r="C27" s="14" t="str">
        <x:v>Lấy Customer ngoài phạm vi hoặc sai vai trò</x:v>
      </x:c>
      <x:c r="D27" s="14" t="str">
        <x:v>CU1 của C1; C2 và D1 ACTIVE.</x:v>
      </x:c>
      <x:c r="E27" s="14" t="str">
        <x:v>1. Chuẩn bị fixture độc lập theo Preconditions.
2. GET /customers/CU1 với Test Data; lưu phản hồi và correlationId.
3. Đối chiếu từng điều kiện Expected Result với dữ liệu sau thao tác.</x:v>
      </x:c>
      <x:c r="F27" s="14" t="str">
        <x:v>JWT C2 rồi D1, reset lượt</x:v>
      </x:c>
      <x:c r="G27" s="14" t="str">
        <x:v>C2 nhận 404; D1 nhận 403; không trả dữ liệu CU1.</x:v>
      </x:c>
      <x:c r="H27" s="14" t="str">
        <x:v>High</x:v>
      </x:c>
      <x:c r="I27" s="14" t="str">
        <x:v>API 1.2; rubric liên kết</x:v>
      </x:c>
      <x:c r="J27" s="14" t="str">
        <x:v>GET /customers/CU1</x:v>
      </x:c>
      <x:c r="K27" s="14" t="str">
        <x:v>Integration</x:v>
      </x:c>
      <x:c r="L27" s="14" t="str">
        <x:v>DEFINED</x:v>
      </x:c>
      <x:c r="M27" s="33"/>
      <x:c r="N27" s="33" t="str">
        <x:v>NOT_RUN</x:v>
      </x:c>
      <x:c r="O27" s="14" t="str">
        <x:v>Chưa chạy. Fixture giả trong môi trường kiểm thử cô lập.</x:v>
      </x:c>
      <x:c r="P27" s="14" t="str">
        <x:v>R11</x:v>
      </x:c>
      <x:c r="Q27" s="14" t="str">
        <x:v>Request/response đã che token; dữ liệu trước/sau hoặc log kiểm tra có correlationId; môi trường, commit và thời gian chạy. Không ghi mật khẩu thật.</x:v>
      </x:c>
    </x:row>
    <x:row r="28" ht="104" customHeight="1">
      <x:c r="A28" s="14" t="str">
        <x:v>TC-PROFILE-027</x:v>
      </x:c>
      <x:c r="B28" s="14" t="str">
        <x:v>Profile</x:v>
      </x:c>
      <x:c r="C28" s="14" t="str">
        <x:v>Lấy Driver theo ID gắn với Trip của khách</x:v>
      </x:c>
      <x:c r="D28" s="14" t="str">
        <x:v>C1 có Trip T1 được giao D1; tất cả Account hợp lệ.</x:v>
      </x:c>
      <x:c r="E28" s="14" t="str">
        <x:v>1. Chuẩn bị fixture độc lập theo Preconditions.
2. GET /drivers/D1 với Test Data; lưu phản hồi và correlationId.
3. Đối chiếu từng điều kiện Expected Result với dữ liệu sau thao tác.</x:v>
      </x:c>
      <x:c r="F28" s="14" t="str">
        <x:v>JWT C1; D1; O1 từng lượt</x:v>
      </x:c>
      <x:c r="G28" s="14" t="str">
        <x:v>200 theo quyền; response chỉ driverId/fullName của D1, không license, phone, email hoặc GPS.</x:v>
      </x:c>
      <x:c r="H28" s="14" t="str">
        <x:v>High</x:v>
      </x:c>
      <x:c r="I28" s="14" t="str">
        <x:v>API 1.2; rubric liên kết</x:v>
      </x:c>
      <x:c r="J28" s="14" t="str">
        <x:v>GET /drivers/D1</x:v>
      </x:c>
      <x:c r="K28" s="14" t="str">
        <x:v>Integration</x:v>
      </x:c>
      <x:c r="L28" s="14" t="str">
        <x:v>DEFINED</x:v>
      </x:c>
      <x:c r="M28" s="33"/>
      <x:c r="N28" s="33" t="str">
        <x:v>NOT_RUN</x:v>
      </x:c>
      <x:c r="O28" s="14" t="str">
        <x:v>Chưa chạy. Fixture giả trong môi trường kiểm thử cô lập.</x:v>
      </x:c>
      <x:c r="P28" s="14" t="str">
        <x:v>R12</x:v>
      </x:c>
      <x:c r="Q28" s="14" t="str">
        <x:v>Request/response đã che token; dữ liệu trước/sau hoặc log kiểm tra có correlationId; môi trường, commit và thời gian chạy. Không ghi mật khẩu thật.</x:v>
      </x:c>
    </x:row>
    <x:row r="29" ht="104" customHeight="1">
      <x:c r="A29" s="14" t="str">
        <x:v>TC-PROFILE-028</x:v>
      </x:c>
      <x:c r="B29" s="14" t="str">
        <x:v>Profile</x:v>
      </x:c>
      <x:c r="C29" s="14" t="str">
        <x:v>Driver không có quan hệ với khách bị ẩn</x:v>
      </x:c>
      <x:c r="D29" s="14" t="str">
        <x:v>C2 chưa có Trip với D1.</x:v>
      </x:c>
      <x:c r="E29" s="14" t="str">
        <x:v>1. Chuẩn bị fixture độc lập theo Preconditions.
2. GET /drivers/D1 với Test Data; lưu phản hồi và correlationId.
3. Đối chiếu từng điều kiện Expected Result với dữ liệu sau thao tác.</x:v>
      </x:c>
      <x:c r="F29" s="14" t="str">
        <x:v>JWT C2; sau đó D2 trong lượt riêng</x:v>
      </x:c>
      <x:c r="G29" s="14" t="str">
        <x:v>404 cho cả hai; cùng loại phản hồi với Driver không tồn tại.</x:v>
      </x:c>
      <x:c r="H29" s="14" t="str">
        <x:v>High</x:v>
      </x:c>
      <x:c r="I29" s="14" t="str">
        <x:v>API 1.2; rubric liên kết</x:v>
      </x:c>
      <x:c r="J29" s="14" t="str">
        <x:v>GET /drivers/D1</x:v>
      </x:c>
      <x:c r="K29" s="14" t="str">
        <x:v>Integration</x:v>
      </x:c>
      <x:c r="L29" s="14" t="str">
        <x:v>DEFINED</x:v>
      </x:c>
      <x:c r="M29" s="33"/>
      <x:c r="N29" s="33" t="str">
        <x:v>NOT_RUN</x:v>
      </x:c>
      <x:c r="O29" s="14" t="str">
        <x:v>Chưa chạy. Fixture giả trong môi trường kiểm thử cô lập.</x:v>
      </x:c>
      <x:c r="P29" s="14" t="str">
        <x:v>R12</x:v>
      </x:c>
      <x:c r="Q29" s="14" t="str">
        <x:v>Request/response đã che token; dữ liệu trước/sau hoặc log kiểm tra có correlationId; môi trường, commit và thời gian chạy. Không ghi mật khẩu thật.</x:v>
      </x:c>
    </x:row>
  </x:sheetData>
  <x:conditionalFormatting sqref="L2:L25">
    <x:cfRule type="containsText" dxfId="6" priority="1" operator="containsText" text="NEEDS_DECISION"/>
  </x:conditionalFormatting>
  <x:conditionalFormatting sqref="N2:N25">
    <x:cfRule type="containsText" dxfId="7" priority="2" operator="containsText" text="FAIL"/>
    <x:cfRule type="containsText" dxfId="8" priority="3" operator="containsText" text="BLOCKED"/>
  </x:conditionalFormatting>
  <x:conditionalFormatting sqref="L2:L29">
    <x:cfRule type="containsText" dxfId="43" priority="4" operator="containsText" text="NEEDS_DECISION"/>
    <x:cfRule type="containsText" dxfId="44" priority="5" operator="containsText" text="OUT_OF_SCOPE"/>
    <x:cfRule type="containsText" dxfId="45" priority="6" operator="containsText" text="SUPERSEDED"/>
  </x:conditionalFormatting>
  <x:conditionalFormatting sqref="N2:N29">
    <x:cfRule type="containsText" dxfId="46" priority="7" operator="containsText" text="FAIL"/>
    <x:cfRule type="containsText" dxfId="47" priority="8" operator="containsText" text="BLOCKED"/>
  </x:conditionalFormatting>
  <x:dataValidations count="3">
    <x:dataValidation type="list" sqref="L2:L29">
      <x:formula1>"DEFINED,NEEDS_DECISION,OUT_OF_SCOPE,SUPERSEDED"</x:formula1>
    </x:dataValidation>
    <x:dataValidation type="list" sqref="N2:N29">
      <x:formula1>"NOT_RUN,PASS,FAIL,BLOCKED"</x:formula1>
    </x:dataValidation>
    <x:dataValidation type="list" sqref="K2:K29">
      <x:formula1>"API,Integration,UI,Performance,Review,Security"</x:formula1>
    </x:dataValidation>
  </x:dataValidations>
  <x:pageMargins left="0.7" right="0.7" top="0.75" bottom="0.75" header="0.3" footer="0.3"/>
  <x:tableParts count="1">
    <x:tablePart xmlns:r="http://schemas.openxmlformats.org/officeDocument/2006/relationships" r:id="R7dfae70eb3564095"/>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04" customHeight="1">
      <x:c r="A2" s="11" t="str">
        <x:v>TC-BOOKING-001</x:v>
      </x:c>
      <x:c r="B2" s="11" t="str">
        <x:v>Đặt xe (Tạo yêu cầu đặt xe)</x:v>
      </x:c>
      <x:c r="C2" s="11" t="str">
        <x:v>Tạo yêu cầu đặt xe thành công với thông tin hợp lệ</x:v>
      </x:c>
      <x:c r="D2" s="11" t="str">
        <x:v>Fixture B: pickup={address:"12 Lê Lợi",latitude:10.7757,longitude:106.7004}; destination={address:"Sân bay",latitude:10.8188,longitude:106.6519}; vehicleType=STANDARD. Có giá V1 hiệu lực; C1 chưa có Booking/Trip hoạt động.</x:v>
      </x:c>
      <x:c r="E2" s="11" t="str">
        <x:v>1. Chuẩn bị dữ liệu và trạng thái trong Preconditions.
2. Gọi POST /bookings với Test Data.
3. Đối chiếu HTTP, nội dung phản hồi và trạng thái lưu trữ với Expected Result.</x:v>
      </x:c>
      <x:c r="F2" s="11" t="str">
        <x:v>Body fixture B; Idempotency-Key=book-001.</x:v>
      </x:c>
      <x:c r="G2" s="11" t="str">
        <x:v>201; Booking PENDING, customerId từ phiên; lưu pricingVersionId/snapshot V1 và công việc điều phối bền vững; chỉ một Booking.</x:v>
      </x:c>
      <x:c r="H2" s="11" t="str">
        <x:v>High</x:v>
      </x:c>
      <x:c r="I2" s="14" t="str">
        <x:v>FR02; FR03; FR19; AC02; AC10</x:v>
      </x:c>
      <x:c r="J2" s="14" t="str">
        <x:v>POST /bookings</x:v>
      </x:c>
      <x:c r="K2" s="14" t="str">
        <x:v>API</x:v>
      </x:c>
      <x:c r="L2" s="14" t="str">
        <x:v>DEFINED</x:v>
      </x:c>
      <x:c r="M2" s="33"/>
      <x:c r="N2" s="33" t="str">
        <x:v>NOT_RUN</x:v>
      </x:c>
      <x:c r="O2" s="14" t="str">
        <x:v>Hợp đồng tham chiếu: 02-booking-api.yaml. Chưa chạy kiểm thử. Đối chiếu bản API 1.2 trong cuộc trao đổi; không xác nhận trạng thái commit GitHub.</x:v>
      </x:c>
      <x:c r="P2" s="14" t="str">
        <x:v>R15</x:v>
      </x:c>
      <x:c r="Q2" s="14" t="str">
        <x:v>Request/response đã che token; dữ liệu trước/sau hoặc log kiểm tra có correlationId; môi trường, commit và thời gian chạy. Không ghi mật khẩu thật.</x:v>
      </x:c>
    </x:row>
    <x:row r="3" ht="90" customHeight="1">
      <x:c r="A3" s="11" t="str">
        <x:v>TC-BOOKING-002</x:v>
      </x:c>
      <x:c r="B3" s="11" t="str">
        <x:v>Đặt xe (Tạo yêu cầu đặt xe)</x:v>
      </x:c>
      <x:c r="C3" s="11" t="str">
        <x:v>Tạo yêu cầu đặt xe thất bại khi chưa đăng nhập</x:v>
      </x:c>
      <x:c r="D3" s="11" t="str">
        <x:v>Không có access token hợp lệ Có Account CUSTOMER ACTIVE, giá hợp lệ; trừ mục tiêu kiểm tra, các điều kiện còn lại hợp lệ.</x:v>
      </x:c>
      <x:c r="E3" s="11" t="str">
        <x:v>1. Chuẩn bị dữ liệu và trạng thái trong Preconditions.
2. Gọi POST /bookings với Test Data.
3. Đối chiếu HTTP, nội dung phản hồi và trạng thái lưu trữ với Expected Result.</x:v>
      </x:c>
      <x:c r="F3" s="11" t="str">
        <x:v>Header Authorization: (không có)
Dùng fixture B, chỉ thay trường đang kiểm tra; Idempotency-Key riêng cho mỗi thao tác.</x:v>
      </x:c>
      <x:c r="G3" s="11" t="str">
        <x:v>API trả lỗi 401 Unauthorized</x:v>
      </x:c>
      <x:c r="H3" s="11" t="str">
        <x:v>High</x:v>
      </x:c>
      <x:c r="I3" s="14" t="str">
        <x:v>FR02; FR03; FR19; AC02; AC10</x:v>
      </x:c>
      <x:c r="J3" s="14" t="str">
        <x:v>POST /bookings</x:v>
      </x:c>
      <x:c r="K3" s="14" t="str">
        <x:v>API</x:v>
      </x:c>
      <x:c r="L3" s="14" t="str">
        <x:v>DEFINED</x:v>
      </x:c>
      <x:c r="M3" s="33"/>
      <x:c r="N3" s="33" t="str">
        <x:v>NOT_RUN</x:v>
      </x:c>
      <x:c r="O3" s="14" t="str">
        <x:v>Hợp đồng tham chiếu: 02-booking-api.yaml. Chưa chạy kiểm thử. Đối chiếu bản API 1.2 trong cuộc trao đổi; không xác nhận trạng thái commit GitHub.</x:v>
      </x:c>
      <x:c r="P3" s="14" t="str">
        <x:v>R15</x:v>
      </x:c>
      <x:c r="Q3" s="14" t="str">
        <x:v>Request/response đã che token; dữ liệu trước/sau hoặc log kiểm tra có correlationId; môi trường, commit và thời gian chạy. Không ghi mật khẩu thật.</x:v>
      </x:c>
    </x:row>
    <x:row r="4" ht="90" customHeight="1">
      <x:c r="A4" s="11" t="str">
        <x:v>TC-BOOKING-003</x:v>
      </x:c>
      <x:c r="B4" s="11" t="str">
        <x:v>Đặt xe (Tạo yêu cầu đặt xe)</x:v>
      </x:c>
      <x:c r="C4" s="11" t="str">
        <x:v>Tạo yêu cầu đặt xe thất bại khi thiếu điểm đón</x:v>
      </x:c>
      <x:c r="D4" s="11" t="str">
        <x:v>Khách hàng đã đăng nhập Có Account CUSTOMER ACTIVE, giá hợp lệ; trừ mục tiêu kiểm tra, các điều kiện còn lại hợp lệ.</x:v>
      </x:c>
      <x:c r="E4" s="11" t="str">
        <x:v>1. Chuẩn bị dữ liệu và trạng thái trong Preconditions.
2. Gọi POST /bookings với Test Data.
3. Đối chiếu HTTP, nội dung phản hồi và trạng thái lưu trữ với Expected Result.</x:v>
      </x:c>
      <x:c r="F4" s="11" t="str">
        <x:v>Pickup: (trống)
Dùng fixture B, chỉ thay trường đang kiểm tra; Idempotency-Key riêng cho mỗi thao tác.</x:v>
      </x:c>
      <x:c r="G4" s="11" t="str">
        <x:v>Hệ thống từ chối; yêu cầu khách hàng bổ sung điểm đón (400)</x:v>
      </x:c>
      <x:c r="H4" s="11" t="str">
        <x:v>High</x:v>
      </x:c>
      <x:c r="I4" s="14" t="str">
        <x:v>FR02; FR03; FR19; AC02; AC10</x:v>
      </x:c>
      <x:c r="J4" s="14" t="str">
        <x:v>POST /bookings</x:v>
      </x:c>
      <x:c r="K4" s="14" t="str">
        <x:v>API</x:v>
      </x:c>
      <x:c r="L4" s="14" t="str">
        <x:v>DEFINED</x:v>
      </x:c>
      <x:c r="M4" s="33"/>
      <x:c r="N4" s="33" t="str">
        <x:v>NOT_RUN</x:v>
      </x:c>
      <x:c r="O4" s="14" t="str">
        <x:v>Hợp đồng tham chiếu: 02-booking-api.yaml. Chưa chạy kiểm thử. Đối chiếu bản API 1.2 trong cuộc trao đổi; không xác nhận trạng thái commit GitHub.</x:v>
      </x:c>
      <x:c r="P4" s="14" t="str">
        <x:v>R15</x:v>
      </x:c>
      <x:c r="Q4" s="14" t="str">
        <x:v>Request/response đã che token; dữ liệu trước/sau hoặc log kiểm tra có correlationId; môi trường, commit và thời gian chạy. Không ghi mật khẩu thật.</x:v>
      </x:c>
    </x:row>
    <x:row r="5" ht="90" customHeight="1">
      <x:c r="A5" s="11" t="str">
        <x:v>TC-BOOKING-004</x:v>
      </x:c>
      <x:c r="B5" s="11" t="str">
        <x:v>Đặt xe (Tạo yêu cầu đặt xe)</x:v>
      </x:c>
      <x:c r="C5" s="11" t="str">
        <x:v>Tạo yêu cầu đặt xe thất bại khi thiếu điểm đến</x:v>
      </x:c>
      <x:c r="D5" s="11" t="str">
        <x:v>Khách hàng đã đăng nhập Có Account CUSTOMER ACTIVE, giá hợp lệ; trừ mục tiêu kiểm tra, các điều kiện còn lại hợp lệ.</x:v>
      </x:c>
      <x:c r="E5" s="11" t="str">
        <x:v>1. Chuẩn bị dữ liệu và trạng thái trong Preconditions.
2. Gọi POST /bookings với Test Data.
3. Đối chiếu HTTP, nội dung phản hồi và trạng thái lưu trữ với Expected Result.</x:v>
      </x:c>
      <x:c r="F5" s="11" t="str">
        <x:v>Destination: (trống)
Dùng fixture B, chỉ thay trường đang kiểm tra; Idempotency-Key riêng cho mỗi thao tác.</x:v>
      </x:c>
      <x:c r="G5" s="11" t="str">
        <x:v>Hệ thống từ chối; yêu cầu khách hàng bổ sung điểm đến (400)</x:v>
      </x:c>
      <x:c r="H5" s="11" t="str">
        <x:v>High</x:v>
      </x:c>
      <x:c r="I5" s="14" t="str">
        <x:v>FR02; FR03; FR19; AC02; AC10</x:v>
      </x:c>
      <x:c r="J5" s="14" t="str">
        <x:v>POST /bookings</x:v>
      </x:c>
      <x:c r="K5" s="14" t="str">
        <x:v>API</x:v>
      </x:c>
      <x:c r="L5" s="14" t="str">
        <x:v>DEFINED</x:v>
      </x:c>
      <x:c r="M5" s="33"/>
      <x:c r="N5" s="33" t="str">
        <x:v>NOT_RUN</x:v>
      </x:c>
      <x:c r="O5" s="14" t="str">
        <x:v>Hợp đồng tham chiếu: 02-booking-api.yaml. Chưa chạy kiểm thử. Đối chiếu bản API 1.2 trong cuộc trao đổi; không xác nhận trạng thái commit GitHub.</x:v>
      </x:c>
      <x:c r="P5" s="14" t="str">
        <x:v>R15</x:v>
      </x:c>
      <x:c r="Q5" s="14" t="str">
        <x:v>Request/response đã che token; dữ liệu trước/sau hoặc log kiểm tra có correlationId; môi trường, commit và thời gian chạy. Không ghi mật khẩu thật.</x:v>
      </x:c>
    </x:row>
    <x:row r="6" ht="90" customHeight="1">
      <x:c r="A6" s="11" t="str">
        <x:v>TC-BOOKING-005</x:v>
      </x:c>
      <x:c r="B6" s="11" t="str">
        <x:v>Đặt xe (Tạo yêu cầu đặt xe)</x:v>
      </x:c>
      <x:c r="C6" s="11" t="str">
        <x:v>Tạo yêu cầu đặt xe thất bại khi thiếu loại xe/dịch vụ</x:v>
      </x:c>
      <x:c r="D6" s="11" t="str">
        <x:v>Khách hàng đã đăng nhập Có Account CUSTOMER ACTIVE, giá hợp lệ; trừ mục tiêu kiểm tra, các điều kiện còn lại hợp lệ.</x:v>
      </x:c>
      <x:c r="E6" s="11" t="str">
        <x:v>1. Chuẩn bị dữ liệu và trạng thái trong Preconditions.
2. Gọi POST /bookings với Test Data.
3. Đối chiếu HTTP, nội dung phản hồi và trạng thái lưu trữ với Expected Result.</x:v>
      </x:c>
      <x:c r="F6" s="11" t="str">
        <x:v>VehicleType: (trống)
Dùng fixture B, chỉ thay trường đang kiểm tra; Idempotency-Key riêng cho mỗi thao tác.</x:v>
      </x:c>
      <x:c r="G6" s="11" t="str">
        <x:v>Hệ thống từ chối; yêu cầu chọn loại xe/dịch vụ (400)</x:v>
      </x:c>
      <x:c r="H6" s="11" t="str">
        <x:v>High</x:v>
      </x:c>
      <x:c r="I6" s="14" t="str">
        <x:v>FR02; FR03; FR19; AC02; AC10</x:v>
      </x:c>
      <x:c r="J6" s="14" t="str">
        <x:v>POST /bookings</x:v>
      </x:c>
      <x:c r="K6" s="14" t="str">
        <x:v>API</x:v>
      </x:c>
      <x:c r="L6" s="14" t="str">
        <x:v>DEFINED</x:v>
      </x:c>
      <x:c r="M6" s="33"/>
      <x:c r="N6" s="33" t="str">
        <x:v>NOT_RUN</x:v>
      </x:c>
      <x:c r="O6" s="14" t="str">
        <x:v>Hợp đồng tham chiếu: 02-booking-api.yaml. Chưa chạy kiểm thử. Đối chiếu bản API 1.2 trong cuộc trao đổi; không xác nhận trạng thái commit GitHub.</x:v>
      </x:c>
      <x:c r="P6" s="14" t="str">
        <x:v>R15</x:v>
      </x:c>
      <x:c r="Q6" s="14" t="str">
        <x:v>Request/response đã che token; dữ liệu trước/sau hoặc log kiểm tra có correlationId; môi trường, commit và thời gian chạy. Không ghi mật khẩu thật.</x:v>
      </x:c>
    </x:row>
    <x:row r="7" ht="90" customHeight="1">
      <x:c r="A7" s="11" t="str">
        <x:v>TC-BOOKING-006</x:v>
      </x:c>
      <x:c r="B7" s="11" t="str">
        <x:v>Đặt xe (Tạo yêu cầu đặt xe)</x:v>
      </x:c>
      <x:c r="C7" s="11" t="str">
        <x:v>Tạo yêu cầu đặt xe khi điểm đón và điểm đến trùng nhau</x:v>
      </x:c>
      <x:c r="D7" s="11" t="str">
        <x:v>C1 ACTIVE, chưa có công việc hoạt động; giá hợp lệ; các trường khác của Booking hợp lệ.</x:v>
      </x:c>
      <x:c r="E7" s="11" t="str">
        <x:v>1. Chuẩn bị dữ liệu và trạng thái trong Preconditions.
2. Gọi POST /bookings với Test Data.
3. Đối chiếu HTTP, nội dung phản hồi và trạng thái lưu trữ với Expected Result.</x:v>
      </x:c>
      <x:c r="F7" s="11" t="str">
        <x:v>pickup và destination cùng latitude=10.7757, longitude=106.7004; địa chỉ hợp lệ; Idempotency-Key mới.</x:v>
      </x:c>
      <x:c r="G7" s="11" t="str">
        <x:v>400; tọa độ điểm đón trùng điểm đến; không tạo Booking, guard hoặc job. Hai địa chỉ cùng tên nhưng tọa độ khác không phải fixture này.</x:v>
      </x:c>
      <x:c r="H7" s="11" t="str">
        <x:v>Medium</x:v>
      </x:c>
      <x:c r="I7" s="14" t="str">
        <x:v>FR02; FR03; FR19; AC02; AC10</x:v>
      </x:c>
      <x:c r="J7" s="14" t="str">
        <x:v>POST /bookings</x:v>
      </x:c>
      <x:c r="K7" s="14" t="str">
        <x:v>API</x:v>
      </x:c>
      <x:c r="L7" s="14" t="str">
        <x:v>DEFINED</x:v>
      </x:c>
      <x:c r="M7" s="33"/>
      <x:c r="N7" s="33" t="str">
        <x:v>NOT_RUN</x:v>
      </x:c>
      <x:c r="O7" s="14" t="str">
        <x:v>Theo bản API 02 đã đề xuất. Phải giữ SRS và API cùng quy tắc này.</x:v>
      </x:c>
      <x:c r="P7" s="14" t="str">
        <x:v>R15</x:v>
      </x:c>
      <x:c r="Q7" s="14" t="str">
        <x:v>Request/response đã che token; dữ liệu trước/sau hoặc log kiểm tra có correlationId; môi trường, commit và thời gian chạy. Không ghi mật khẩu thật.</x:v>
      </x:c>
    </x:row>
    <x:row r="8" ht="90" customHeight="1">
      <x:c r="A8" s="11" t="str">
        <x:v>TC-BOOKING-007</x:v>
      </x:c>
      <x:c r="B8" s="11" t="str">
        <x:v>Đặt xe (Tạo yêu cầu đặt xe)</x:v>
      </x:c>
      <x:c r="C8" s="11" t="str">
        <x:v>Tạo yêu cầu đặt xe với loại xe/dịch vụ không được hỗ trợ</x:v>
      </x:c>
      <x:c r="D8" s="11" t="str">
        <x:v>Khách hàng đã đăng nhập Có Account CUSTOMER ACTIVE, giá hợp lệ; trừ mục tiêu kiểm tra, các điều kiện còn lại hợp lệ.</x:v>
      </x:c>
      <x:c r="E8" s="11" t="str">
        <x:v>1. Chuẩn bị dữ liệu và trạng thái trong Preconditions.
2. Gọi POST /bookings với Test Data.
3. Đối chiếu HTTP, nội dung phản hồi và trạng thái lưu trữ với Expected Result.</x:v>
      </x:c>
      <x:c r="F8" s="11" t="str">
        <x:v>VehicleType: LUXURY_JET
Dùng fixture B, chỉ thay trường đang kiểm tra; Idempotency-Key riêng cho mỗi thao tác.</x:v>
      </x:c>
      <x:c r="G8" s="11" t="str">
        <x:v>Hệ thống từ chối; báo lỗi loại xe/dịch vụ không hợp lệ (400)</x:v>
      </x:c>
      <x:c r="H8" s="11" t="str">
        <x:v>Medium</x:v>
      </x:c>
      <x:c r="I8" s="14" t="str">
        <x:v>FR02; FR03; FR19; AC02; AC10</x:v>
      </x:c>
      <x:c r="J8" s="14" t="str">
        <x:v>POST /bookings</x:v>
      </x:c>
      <x:c r="K8" s="14" t="str">
        <x:v>API</x:v>
      </x:c>
      <x:c r="L8" s="14" t="str">
        <x:v>DEFINED</x:v>
      </x:c>
      <x:c r="M8" s="33"/>
      <x:c r="N8" s="33" t="str">
        <x:v>NOT_RUN</x:v>
      </x:c>
      <x:c r="O8" s="14" t="str">
        <x:v>Hợp đồng tham chiếu: 02-booking-api.yaml. Chưa chạy kiểm thử. Đối chiếu bản API 1.2 trong cuộc trao đổi; không xác nhận trạng thái commit GitHub.</x:v>
      </x:c>
      <x:c r="P8" s="14" t="str">
        <x:v>R15</x:v>
      </x:c>
      <x:c r="Q8" s="14" t="str">
        <x:v>Request/response đã che token; dữ liệu trước/sau hoặc log kiểm tra có correlationId; môi trường, commit và thời gian chạy. Không ghi mật khẩu thật.</x:v>
      </x:c>
    </x:row>
    <x:row r="9" ht="90" customHeight="1">
      <x:c r="A9" s="11" t="str">
        <x:v>TC-BOOKING-008</x:v>
      </x:c>
      <x:c r="B9" s="11" t="str">
        <x:v>Đặt xe (Tạo yêu cầu đặt xe)</x:v>
      </x:c>
      <x:c r="C9" s="11" t="str">
        <x:v>Tạo yêu cầu đặt xe với tọa độ không hợp lệ</x:v>
      </x:c>
      <x:c r="D9" s="11" t="str">
        <x:v>Khách hàng đã đăng nhập Có Account CUSTOMER ACTIVE, giá hợp lệ; trừ mục tiêu kiểm tra, các điều kiện còn lại hợp lệ.</x:v>
      </x:c>
      <x:c r="E9" s="11" t="str">
        <x:v>1. Chuẩn bị dữ liệu và trạng thái trong Preconditions.
2. Gọi POST /bookings với Test Data.
3. Đối chiếu HTTP, nội dung phản hồi và trạng thái lưu trữ với Expected Result.</x:v>
      </x:c>
      <x:c r="F9" s="11" t="str">
        <x:v>Pickup latitude: 200.5
Dùng fixture B, chỉ thay trường đang kiểm tra; Idempotency-Key riêng cho mỗi thao tác.</x:v>
      </x:c>
      <x:c r="G9" s="11" t="str">
        <x:v>Hệ thống từ chối; báo lỗi tọa độ không hợp lệ (400)</x:v>
      </x:c>
      <x:c r="H9" s="11" t="str">
        <x:v>Medium</x:v>
      </x:c>
      <x:c r="I9" s="14" t="str">
        <x:v>FR02; FR03; FR19; AC02; AC10</x:v>
      </x:c>
      <x:c r="J9" s="14" t="str">
        <x:v>POST /bookings</x:v>
      </x:c>
      <x:c r="K9" s="14" t="str">
        <x:v>API</x:v>
      </x:c>
      <x:c r="L9" s="14" t="str">
        <x:v>DEFINED</x:v>
      </x:c>
      <x:c r="M9" s="33"/>
      <x:c r="N9" s="33" t="str">
        <x:v>NOT_RUN</x:v>
      </x:c>
      <x:c r="O9" s="14" t="str">
        <x:v>Hợp đồng tham chiếu: 02-booking-api.yaml. Chưa chạy kiểm thử. Đối chiếu bản API 1.2 trong cuộc trao đổi; không xác nhận trạng thái commit GitHub.</x:v>
      </x:c>
      <x:c r="P9" s="14" t="str">
        <x:v>R15</x:v>
      </x:c>
      <x:c r="Q9" s="14" t="str">
        <x:v>Request/response đã che token; dữ liệu trước/sau hoặc log kiểm tra có correlationId; môi trường, commit và thời gian chạy. Không ghi mật khẩu thật.</x:v>
      </x:c>
    </x:row>
    <x:row r="10" ht="104" customHeight="1">
      <x:c r="A10" s="11" t="str">
        <x:v>TC-BOOKING-009</x:v>
      </x:c>
      <x:c r="B10" s="11" t="str">
        <x:v>Đặt xe (Tạo yêu cầu đặt xe)</x:v>
      </x:c>
      <x:c r="C10" s="11" t="str">
        <x:v>POST trả trạng thái ban đầu PENDING</x:v>
      </x:c>
      <x:c r="D10" s="11" t="str">
        <x:v>Fixture B: pickup={address:"12 Lê Lợi",latitude:10.7757,longitude:106.7004}; destination={address:"Sân bay",latitude:10.8188,longitude:106.6519}; vehicleType=STANDARD. Có giá V1 hiệu lực; C1 chưa có Booking/Trip hoạt động.</x:v>
      </x:c>
      <x:c r="E10" s="11" t="str">
        <x:v>1. Chuẩn bị dữ liệu và trạng thái trong Preconditions.
2. Gọi POST /bookings với Test Data.
3. Đối chiếu HTTP, nội dung phản hồi và trạng thái lưu trữ với Expected Result.</x:v>
      </x:c>
      <x:c r="F10" s="11" t="str">
        <x:v>Body fixture B; khóa mới.</x:v>
      </x:c>
      <x:c r="G10" s="11" t="str">
        <x:v>201; phản hồi tạo ban đầu có bookingStatus=PENDING. GET về sau có thể phản ánh điều phối đã tiến triển.</x:v>
      </x:c>
      <x:c r="H10" s="11" t="str">
        <x:v>Medium</x:v>
      </x:c>
      <x:c r="I10" s="14" t="str">
        <x:v>FR02; FR03; FR19; AC02; AC10</x:v>
      </x:c>
      <x:c r="J10" s="14" t="str">
        <x:v>POST /bookings</x:v>
      </x:c>
      <x:c r="K10" s="14" t="str">
        <x:v>API</x:v>
      </x:c>
      <x:c r="L10" s="14" t="str">
        <x:v>DEFINED</x:v>
      </x:c>
      <x:c r="M10" s="33"/>
      <x:c r="N10" s="33" t="str">
        <x:v>NOT_RUN</x:v>
      </x:c>
      <x:c r="O10" s="14" t="str">
        <x:v>Hợp đồng tham chiếu: 02-booking-api.yaml. Chưa chạy kiểm thử. Đối chiếu bản API 1.2 trong cuộc trao đổi; không xác nhận trạng thái commit GitHub.</x:v>
      </x:c>
      <x:c r="P10" s="14" t="str">
        <x:v>R15</x:v>
      </x:c>
      <x:c r="Q10" s="14" t="str">
        <x:v>Request/response đã che token; dữ liệu trước/sau hoặc log kiểm tra có correlationId; môi trường, commit và thời gian chạy. Không ghi mật khẩu thật.</x:v>
      </x:c>
    </x:row>
    <x:row r="11" ht="104" customHeight="1">
      <x:c r="A11" s="11" t="str">
        <x:v>TC-BOOKING-010</x:v>
      </x:c>
      <x:c r="B11" s="11" t="str">
        <x:v>Đặt xe (Tạo yêu cầu đặt xe)</x:v>
      </x:c>
      <x:c r="C11" s="11" t="str">
        <x:v>Tạo yêu cầu đặt xe thành công, yêu cầu tự động chuyển sang tìm tài xế</x:v>
      </x:c>
      <x:c r="D11" s="11" t="str">
        <x:v>Fixture B: pickup={address:"12 Lê Lợi",latitude:10.7757,longitude:106.7004}; destination={address:"Sân bay",latitude:10.8188,longitude:106.6519}; vehicleType=STANDARD. Có giá V1 hiệu lực; C1 chưa có Booking/Trip hoạt động.</x:v>
      </x:c>
      <x:c r="E11" s="11" t="str">
        <x:v>1. Chuẩn bị trạng thái và dữ liệu được nêu.
2. POST /bookings; quan sát tiến trình nội bộ; GET /bookings/{bookingId}/status.
3. Kiểm tra HTTP, phản hồi và dữ liệu sau thao tác.</x:v>
      </x:c>
      <x:c r="F11" s="11" t="str">
        <x:v>Body fixture B; khóa mới.</x:v>
      </x:c>
      <x:c r="G11" s="11" t="str">
        <x:v>Tự chuyển PENDING sang FINDING_DRIVER và khởi tạo điều phối; client không gọi endpoint dispatch nội bộ.</x:v>
      </x:c>
      <x:c r="H11" s="11" t="str">
        <x:v>High</x:v>
      </x:c>
      <x:c r="I11" s="14" t="str">
        <x:v>FR02; FR03; FR19; AC02; AC10</x:v>
      </x:c>
      <x:c r="J11" s="14" t="str">
        <x:v>POST /bookings; quan sát tiến trình nội bộ; GET /bookings/{bookingId}/status</x:v>
      </x:c>
      <x:c r="K11" s="14" t="str">
        <x:v>API</x:v>
      </x:c>
      <x:c r="L11" s="14" t="str">
        <x:v>DEFINED</x:v>
      </x:c>
      <x:c r="M11" s="33"/>
      <x:c r="N11" s="33" t="str">
        <x:v>NOT_RUN</x:v>
      </x:c>
      <x:c r="O11" s="14" t="str">
        <x:v>Hợp đồng tham chiếu: 02-booking-api.yaml. Chưa chạy kiểm thử. Đối chiếu bản API 1.2 trong cuộc trao đổi; không xác nhận trạng thái commit GitHub.</x:v>
      </x:c>
      <x:c r="P11" s="14" t="str">
        <x:v>R15</x:v>
      </x:c>
      <x:c r="Q11" s="14" t="str">
        <x:v>Request/response đã che token; dữ liệu trước/sau hoặc log kiểm tra có correlationId; môi trường, commit và thời gian chạy. Không ghi mật khẩu thật.</x:v>
      </x:c>
    </x:row>
    <x:row r="12" ht="104" customHeight="1">
      <x:c r="A12" s="11" t="str">
        <x:v>TC-BOOKING-011</x:v>
      </x:c>
      <x:c r="B12" s="11" t="str">
        <x:v>Đặt xe (Tạo yêu cầu đặt xe)</x:v>
      </x:c>
      <x:c r="C12" s="11" t="str">
        <x:v>Xem chi tiết yêu cầu đặt xe theo bookingId hợp lệ</x:v>
      </x:c>
      <x:c r="D12" s="11" t="str">
        <x:v>Yêu cầu đặt xe đã được tạo thành công</x:v>
      </x:c>
      <x:c r="E12" s="11" t="str">
        <x:v>1. Chuẩn bị dữ liệu và trạng thái trong Preconditions.
2. Gọi GET /bookings/{bookingId} với Test Data.
3. Đối chiếu HTTP, nội dung phản hồi và trạng thái lưu trữ với Expected Result.</x:v>
      </x:c>
      <x:c r="F12" s="11" t="str">
        <x:v>bookingId: BK0001</x:v>
      </x:c>
      <x:c r="G12" s="11" t="str">
        <x:v>Trả về đầy đủ, chính xác thông tin yêu cầu đặt xe (200)</x:v>
      </x:c>
      <x:c r="H12" s="11" t="str">
        <x:v>Medium</x:v>
      </x:c>
      <x:c r="I12" s="14" t="str">
        <x:v>FR02; FR03; FR19; AC02; AC10</x:v>
      </x:c>
      <x:c r="J12" s="14" t="str">
        <x:v>GET /bookings/{bookingId}</x:v>
      </x:c>
      <x:c r="K12" s="14" t="str">
        <x:v>API</x:v>
      </x:c>
      <x:c r="L12" s="14" t="str">
        <x:v>DEFINED</x:v>
      </x:c>
      <x:c r="M12" s="33"/>
      <x:c r="N12" s="33" t="str">
        <x:v>NOT_RUN</x:v>
      </x:c>
      <x:c r="O12" s="14" t="str">
        <x:v>Hợp đồng tham chiếu: 02-booking-api.yaml. Chưa chạy kiểm thử. Đối chiếu bản API 1.2 trong cuộc trao đổi; không xác nhận trạng thái commit GitHub.</x:v>
      </x:c>
      <x:c r="P12" s="14" t="str">
        <x:v>R15</x:v>
      </x:c>
      <x:c r="Q12" s="14" t="str">
        <x:v>Request/response đã che token; dữ liệu trước/sau hoặc log kiểm tra có correlationId; môi trường, commit và thời gian chạy. Không ghi mật khẩu thật.</x:v>
      </x:c>
    </x:row>
    <x:row r="13" ht="104" customHeight="1">
      <x:c r="A13" s="11" t="str">
        <x:v>TC-BOOKING-012</x:v>
      </x:c>
      <x:c r="B13" s="11" t="str">
        <x:v>Đặt xe (Tạo yêu cầu đặt xe)</x:v>
      </x:c>
      <x:c r="C13" s="11" t="str">
        <x:v>Xem chi tiết yêu cầu đặt xe với bookingId không tồn tại</x:v>
      </x:c>
      <x:c r="D13" s="11" t="str">
        <x:v>Khách hàng đã đăng nhập</x:v>
      </x:c>
      <x:c r="E13" s="11" t="str">
        <x:v>1. Chuẩn bị dữ liệu và trạng thái trong Preconditions.
2. Gọi GET /bookings/{bookingId} với Test Data.
3. Đối chiếu HTTP, nội dung phản hồi và trạng thái lưu trữ với Expected Result.</x:v>
      </x:c>
      <x:c r="F13" s="11" t="str">
        <x:v>bookingId: BK9999</x:v>
      </x:c>
      <x:c r="G13" s="11" t="str">
        <x:v>API trả lỗi 404 Not Found</x:v>
      </x:c>
      <x:c r="H13" s="11" t="str">
        <x:v>Medium</x:v>
      </x:c>
      <x:c r="I13" s="14" t="str">
        <x:v>FR02; FR03; FR19; AC02; AC10</x:v>
      </x:c>
      <x:c r="J13" s="14" t="str">
        <x:v>GET /bookings/{bookingId}</x:v>
      </x:c>
      <x:c r="K13" s="14" t="str">
        <x:v>API</x:v>
      </x:c>
      <x:c r="L13" s="14" t="str">
        <x:v>DEFINED</x:v>
      </x:c>
      <x:c r="M13" s="33"/>
      <x:c r="N13" s="33" t="str">
        <x:v>NOT_RUN</x:v>
      </x:c>
      <x:c r="O13" s="14" t="str">
        <x:v>Hợp đồng tham chiếu: 02-booking-api.yaml. Chưa chạy kiểm thử. Đối chiếu bản API 1.2 trong cuộc trao đổi; không xác nhận trạng thái commit GitHub.</x:v>
      </x:c>
      <x:c r="P13" s="14" t="str">
        <x:v>R15</x:v>
      </x:c>
      <x:c r="Q13" s="14" t="str">
        <x:v>Request/response đã che token; dữ liệu trước/sau hoặc log kiểm tra có correlationId; môi trường, commit và thời gian chạy. Không ghi mật khẩu thật.</x:v>
      </x:c>
    </x:row>
    <x:row r="14" ht="104" customHeight="1">
      <x:c r="A14" s="11" t="str">
        <x:v>TC-BOOKING-013</x:v>
      </x:c>
      <x:c r="B14" s="11" t="str">
        <x:v>Đặt xe (Tạo yêu cầu đặt xe)</x:v>
      </x:c>
      <x:c r="C14" s="11" t="str">
        <x:v>Xem trạng thái yêu cầu đặt xe theo thời gian thực</x:v>
      </x:c>
      <x:c r="D14" s="11" t="str">
        <x:v>Yêu cầu đặt xe đang trong quá trình tìm tài xế</x:v>
      </x:c>
      <x:c r="E14" s="11" t="str">
        <x:v>1. Chuẩn bị dữ liệu và trạng thái trong Preconditions.
2. Gọi GET /bookings/{bookingId}/status với Test Data.
3. Đối chiếu HTTP, nội dung phản hồi và trạng thái lưu trữ với Expected Result.</x:v>
      </x:c>
      <x:c r="F14" s="11" t="str">
        <x:v>bookingId: BK0001</x:v>
      </x:c>
      <x:c r="G14" s="11" t="str">
        <x:v>Trả về đúng trạng thái hiện tại của yêu cầu (ví dụ FINDING_DRIVER)</x:v>
      </x:c>
      <x:c r="H14" s="11" t="str">
        <x:v>Medium</x:v>
      </x:c>
      <x:c r="I14" s="14" t="str">
        <x:v>FR02; FR03; FR19; AC02; AC10</x:v>
      </x:c>
      <x:c r="J14" s="14" t="str">
        <x:v>GET /bookings/{bookingId}/status</x:v>
      </x:c>
      <x:c r="K14" s="14" t="str">
        <x:v>API</x:v>
      </x:c>
      <x:c r="L14" s="14" t="str">
        <x:v>DEFINED</x:v>
      </x:c>
      <x:c r="M14" s="33"/>
      <x:c r="N14" s="33" t="str">
        <x:v>NOT_RUN</x:v>
      </x:c>
      <x:c r="O14" s="14" t="str">
        <x:v>Hợp đồng tham chiếu: 02-booking-api.yaml. Chưa chạy kiểm thử. Đối chiếu bản API 1.2 trong cuộc trao đổi; không xác nhận trạng thái commit GitHub.</x:v>
      </x:c>
      <x:c r="P14" s="14" t="str">
        <x:v>R15</x:v>
      </x:c>
      <x:c r="Q14" s="14" t="str">
        <x:v>Request/response đã che token; dữ liệu trước/sau hoặc log kiểm tra có correlationId; môi trường, commit và thời gian chạy. Không ghi mật khẩu thật.</x:v>
      </x:c>
    </x:row>
    <x:row r="15" ht="104" customHeight="1">
      <x:c r="A15" s="11" t="str">
        <x:v>TC-BOOKING-014</x:v>
      </x:c>
      <x:c r="B15" s="11" t="str">
        <x:v>Đặt xe (Tạo yêu cầu đặt xe)</x:v>
      </x:c>
      <x:c r="C15" s="11" t="str">
        <x:v>Hủy yêu cầu đặt xe khi chưa có tài xế nhận</x:v>
      </x:c>
      <x:c r="D15" s="11" t="str">
        <x:v>Booking B1 của C1 đang FINDING_DRIVER; chưa có Trip.</x:v>
      </x:c>
      <x:c r="E15" s="11" t="str">
        <x:v>1. Chuẩn bị dữ liệu và trạng thái trong Preconditions.
2. Gọi POST /bookings/{bookingId}/cancel với Test Data.
3. Đối chiếu HTTP, nội dung phản hồi và trạng thái lưu trữ với Expected Result.</x:v>
      </x:c>
      <x:c r="F15" s="11" t="str">
        <x:v>{"reason":"Thay đổi kế hoạch"}</x:v>
      </x:c>
      <x:c r="G15" s="11" t="str">
        <x:v>200; Booking CANCELLED; giữ lý do/người hủy/thời gian; vô hiệu hóa đề nghị chưa chấp nhận.</x:v>
      </x:c>
      <x:c r="H15" s="11" t="str">
        <x:v>High</x:v>
      </x:c>
      <x:c r="I15" s="14" t="str">
        <x:v>FR02; FR03; FR19; AC02; AC10</x:v>
      </x:c>
      <x:c r="J15" s="14" t="str">
        <x:v>POST /bookings/{bookingId}/cancel</x:v>
      </x:c>
      <x:c r="K15" s="14" t="str">
        <x:v>API</x:v>
      </x:c>
      <x:c r="L15" s="14" t="str">
        <x:v>DEFINED</x:v>
      </x:c>
      <x:c r="M15" s="33"/>
      <x:c r="N15" s="33" t="str">
        <x:v>NOT_RUN</x:v>
      </x:c>
      <x:c r="O15" s="14" t="str">
        <x:v>Hợp đồng tham chiếu: 02-booking-api.yaml. Chưa chạy kiểm thử. Đối chiếu bản API 1.2 trong cuộc trao đổi; không xác nhận trạng thái commit GitHub.</x:v>
      </x:c>
      <x:c r="P15" s="14" t="str">
        <x:v>R15</x:v>
      </x:c>
      <x:c r="Q15" s="14" t="str">
        <x:v>Request/response đã che token; dữ liệu trước/sau hoặc log kiểm tra có correlationId; môi trường, commit và thời gian chạy. Không ghi mật khẩu thật.</x:v>
      </x:c>
    </x:row>
    <x:row r="16" ht="104" customHeight="1">
      <x:c r="A16" s="11" t="str">
        <x:v>TC-BOOKING-015</x:v>
      </x:c>
      <x:c r="B16" s="11" t="str">
        <x:v>Đặt xe (Tạo yêu cầu đặt xe)</x:v>
      </x:c>
      <x:c r="C16" s="11" t="str">
        <x:v>Hủy yêu cầu đặt xe thất bại khi đã có tài xế nhận chuyến</x:v>
      </x:c>
      <x:c r="D16" s="11" t="str">
        <x:v>Booking B1 đã DRIVER_ASSIGNED, liên kết Trip T1.</x:v>
      </x:c>
      <x:c r="E16" s="11" t="str">
        <x:v>1. Chuẩn bị dữ liệu và trạng thái trong Preconditions.
2. Gọi POST /bookings/{bookingId}/cancel với Test Data.
3. Đối chiếu HTTP, nội dung phản hồi và trạng thái lưu trữ với Expected Result.</x:v>
      </x:c>
      <x:c r="F16" s="11" t="str">
        <x:v>{"reason":"Thay đổi kế hoạch"}</x:v>
      </x:c>
      <x:c r="G16" s="11" t="str">
        <x:v>409; Booking vẫn DRIVER_ASSIGNED. Muốn hủy Trip phải dùng Trip API và đáp ứng điều kiện hủy.</x:v>
      </x:c>
      <x:c r="H16" s="11" t="str">
        <x:v>High</x:v>
      </x:c>
      <x:c r="I16" s="14" t="str">
        <x:v>FR02; FR03; FR19; AC02; AC10</x:v>
      </x:c>
      <x:c r="J16" s="14" t="str">
        <x:v>POST /bookings/{bookingId}/cancel</x:v>
      </x:c>
      <x:c r="K16" s="14" t="str">
        <x:v>API</x:v>
      </x:c>
      <x:c r="L16" s="14" t="str">
        <x:v>DEFINED</x:v>
      </x:c>
      <x:c r="M16" s="33"/>
      <x:c r="N16" s="33" t="str">
        <x:v>NOT_RUN</x:v>
      </x:c>
      <x:c r="O16" s="14" t="str">
        <x:v>Hợp đồng tham chiếu: 02-booking-api.yaml. Chưa chạy kiểm thử. Đối chiếu bản API 1.2 trong cuộc trao đổi; không xác nhận trạng thái commit GitHub.</x:v>
      </x:c>
      <x:c r="P16" s="14" t="str">
        <x:v>R15</x:v>
      </x:c>
      <x:c r="Q16" s="14" t="str">
        <x:v>Request/response đã che token; dữ liệu trước/sau hoặc log kiểm tra có correlationId; môi trường, commit và thời gian chạy. Không ghi mật khẩu thật.</x:v>
      </x:c>
    </x:row>
    <x:row r="17" ht="104" customHeight="1">
      <x:c r="A17" s="11" t="str">
        <x:v>TC-BOOKING-016</x:v>
      </x:c>
      <x:c r="B17" s="11" t="str">
        <x:v>Đặt xe (Tạo yêu cầu đặt xe)</x:v>
      </x:c>
      <x:c r="C17" s="11" t="str">
        <x:v>Hủy yêu cầu đặt xe với bookingId không tồn tại</x:v>
      </x:c>
      <x:c r="D17" s="11" t="str">
        <x:v>Không có Booking BK9999.</x:v>
      </x:c>
      <x:c r="E17" s="11" t="str">
        <x:v>1. Chuẩn bị dữ liệu và trạng thái trong Preconditions.
2. Gọi POST /bookings/{bookingId}/cancel với Test Data.
3. Đối chiếu HTTP, nội dung phản hồi và trạng thái lưu trữ với Expected Result.</x:v>
      </x:c>
      <x:c r="F17" s="11" t="str">
        <x:v>{"reason":"Thay đổi kế hoạch"}</x:v>
      </x:c>
      <x:c r="G17" s="11" t="str">
        <x:v>404; không thay đổi Booking khác.</x:v>
      </x:c>
      <x:c r="H17" s="11" t="str">
        <x:v>Medium</x:v>
      </x:c>
      <x:c r="I17" s="14" t="str">
        <x:v>FR02; FR03; FR19; AC02; AC10</x:v>
      </x:c>
      <x:c r="J17" s="14" t="str">
        <x:v>POST /bookings/{bookingId}/cancel</x:v>
      </x:c>
      <x:c r="K17" s="14" t="str">
        <x:v>API</x:v>
      </x:c>
      <x:c r="L17" s="14" t="str">
        <x:v>DEFINED</x:v>
      </x:c>
      <x:c r="M17" s="33"/>
      <x:c r="N17" s="33" t="str">
        <x:v>NOT_RUN</x:v>
      </x:c>
      <x:c r="O17" s="14" t="str">
        <x:v>Hợp đồng tham chiếu: 02-booking-api.yaml. Chưa chạy kiểm thử. Đối chiếu bản API 1.2 trong cuộc trao đổi; không xác nhận trạng thái commit GitHub.</x:v>
      </x:c>
      <x:c r="P17" s="14" t="str">
        <x:v>R15</x:v>
      </x:c>
      <x:c r="Q17" s="14" t="str">
        <x:v>Request/response đã che token; dữ liệu trước/sau hoặc log kiểm tra có correlationId; môi trường, commit và thời gian chạy. Không ghi mật khẩu thật.</x:v>
      </x:c>
    </x:row>
    <x:row r="18" ht="104" customHeight="1">
      <x:c r="A18" s="11" t="str">
        <x:v>TC-BOOKING-017</x:v>
      </x:c>
      <x:c r="B18" s="11" t="str">
        <x:v>Đặt xe (Tạo yêu cầu đặt xe)</x:v>
      </x:c>
      <x:c r="C18" s="11" t="str">
        <x:v>Khách hàng khác cố xem yêu cầu đặt xe không thuộc về mình</x:v>
      </x:c>
      <x:c r="D18" s="11" t="str">
        <x:v>Yêu cầu đặt xe BK0001 thuộc về khách hàng A; khách hàng B đã đăng nhập</x:v>
      </x:c>
      <x:c r="E18" s="11" t="str">
        <x:v>1. Chuẩn bị dữ liệu và trạng thái trong Preconditions.
2. Gọi GET /bookings/{bookingId} với Test Data.
3. Đối chiếu HTTP, nội dung phản hồi và trạng thái lưu trữ với Expected Result.</x:v>
      </x:c>
      <x:c r="F18" s="11" t="str">
        <x:v>Token của B; bookingId: BK0001 (thuộc A)</x:v>
      </x:c>
      <x:c r="G18" s="11" t="str">
        <x:v>404; đối tượng không thuộc phạm vi của người gọi. Không tiết lộ dữ liệu và không thay đổi đối tượng. Dùng cùng phản hồi với ID không tồn tại.</x:v>
      </x:c>
      <x:c r="H18" s="11" t="str">
        <x:v>High</x:v>
      </x:c>
      <x:c r="I18" s="14" t="str">
        <x:v>FR02; FR03; FR19; AC02; AC10</x:v>
      </x:c>
      <x:c r="J18" s="14" t="str">
        <x:v>GET /bookings/{bookingId}</x:v>
      </x:c>
      <x:c r="K18" s="14" t="str">
        <x:v>API</x:v>
      </x:c>
      <x:c r="L18" s="14" t="str">
        <x:v>DEFINED</x:v>
      </x:c>
      <x:c r="M18" s="33"/>
      <x:c r="N18" s="33" t="str">
        <x:v>NOT_RUN</x:v>
      </x:c>
      <x:c r="O18" s="14" t="str">
        <x:v>Hợp đồng tham chiếu: 02-booking-api.yaml. Chưa chạy kiểm thử. Đối chiếu bản API 1.2 trong cuộc trao đổi; không xác nhận trạng thái commit GitHub.</x:v>
      </x:c>
      <x:c r="P18" s="14" t="str">
        <x:v>R15</x:v>
      </x:c>
      <x:c r="Q18" s="14" t="str">
        <x:v>Request/response đã che token; dữ liệu trước/sau hoặc log kiểm tra có correlationId; môi trường, commit và thời gian chạy. Không ghi mật khẩu thật.</x:v>
      </x:c>
    </x:row>
    <x:row r="19" ht="90" customHeight="1">
      <x:c r="A19" s="11" t="str">
        <x:v>TC-BOOKING-018</x:v>
      </x:c>
      <x:c r="B19" s="11" t="str">
        <x:v>Đặt xe (Tạo yêu cầu đặt xe)</x:v>
      </x:c>
      <x:c r="C19" s="11" t="str">
        <x:v>Tạo yêu cầu đặt xe với địa chỉ chứa dấu tiếng Việt</x:v>
      </x:c>
      <x:c r="D19" s="11" t="str">
        <x:v>Khách hàng đã đăng nhập Có Account CUSTOMER ACTIVE, giá hợp lệ; trừ mục tiêu kiểm tra, các điều kiện còn lại hợp lệ.</x:v>
      </x:c>
      <x:c r="E19" s="11" t="str">
        <x:v>1. Chuẩn bị dữ liệu và trạng thái trong Preconditions.
2. Gọi POST /bookings với Test Data.
3. Đối chiếu HTTP, nội dung phản hồi và trạng thái lưu trữ với Expected Result.</x:v>
      </x:c>
      <x:c r="F19" s="11" t="str">
        <x:v>Pickup: 12 Lê Lợi, Quận 1
Destination: Bến xe Miền Đông
Dùng fixture B, chỉ thay trường đang kiểm tra; Idempotency-Key riêng cho mỗi thao tác.</x:v>
      </x:c>
      <x:c r="G19" s="11" t="str">
        <x:v>Yêu cầu được tạo thành công; địa chỉ lưu đúng định dạng có dấu</x:v>
      </x:c>
      <x:c r="H19" s="11" t="str">
        <x:v>Low</x:v>
      </x:c>
      <x:c r="I19" s="14" t="str">
        <x:v>FR02; FR03; FR19; AC02; AC10</x:v>
      </x:c>
      <x:c r="J19" s="14" t="str">
        <x:v>POST /bookings</x:v>
      </x:c>
      <x:c r="K19" s="14" t="str">
        <x:v>API</x:v>
      </x:c>
      <x:c r="L19" s="14" t="str">
        <x:v>DEFINED</x:v>
      </x:c>
      <x:c r="M19" s="33"/>
      <x:c r="N19" s="33" t="str">
        <x:v>NOT_RUN</x:v>
      </x:c>
      <x:c r="O19" s="14" t="str">
        <x:v>Hợp đồng tham chiếu: 02-booking-api.yaml. Chưa chạy kiểm thử. Đối chiếu bản API 1.2 trong cuộc trao đổi; không xác nhận trạng thái commit GitHub.</x:v>
      </x:c>
      <x:c r="P19" s="14" t="str">
        <x:v>R15</x:v>
      </x:c>
      <x:c r="Q19" s="14" t="str">
        <x:v>Request/response đã che token; dữ liệu trước/sau hoặc log kiểm tra có correlationId; môi trường, commit và thời gian chạy. Không ghi mật khẩu thật.</x:v>
      </x:c>
    </x:row>
    <x:row r="20" ht="90" customHeight="1">
      <x:c r="A20" s="11" t="str">
        <x:v>TC-BOOKING-019</x:v>
      </x:c>
      <x:c r="B20" s="11" t="str">
        <x:v>Đặt xe (Tạo yêu cầu đặt xe)</x:v>
      </x:c>
      <x:c r="C20" s="11" t="str">
        <x:v>Gửi yêu cầu đặt xe với dữ liệu sai kiểu</x:v>
      </x:c>
      <x:c r="D20" s="11" t="str">
        <x:v>API đặt xe đang hoạt động Có Account CUSTOMER ACTIVE, giá hợp lệ; trừ mục tiêu kiểm tra, các điều kiện còn lại hợp lệ.</x:v>
      </x:c>
      <x:c r="E20" s="11" t="str">
        <x:v>1. Chuẩn bị dữ liệu và trạng thái trong Preconditions.
2. Gọi POST /bookings với Test Data.
3. Đối chiếu HTTP, nội dung phản hồi và trạng thái lưu trữ với Expected Result.</x:v>
      </x:c>
      <x:c r="F20" s="11" t="str">
        <x:v>latitude: "abc"
Dùng fixture B, chỉ thay trường đang kiểm tra; Idempotency-Key riêng cho mỗi thao tác.</x:v>
      </x:c>
      <x:c r="G20" s="11" t="str">
        <x:v>API trả lỗi validation 400; không tạo yêu cầu</x:v>
      </x:c>
      <x:c r="H20" s="11" t="str">
        <x:v>Medium</x:v>
      </x:c>
      <x:c r="I20" s="14" t="str">
        <x:v>FR02; FR03; FR19; AC02; AC10</x:v>
      </x:c>
      <x:c r="J20" s="14" t="str">
        <x:v>POST /bookings</x:v>
      </x:c>
      <x:c r="K20" s="14" t="str">
        <x:v>API</x:v>
      </x:c>
      <x:c r="L20" s="14" t="str">
        <x:v>DEFINED</x:v>
      </x:c>
      <x:c r="M20" s="33"/>
      <x:c r="N20" s="33" t="str">
        <x:v>NOT_RUN</x:v>
      </x:c>
      <x:c r="O20" s="14" t="str">
        <x:v>Hợp đồng tham chiếu: 02-booking-api.yaml. Chưa chạy kiểm thử. Đối chiếu bản API 1.2 trong cuộc trao đổi; không xác nhận trạng thái commit GitHub.</x:v>
      </x:c>
      <x:c r="P20" s="14" t="str">
        <x:v>R15</x:v>
      </x:c>
      <x:c r="Q20" s="14" t="str">
        <x:v>Request/response đã che token; dữ liệu trước/sau hoặc log kiểm tra có correlationId; môi trường, commit và thời gian chạy. Không ghi mật khẩu thật.</x:v>
      </x:c>
    </x:row>
    <x:row r="21" ht="90" customHeight="1">
      <x:c r="A21" s="11" t="str">
        <x:v>TC-BOOKING-020</x:v>
      </x:c>
      <x:c r="B21" s="11" t="str">
        <x:v>Đặt xe (Tạo yêu cầu đặt xe)</x:v>
      </x:c>
      <x:c r="C21" s="11" t="str">
        <x:v>Chặn Booking mới khi khách còn công việc hoạt động</x:v>
      </x:c>
      <x:c r="D21" s="11" t="str">
        <x:v>C1 có Booking FINDING_DRIVER; cấu hình giá hợp lệ.</x:v>
      </x:c>
      <x:c r="E21" s="11" t="str">
        <x:v>1. Chuẩn bị dữ liệu và trạng thái trong Preconditions.
2. Gọi POST /bookings với Test Data.
3. Đối chiếu HTTP, nội dung phản hồi và trạng thái lưu trữ với Expected Result.</x:v>
      </x:c>
      <x:c r="F21" s="11" t="str">
        <x:v>Body fixture B; một Idempotency-Key mới khác khóa Booking cũ.</x:v>
      </x:c>
      <x:c r="G21" s="11" t="str">
        <x:v>409; không tạo Booking mới; giữ nguyên Booking đang hoạt động.</x:v>
      </x:c>
      <x:c r="H21" s="11" t="str">
        <x:v>Low</x:v>
      </x:c>
      <x:c r="I21" s="14" t="str">
        <x:v>FR02; FR03; FR19; AC02; AC10</x:v>
      </x:c>
      <x:c r="J21" s="14" t="str">
        <x:v>POST /bookings</x:v>
      </x:c>
      <x:c r="K21" s="14" t="str">
        <x:v>API</x:v>
      </x:c>
      <x:c r="L21" s="14" t="str">
        <x:v>DEFINED</x:v>
      </x:c>
      <x:c r="M21" s="33"/>
      <x:c r="N21" s="33" t="str">
        <x:v>NOT_RUN</x:v>
      </x:c>
      <x:c r="O21" s="14" t="str">
        <x:v>Hợp đồng tham chiếu: 02-booking-api.yaml. Chưa chạy kiểm thử. Đối chiếu bản API 1.2 trong cuộc trao đổi; không xác nhận trạng thái commit GitHub.</x:v>
      </x:c>
      <x:c r="P21" s="14" t="str">
        <x:v>R15</x:v>
      </x:c>
      <x:c r="Q21" s="14" t="str">
        <x:v>Request/response đã che token; dữ liệu trước/sau hoặc log kiểm tra có correlationId; môi trường, commit và thời gian chạy. Không ghi mật khẩu thật.</x:v>
      </x:c>
    </x:row>
    <x:row r="22" ht="104" customHeight="1">
      <x:c r="A22" s="14" t="str">
        <x:v>TC-BOOKING-021</x:v>
      </x:c>
      <x:c r="B22" s="14" t="str">
        <x:v>Đặt xe (Tạo yêu cầu đặt xe)</x:v>
      </x:c>
      <x:c r="C22" s="14" t="str">
        <x:v>Phát lại cùng khóa không tạo Booking mới</x:v>
      </x:c>
      <x:c r="D22" s="14" t="str">
        <x:v>Fixture B: pickup={address:"12 Lê Lợi",latitude:10.7757,longitude:106.7004}; destination={address:"Sân bay",latitude:10.8188,longitude:106.6519}; vehicleType=STANDARD. Có giá V1 hiệu lực; C1 chưa có Booking/Trip hoạt động.</x:v>
      </x:c>
      <x:c r="E22" s="14" t="str">
        <x:v>1. Thiết lập fixture và trạng thái theo Preconditions.
2. POST /bookings hai lần cùng khóa/body với Test Data.
3. Đối chiếu phản hồi và dữ liệu lưu trữ theo Expected Result.</x:v>
      </x:c>
      <x:c r="F22" s="14" t="str">
        <x:v>Fixture B; Idempotency-Key=book-replay-001.</x:v>
      </x:c>
      <x:c r="G22" s="14" t="str">
        <x:v>Cả hai trả kết quả 201 ban đầu cùng bookingId; đúng một Booking và một công việc điều phối.</x:v>
      </x:c>
      <x:c r="H22" s="14" t="str">
        <x:v>High</x:v>
      </x:c>
      <x:c r="I22" s="14" t="str">
        <x:v>FR02; FR03; FR19; AC02; AC10</x:v>
      </x:c>
      <x:c r="J22" s="14" t="str">
        <x:v>POST /bookings hai lần cùng khóa/body</x:v>
      </x:c>
      <x:c r="K22" s="14" t="str">
        <x:v>Integration</x:v>
      </x:c>
      <x:c r="L22" s="14" t="str">
        <x:v>DEFINED</x:v>
      </x:c>
      <x:c r="M22" s="33"/>
      <x:c r="N22" s="33" t="str">
        <x:v>NOT_RUN</x:v>
      </x:c>
      <x:c r="O22" s="14" t="str">
        <x:v>Bổ sung theo thiết kế đã duyệt; chưa chạy kiểm thử. Tham chiếu: 02-booking-api.yaml. Đối chiếu bản API 1.2 trong cuộc trao đổi; không xác nhận trạng thái commit GitHub.</x:v>
      </x:c>
      <x:c r="P22" s="14" t="str">
        <x:v>R15</x:v>
      </x:c>
      <x:c r="Q22" s="14" t="str">
        <x:v>Request/response đã che token; dữ liệu trước/sau hoặc log kiểm tra có correlationId; môi trường, commit và thời gian chạy. Không ghi mật khẩu thật.</x:v>
      </x:c>
    </x:row>
    <x:row r="23" ht="104" customHeight="1">
      <x:c r="A23" s="14" t="str">
        <x:v>TC-BOOKING-022</x:v>
      </x:c>
      <x:c r="B23" s="14" t="str">
        <x:v>Đặt xe (Tạo yêu cầu đặt xe)</x:v>
      </x:c>
      <x:c r="C23" s="14" t="str">
        <x:v>Không tái dùng khóa cho điểm đến khác</x:v>
      </x:c>
      <x:c r="D23" s="14" t="str">
        <x:v>Fixture B: pickup={address:"12 Lê Lợi",latitude:10.7757,longitude:106.7004}; destination={address:"Sân bay",latitude:10.8188,longitude:106.6519}; vehicleType=STANDARD. Có giá V1 hiệu lực; C1 chưa có Booking/Trip hoạt động.</x:v>
      </x:c>
      <x:c r="E23" s="14" t="str">
        <x:v>1. Thiết lập fixture và trạng thái theo Preconditions.
2. POST /bookings; gửi lại cùng khóa nhưng đổi destination với Test Data.
3. Đối chiếu phản hồi và dữ liệu lưu trữ theo Expected Result.</x:v>
      </x:c>
      <x:c r="F23" s="14" t="str">
        <x:v>Lần đầu fixture B; lần sau destination khác; khóa book-conflict-001.</x:v>
      </x:c>
      <x:c r="G23" s="14" t="str">
        <x:v>Lần đầu 201, lần sau 409; Booking đầu không bị sửa; không tạo thêm Booking.</x:v>
      </x:c>
      <x:c r="H23" s="14" t="str">
        <x:v>High</x:v>
      </x:c>
      <x:c r="I23" s="14" t="str">
        <x:v>FR02; FR03; FR19; AC02; AC10</x:v>
      </x:c>
      <x:c r="J23" s="14" t="str">
        <x:v>POST /bookings; gửi lại cùng khóa nhưng đổi destination</x:v>
      </x:c>
      <x:c r="K23" s="14" t="str">
        <x:v>Integration</x:v>
      </x:c>
      <x:c r="L23" s="14" t="str">
        <x:v>DEFINED</x:v>
      </x:c>
      <x:c r="M23" s="33"/>
      <x:c r="N23" s="33" t="str">
        <x:v>NOT_RUN</x:v>
      </x:c>
      <x:c r="O23" s="14" t="str">
        <x:v>Bổ sung theo thiết kế đã duyệt; chưa chạy kiểm thử. Tham chiếu: 02-booking-api.yaml. Đối chiếu bản API 1.2 trong cuộc trao đổi; không xác nhận trạng thái commit GitHub.</x:v>
      </x:c>
      <x:c r="P23" s="14" t="str">
        <x:v>R15</x:v>
      </x:c>
      <x:c r="Q23" s="14" t="str">
        <x:v>Request/response đã che token; dữ liệu trước/sau hoặc log kiểm tra có correlationId; môi trường, commit và thời gian chạy. Không ghi mật khẩu thật.</x:v>
      </x:c>
    </x:row>
    <x:row r="24" ht="104" customHeight="1">
      <x:c r="A24" s="14" t="str">
        <x:v>TC-BOOKING-023</x:v>
      </x:c>
      <x:c r="B24" s="14" t="str">
        <x:v>Đặt xe (Tạo yêu cầu đặt xe)</x:v>
      </x:c>
      <x:c r="C24" s="14" t="str">
        <x:v>Hai khóa đồng thời chỉ tạo một Booking hoạt động</x:v>
      </x:c>
      <x:c r="D24" s="14" t="str">
        <x:v>Fixture B: pickup={address:"12 Lê Lợi",latitude:10.7757,longitude:106.7004}; destination={address:"Sân bay",latitude:10.8188,longitude:106.6519}; vehicleType=STANDARD. Có giá V1 hiệu lực; C1 chưa có Booking/Trip hoạt động.</x:v>
      </x:c>
      <x:c r="E24" s="14" t="str">
        <x:v>1. Thiết lập fixture và trạng thái theo Preconditions.
2. Gửi đồng thời hai POST /bookings với Test Data.
3. Đối chiếu phản hồi và dữ liệu lưu trữ theo Expected Result.</x:v>
      </x:c>
      <x:c r="F24" s="14" t="str">
        <x:v>Cùng Customer C1; fixture B; khóa K1 và K2 khác nhau.</x:v>
      </x:c>
      <x:c r="G24" s="14" t="str">
        <x:v>Một 201, một 409; C1 chỉ có một Booking hoạt động.</x:v>
      </x:c>
      <x:c r="H24" s="14" t="str">
        <x:v>High</x:v>
      </x:c>
      <x:c r="I24" s="14" t="str">
        <x:v>FR02; FR03; FR19; AC02; AC10</x:v>
      </x:c>
      <x:c r="J24" s="14" t="str">
        <x:v>Gửi đồng thời hai POST /bookings</x:v>
      </x:c>
      <x:c r="K24" s="14" t="str">
        <x:v>Integration</x:v>
      </x:c>
      <x:c r="L24" s="14" t="str">
        <x:v>DEFINED</x:v>
      </x:c>
      <x:c r="M24" s="33"/>
      <x:c r="N24" s="33" t="str">
        <x:v>NOT_RUN</x:v>
      </x:c>
      <x:c r="O24" s="14" t="str">
        <x:v>Bổ sung theo thiết kế đã duyệt; chưa chạy kiểm thử. Tham chiếu: 02-booking-api.yaml. Đối chiếu bản API 1.2 trong cuộc trao đổi; không xác nhận trạng thái commit GitHub.</x:v>
      </x:c>
      <x:c r="P24" s="14" t="str">
        <x:v>R15</x:v>
      </x:c>
      <x:c r="Q24" s="14" t="str">
        <x:v>Request/response đã che token; dữ liệu trước/sau hoặc log kiểm tra có correlationId; môi trường, commit và thời gian chạy. Không ghi mật khẩu thật.</x:v>
      </x:c>
    </x:row>
    <x:row r="25" ht="104" customHeight="1">
      <x:c r="A25" s="14" t="str">
        <x:v>TC-BOOKING-024</x:v>
      </x:c>
      <x:c r="B25" s="14" t="str">
        <x:v>Đặt xe (Tạo yêu cầu đặt xe)</x:v>
      </x:c>
      <x:c r="C25" s="14" t="str">
        <x:v>Hủy Booking tranh chấp với accept</x:v>
      </x:c>
      <x:c r="D25" s="14" t="str">
        <x:v>B1 FINDING_DRIVER; R1 PENDING, chưa hết hạn, gửi D1 đủ điều kiện.</x:v>
      </x:c>
      <x:c r="E25" s="14" t="str">
        <x:v>1. Thiết lập fixture và trạng thái theo Preconditions.
2. Gửi đồng thời POST /bookings/B1/cancel và POST /trip-requests/R1/accept với Test Data.
3. Đối chiếu phản hồi và dữ liệu lưu trữ theo Expected Result.</x:v>
      </x:c>
      <x:c r="F25" s="14" t="str">
        <x:v>Cancel bởi C1, reason="Đổi kế hoạch"; accept bởi D1.</x:v>
      </x:c>
      <x:c r="G25" s="14" t="str">
        <x:v>Chỉ một kết quả nghiệp vụ thắng: B1 CANCELLED và không có Trip, hoặc B1 DRIVER_ASSIGNED có đúng một Trip và cancel trả 409. Không vừa hủy thành công vừa phân công thành công.</x:v>
      </x:c>
      <x:c r="H25" s="14" t="str">
        <x:v>High</x:v>
      </x:c>
      <x:c r="I25" s="14" t="str">
        <x:v>FR02; FR03; FR19; AC02; AC10</x:v>
      </x:c>
      <x:c r="J25" s="14" t="str">
        <x:v>Gửi đồng thời POST /bookings/B1/cancel và POST /trip-requests/R1/accept</x:v>
      </x:c>
      <x:c r="K25" s="14" t="str">
        <x:v>Integration</x:v>
      </x:c>
      <x:c r="L25" s="14" t="str">
        <x:v>DEFINED</x:v>
      </x:c>
      <x:c r="M25" s="33"/>
      <x:c r="N25" s="33" t="str">
        <x:v>NOT_RUN</x:v>
      </x:c>
      <x:c r="O25" s="14" t="str">
        <x:v>Bổ sung theo thiết kế đã duyệt; chưa chạy kiểm thử. Tham chiếu: 02-booking-api.yaml. Đối chiếu bản API 1.2 trong cuộc trao đổi; không xác nhận trạng thái commit GitHub.</x:v>
      </x:c>
      <x:c r="P25" s="14" t="str">
        <x:v>R15</x:v>
      </x:c>
      <x:c r="Q25" s="14" t="str">
        <x:v>Request/response đã che token; dữ liệu trước/sau hoặc log kiểm tra có correlationId; môi trường, commit và thời gian chạy. Không ghi mật khẩu thật.</x:v>
      </x:c>
    </x:row>
    <x:row r="26" ht="104" customHeight="1">
      <x:c r="A26" s="14" t="str">
        <x:v>TC-BOOKING-025</x:v>
      </x:c>
      <x:c r="B26" s="14" t="str">
        <x:v>Đặt xe (Tạo yêu cầu đặt xe)</x:v>
      </x:c>
      <x:c r="C26" s="14" t="str">
        <x:v>Booking giữ giá snapshot cũ</x:v>
      </x:c>
      <x:c r="D26" s="14" t="str">
        <x:v>V1 có hiệu lực, C1 tạo B1 theo V1; OPERATOR tạo V2 sau đó.</x:v>
      </x:c>
      <x:c r="E26" s="14" t="str">
        <x:v>1. Thiết lập fixture và trạng thái theo Preconditions.
2. POST /bookings; POST /operations/pricing; GET /bookings/{bookingId} với Test Data.
3. Đối chiếu phản hồi và dữ liệu lưu trữ theo Expected Result.</x:v>
      </x:c>
      <x:c r="F26" s="14" t="str">
        <x:v>B1 theo V1; V2 có giá khác.</x:v>
      </x:c>
      <x:c r="G26" s="14" t="str">
        <x:v>B1 vẫn giữ pricingVersionId và pricingSnapshot V1; không tính lại giá B1 theo V2.</x:v>
      </x:c>
      <x:c r="H26" s="14" t="str">
        <x:v>High</x:v>
      </x:c>
      <x:c r="I26" s="14" t="str">
        <x:v>FR02; FR03; FR19; AC02; AC10</x:v>
      </x:c>
      <x:c r="J26" s="14" t="str">
        <x:v>POST /bookings; POST /operations/pricing; GET /bookings/{bookingId}</x:v>
      </x:c>
      <x:c r="K26" s="14" t="str">
        <x:v>Integration</x:v>
      </x:c>
      <x:c r="L26" s="14" t="str">
        <x:v>DEFINED</x:v>
      </x:c>
      <x:c r="M26" s="33"/>
      <x:c r="N26" s="33" t="str">
        <x:v>NOT_RUN</x:v>
      </x:c>
      <x:c r="O26" s="14" t="str">
        <x:v>Bổ sung theo thiết kế đã duyệt; chưa chạy kiểm thử. Tham chiếu: 02-booking-api.yaml. Đối chiếu bản API 1.2 trong cuộc trao đổi; không xác nhận trạng thái commit GitHub.</x:v>
      </x:c>
      <x:c r="P26" s="14" t="str">
        <x:v>R15</x:v>
      </x:c>
      <x:c r="Q26" s="14" t="str">
        <x:v>Request/response đã che token; dữ liệu trước/sau hoặc log kiểm tra có correlationId; môi trường, commit và thời gian chạy. Không ghi mật khẩu thật.</x:v>
      </x:c>
    </x:row>
    <x:row r="27" ht="90" customHeight="1">
      <x:c r="A27" s="14" t="str">
        <x:v>TC-BOOKING-026</x:v>
      </x:c>
      <x:c r="B27" s="14" t="str">
        <x:v>Đặt xe (Tạo yêu cầu đặt xe)</x:v>
      </x:c>
      <x:c r="C27" s="14" t="str">
        <x:v>Được đặt chuyến mới khi chuyến cũ chưa trả tiền</x:v>
      </x:c>
      <x:c r="D27" s="14" t="str">
        <x:v>C1 có T0 COMPLETED, Payment PENDING; không còn Booking/Trip hoạt động; giá hợp lệ.</x:v>
      </x:c>
      <x:c r="E27" s="14" t="str">
        <x:v>1. Thiết lập fixture và trạng thái theo Preconditions.
2. POST /bookings với Test Data.
3. Đối chiếu phản hồi và dữ liệu lưu trữ theo Expected Result.</x:v>
      </x:c>
      <x:c r="F27" s="14" t="str">
        <x:v>Fixture B; khóa mới.</x:v>
      </x:c>
      <x:c r="G27" s="14" t="str">
        <x:v>201; không lấy trạng thái thanh toán chưa xong làm điều kiện cấm đặt chuyến mới.</x:v>
      </x:c>
      <x:c r="H27" s="14" t="str">
        <x:v>High</x:v>
      </x:c>
      <x:c r="I27" s="14" t="str">
        <x:v>FR02; FR03; FR19; AC02; AC10</x:v>
      </x:c>
      <x:c r="J27" s="14" t="str">
        <x:v>POST /bookings</x:v>
      </x:c>
      <x:c r="K27" s="14" t="str">
        <x:v>Integration</x:v>
      </x:c>
      <x:c r="L27" s="14" t="str">
        <x:v>DEFINED</x:v>
      </x:c>
      <x:c r="M27" s="33"/>
      <x:c r="N27" s="33" t="str">
        <x:v>NOT_RUN</x:v>
      </x:c>
      <x:c r="O27" s="14" t="str">
        <x:v>Bổ sung theo thiết kế đã duyệt; chưa chạy kiểm thử. Tham chiếu: 02-booking-api.yaml. Đối chiếu bản API 1.2 trong cuộc trao đổi; không xác nhận trạng thái commit GitHub.</x:v>
      </x:c>
      <x:c r="P27" s="14" t="str">
        <x:v>R15</x:v>
      </x:c>
      <x:c r="Q27" s="14" t="str">
        <x:v>Request/response đã che token; dữ liệu trước/sau hoặc log kiểm tra có correlationId; môi trường, commit và thời gian chạy. Không ghi mật khẩu thật.</x:v>
      </x:c>
    </x:row>
    <x:row r="28" ht="104" customHeight="1">
      <x:c r="A28" s="14" t="str">
        <x:v>TC-BOOKING-027</x:v>
      </x:c>
      <x:c r="B28" s="14" t="str">
        <x:v>Booking</x:v>
      </x:c>
      <x:c r="C28" s="14" t="str">
        <x:v>Danh sách Booking của khách có phân trang</x:v>
      </x:c>
      <x:c r="D28" s="14" t="str">
        <x:v>C1 có 5 Booking, C2 có 2; tạo tuần tự, không còn công việc hoạt động trùng.</x:v>
      </x:c>
      <x:c r="E28" s="14" t="str">
        <x:v>1. Chuẩn bị fixture độc lập theo Preconditions.
2. GET /bookings?limit=2 rồi dùng nextCursor với Test Data; lưu phản hồi và correlationId.
3. Đối chiếu từng điều kiện Expected Result với dữ liệu sau thao tác.</x:v>
      </x:c>
      <x:c r="F28" s="14" t="str">
        <x:v>JWT C1; fixture không thay đổi trong phân trang</x:v>
      </x:c>
      <x:c r="G28" s="14" t="str">
        <x:v>Trang lần lượt 2/2/1; đúng 5 ID của C1, không trùng/thiếu hoặc lộ C2; thứ tự createdAt rồi bookingId giảm dần; hết trang hasMore=false.</x:v>
      </x:c>
      <x:c r="H28" s="14" t="str">
        <x:v>High</x:v>
      </x:c>
      <x:c r="I28" s="14" t="str">
        <x:v>API 1.2; rubric liên kết</x:v>
      </x:c>
      <x:c r="J28" s="14" t="str">
        <x:v>GET /bookings?limit=2 rồi dùng nextCursor</x:v>
      </x:c>
      <x:c r="K28" s="14" t="str">
        <x:v>Integration</x:v>
      </x:c>
      <x:c r="L28" s="14" t="str">
        <x:v>DEFINED</x:v>
      </x:c>
      <x:c r="M28" s="33"/>
      <x:c r="N28" s="33" t="str">
        <x:v>NOT_RUN</x:v>
      </x:c>
      <x:c r="O28" s="14" t="str">
        <x:v>Chưa chạy. Fixture giả trong môi trường kiểm thử cô lập.</x:v>
      </x:c>
      <x:c r="P28" s="14" t="str">
        <x:v>R14</x:v>
      </x:c>
      <x:c r="Q28" s="14" t="str">
        <x:v>Request/response đã che token; dữ liệu trước/sau hoặc log kiểm tra có correlationId; môi trường, commit và thời gian chạy. Không ghi mật khẩu thật.</x:v>
      </x:c>
    </x:row>
    <x:row r="29" ht="119" customHeight="1">
      <x:c r="A29" s="14" t="str">
        <x:v>TC-BOOKING-028</x:v>
      </x:c>
      <x:c r="B29" s="14" t="str">
        <x:v>Booking</x:v>
      </x:c>
      <x:c r="C29" s="14" t="str">
        <x:v>Lọc Booking theo trạng thái</x:v>
      </x:c>
      <x:c r="D29" s="14" t="str">
        <x:v>5 Booking của C1 gồm 2 CANCELLED, 2 NO_DRIVER_FOUND, 1 DRIVER_ASSIGNED.</x:v>
      </x:c>
      <x:c r="E29" s="14" t="str">
        <x:v>1. Chuẩn bị fixture độc lập theo Preconditions.
2. GET /bookings?bookingStatus=CANCELLED&amp;limit=2 với Test Data; lưu phản hồi và correlationId.
3. Đối chiếu từng điều kiện Expected Result với dữ liệu sau thao tác.</x:v>
      </x:c>
      <x:c r="F29" s="14" t="str">
        <x:v>JWT C1</x:v>
      </x:c>
      <x:c r="G29" s="14" t="str">
        <x:v>200 chỉ hai Booking CANCELLED của C1; không đưa Trip status vào bookingStatus.</x:v>
      </x:c>
      <x:c r="H29" s="14" t="str">
        <x:v>High</x:v>
      </x:c>
      <x:c r="I29" s="14" t="str">
        <x:v>API 1.2; rubric liên kết</x:v>
      </x:c>
      <x:c r="J29" s="14" t="str">
        <x:v>GET /bookings?bookingStatus=CANCELLED&amp;limit=2</x:v>
      </x:c>
      <x:c r="K29" s="14" t="str">
        <x:v>Integration</x:v>
      </x:c>
      <x:c r="L29" s="14" t="str">
        <x:v>DEFINED</x:v>
      </x:c>
      <x:c r="M29" s="33"/>
      <x:c r="N29" s="33" t="str">
        <x:v>NOT_RUN</x:v>
      </x:c>
      <x:c r="O29" s="14" t="str">
        <x:v>Chưa chạy. Fixture giả trong môi trường kiểm thử cô lập.</x:v>
      </x:c>
      <x:c r="P29" s="14" t="str">
        <x:v>R14</x:v>
      </x:c>
      <x:c r="Q29" s="14" t="str">
        <x:v>Request/response đã che token; dữ liệu trước/sau hoặc log kiểm tra có correlationId; môi trường, commit và thời gian chạy. Không ghi mật khẩu thật.</x:v>
      </x:c>
    </x:row>
    <x:row r="30" ht="104" customHeight="1">
      <x:c r="A30" s="14" t="str">
        <x:v>TC-BOOKING-029</x:v>
      </x:c>
      <x:c r="B30" s="14" t="str">
        <x:v>Booking</x:v>
      </x:c>
      <x:c r="C30" s="14" t="str">
        <x:v>Cursor không dùng chéo tài khoản hoặc bộ lọc</x:v>
      </x:c>
      <x:c r="D30" s="14" t="str">
        <x:v>C1 đã lấy cursor; C2 hợp lệ.</x:v>
      </x:c>
      <x:c r="E30" s="14" t="str">
        <x:v>1. Chuẩn bị fixture độc lập theo Preconditions.
2. GET /bookings với cursor cũ với Test Data; lưu phản hồi và correlationId.
3. Đối chiếu từng điều kiện Expected Result với dữ liệu sau thao tác.</x:v>
      </x:c>
      <x:c r="F30" s="14" t="str">
        <x:v>C2 dùng cursor C1; C1 đổi filter/limit; từng lượt</x:v>
      </x:c>
      <x:c r="G30" s="14" t="str">
        <x:v>400 cho cursor sai phạm vi; không rò dữ liệu. DRIVER/OPERATOR gọi danh sách Booking cá nhân bằng token của mình nhận 403.</x:v>
      </x:c>
      <x:c r="H30" s="14" t="str">
        <x:v>High</x:v>
      </x:c>
      <x:c r="I30" s="14" t="str">
        <x:v>API 1.2; rubric liên kết</x:v>
      </x:c>
      <x:c r="J30" s="14" t="str">
        <x:v>GET /bookings với cursor cũ</x:v>
      </x:c>
      <x:c r="K30" s="14" t="str">
        <x:v>Integration</x:v>
      </x:c>
      <x:c r="L30" s="14" t="str">
        <x:v>DEFINED</x:v>
      </x:c>
      <x:c r="M30" s="33"/>
      <x:c r="N30" s="33" t="str">
        <x:v>NOT_RUN</x:v>
      </x:c>
      <x:c r="O30" s="14" t="str">
        <x:v>Chưa chạy. Fixture giả trong môi trường kiểm thử cô lập.</x:v>
      </x:c>
      <x:c r="P30" s="14" t="str">
        <x:v>R14</x:v>
      </x:c>
      <x:c r="Q30" s="14" t="str">
        <x:v>Request/response đã che token; dữ liệu trước/sau hoặc log kiểm tra có correlationId; môi trường, commit và thời gian chạy. Không ghi mật khẩu thật.</x:v>
      </x:c>
    </x:row>
    <x:row r="31" ht="104" customHeight="1">
      <x:c r="A31" s="14" t="str">
        <x:v>TC-BOOKING-030</x:v>
      </x:c>
      <x:c r="B31" s="14" t="str">
        <x:v>Booking</x:v>
      </x:c>
      <x:c r="C31" s="14" t="str">
        <x:v>Hủy Booking lặp không giải phóng công việc mới</x:v>
      </x:c>
      <x:c r="D31" s="14" t="str">
        <x:v>B1 đã CANCELLED; C1 đã tạo B2 đang hoạt động.</x:v>
      </x:c>
      <x:c r="E31" s="14" t="str">
        <x:v>1. Chuẩn bị fixture độc lập theo Preconditions.
2. POST /bookings/B1/cancel với Test Data; lưu phản hồi và correlationId.
3. Đối chiếu từng điều kiện Expected Result với dữ liệu sau thao tác.</x:v>
      </x:c>
      <x:c r="F31" s="14" t="str">
        <x:v>Gửi lại yêu cầu hủy B1 với lý do khác</x:v>
      </x:c>
      <x:c r="G31" s="14" t="str">
        <x:v>200 dữ liệu hủy B1 đã lưu; guard vẫn trỏ B2; không reset tài xế/dispatch của B2; không thêm sự kiện hủy.</x:v>
      </x:c>
      <x:c r="H31" s="14" t="str">
        <x:v>High</x:v>
      </x:c>
      <x:c r="I31" s="14" t="str">
        <x:v>API 1.2; rubric liên kết</x:v>
      </x:c>
      <x:c r="J31" s="14" t="str">
        <x:v>POST /bookings/B1/cancel</x:v>
      </x:c>
      <x:c r="K31" s="14" t="str">
        <x:v>Integration</x:v>
      </x:c>
      <x:c r="L31" s="14" t="str">
        <x:v>DEFINED</x:v>
      </x:c>
      <x:c r="M31" s="33"/>
      <x:c r="N31" s="33" t="str">
        <x:v>NOT_RUN</x:v>
      </x:c>
      <x:c r="O31" s="14" t="str">
        <x:v>Chưa chạy. Fixture giả trong môi trường kiểm thử cô lập.</x:v>
      </x:c>
      <x:c r="P31" s="14" t="str">
        <x:v>R15; R18</x:v>
      </x:c>
      <x:c r="Q31" s="14" t="str">
        <x:v>Request/response đã che token; dữ liệu trước/sau hoặc log kiểm tra có correlationId; môi trường, commit và thời gian chạy. Không ghi mật khẩu thật.</x:v>
      </x:c>
    </x:row>
  </x:sheetData>
  <x:conditionalFormatting sqref="L2:L27">
    <x:cfRule type="containsText" dxfId="9" priority="1" operator="containsText" text="NEEDS_DECISION"/>
  </x:conditionalFormatting>
  <x:conditionalFormatting sqref="N2:N27">
    <x:cfRule type="containsText" dxfId="10" priority="2" operator="containsText" text="FAIL"/>
    <x:cfRule type="containsText" dxfId="11" priority="3" operator="containsText" text="BLOCKED"/>
  </x:conditionalFormatting>
  <x:conditionalFormatting sqref="L2:L31">
    <x:cfRule type="containsText" dxfId="48" priority="4" operator="containsText" text="NEEDS_DECISION"/>
    <x:cfRule type="containsText" dxfId="49" priority="5" operator="containsText" text="OUT_OF_SCOPE"/>
    <x:cfRule type="containsText" dxfId="50" priority="6" operator="containsText" text="SUPERSEDED"/>
  </x:conditionalFormatting>
  <x:conditionalFormatting sqref="N2:N31">
    <x:cfRule type="containsText" dxfId="51" priority="7" operator="containsText" text="FAIL"/>
    <x:cfRule type="containsText" dxfId="52" priority="8" operator="containsText" text="BLOCKED"/>
  </x:conditionalFormatting>
  <x:dataValidations count="3">
    <x:dataValidation type="list" sqref="L2:L31">
      <x:formula1>"DEFINED,NEEDS_DECISION,OUT_OF_SCOPE,SUPERSEDED"</x:formula1>
    </x:dataValidation>
    <x:dataValidation type="list" sqref="N2:N31">
      <x:formula1>"NOT_RUN,PASS,FAIL,BLOCKED"</x:formula1>
    </x:dataValidation>
    <x:dataValidation type="list" sqref="K2:K31">
      <x:formula1>"API,Integration,UI,Performance,Review,Security"</x:formula1>
    </x:dataValidation>
  </x:dataValidations>
  <x:pageMargins left="0.7" right="0.7" top="0.75" bottom="0.75" header="0.3" footer="0.3"/>
  <x:tableParts count="1">
    <x:tablePart xmlns:r="http://schemas.openxmlformats.org/officeDocument/2006/relationships" r:id="R95b7745a3ffc4429"/>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04" customHeight="1">
      <x:c r="A2" s="11" t="str">
        <x:v>TC-DISPATCH-001</x:v>
      </x:c>
      <x:c r="B2" s="11" t="str">
        <x:v>Tìm và phân công tài xế</x:v>
      </x:c>
      <x:c r="C2" s="11" t="str">
        <x:v>Hệ thống tìm được tài xế phù hợp và gửi yêu cầu chuyến thành công</x:v>
      </x:c>
      <x:c r="D2" s="11" t="str">
        <x:v>Có yêu cầu đặt xe hợp lệ; tồn tại tài xế phù hợp đang sẵn sàng Cấu hình thử nghiệm: radius=5 km; offer=30 s; tối đa 5 lượt kể cả đầu; deadline=180 s; GPS stale=30 s. Đây là giá trị đề xuất, không phải kết quả đo.</x:v>
      </x:c>
      <x:c r="E2" s="11" t="str">
        <x:v>1. Chuẩn bị dữ liệu và trạng thái trong Preconditions.
2. Gọi POST /bookings/{bookingId}/dispatch (nội bộ) với Test Data.
3. Đối chiếu HTTP, nội dung phản hồi và trạng thái lưu trữ với Expected Result.</x:v>
      </x:c>
      <x:c r="F2" s="11" t="str">
        <x:v>bookingId: BK0001</x:v>
      </x:c>
      <x:c r="G2" s="11" t="str">
        <x:v>Chỉ gửi TripRequest PENDING cho Driver AVAILABLE, Account ACTIVE, hồ sơ APPROVED, xe ACTIVE/phù hợp, GPS mới, trong bán kính và không có Trip hoạt động. Xếp theo khoảng cách rồi driverId khi bằng nhau.</x:v>
      </x:c>
      <x:c r="H2" s="11" t="str">
        <x:v>High</x:v>
      </x:c>
      <x:c r="I2" s="14" t="str">
        <x:v>FR04–FR07; AC03</x:v>
      </x:c>
      <x:c r="J2" s="14" t="str">
        <x:v>POST /bookings/{bookingId}/dispatch (nội bộ)</x:v>
      </x:c>
      <x:c r="K2" s="14" t="str">
        <x:v>Integration</x:v>
      </x:c>
      <x:c r="L2" s="14" t="str">
        <x:v>DEFINED</x:v>
      </x:c>
      <x:c r="M2" s="33"/>
      <x:c r="N2" s="33" t="str">
        <x:v>NOT_RUN</x:v>
      </x:c>
      <x:c r="O2" s="14" t="str">
        <x:v>Hợp đồng tham chiếu: 03-dispatch driver-api.yaml. Chưa chạy kiểm thử. Đối chiếu bản API 1.2 trong cuộc trao đổi; không xác nhận trạng thái commit GitHub.</x:v>
      </x:c>
      <x:c r="P2" s="14" t="str">
        <x:v>R15; R16</x:v>
      </x:c>
      <x:c r="Q2" s="14" t="str">
        <x:v>Request/response đã che token; dữ liệu trước/sau hoặc log kiểm tra có correlationId; môi trường, commit và thời gian chạy. Không ghi mật khẩu thật.</x:v>
      </x:c>
    </x:row>
    <x:row r="3" ht="104" customHeight="1">
      <x:c r="A3" s="11" t="str">
        <x:v>TC-DISPATCH-002</x:v>
      </x:c>
      <x:c r="B3" s="11" t="str">
        <x:v>Tìm và phân công tài xế</x:v>
      </x:c>
      <x:c r="C3" s="11" t="str">
        <x:v>Hệ thống chỉ đề xuất tài xế đang ở trạng thái sẵn sàng</x:v>
      </x:c>
      <x:c r="D3" s="11" t="str">
        <x:v>Có tài xế A đang AVAILABLE và tài xế B đang BUSY Cấu hình thử nghiệm: radius=5 km; offer=30 s; tối đa 5 lượt kể cả đầu; deadline=180 s; GPS stale=30 s. Đây là giá trị đề xuất, không phải kết quả đo.</x:v>
      </x:c>
      <x:c r="E3" s="11" t="str">
        <x:v>1. Chuẩn bị dữ liệu và trạng thái trong Preconditions.
2. Gọi POST /bookings/{bookingId}/dispatch (nội bộ) với Test Data.
3. Đối chiếu HTTP, nội dung phản hồi và trạng thái lưu trữ với Expected Result.</x:v>
      </x:c>
      <x:c r="F3" s="11" t="str">
        <x:v>Driver A: AVAILABLE
Driver B: BUSY</x:v>
      </x:c>
      <x:c r="G3" s="11" t="str">
        <x:v>Chỉ gửi TripRequest PENDING cho Driver AVAILABLE, Account ACTIVE, hồ sơ APPROVED, xe ACTIVE/phù hợp, GPS mới, trong bán kính và không có Trip hoạt động. Xếp theo khoảng cách rồi driverId khi bằng nhau.</x:v>
      </x:c>
      <x:c r="H3" s="11" t="str">
        <x:v>High</x:v>
      </x:c>
      <x:c r="I3" s="14" t="str">
        <x:v>FR04–FR07; AC03</x:v>
      </x:c>
      <x:c r="J3" s="14" t="str">
        <x:v>POST /bookings/{bookingId}/dispatch (nội bộ)</x:v>
      </x:c>
      <x:c r="K3" s="14" t="str">
        <x:v>Integration</x:v>
      </x:c>
      <x:c r="L3" s="14" t="str">
        <x:v>DEFINED</x:v>
      </x:c>
      <x:c r="M3" s="33"/>
      <x:c r="N3" s="33" t="str">
        <x:v>NOT_RUN</x:v>
      </x:c>
      <x:c r="O3" s="14" t="str">
        <x:v>Hợp đồng tham chiếu: 03-dispatch driver-api.yaml. Chưa chạy kiểm thử. Đối chiếu bản API 1.2 trong cuộc trao đổi; không xác nhận trạng thái commit GitHub.</x:v>
      </x:c>
      <x:c r="P3" s="14" t="str">
        <x:v>R15; R16</x:v>
      </x:c>
      <x:c r="Q3" s="14" t="str">
        <x:v>Request/response đã che token; dữ liệu trước/sau hoặc log kiểm tra có correlationId; môi trường, commit và thời gian chạy. Không ghi mật khẩu thật.</x:v>
      </x:c>
    </x:row>
    <x:row r="4" ht="104" customHeight="1">
      <x:c r="A4" s="11" t="str">
        <x:v>TC-DISPATCH-003</x:v>
      </x:c>
      <x:c r="B4" s="11" t="str">
        <x:v>Tìm và phân công tài xế</x:v>
      </x:c>
      <x:c r="C4" s="11" t="str">
        <x:v>Hệ thống không đề xuất tài xế đang offline</x:v>
      </x:c>
      <x:c r="D4" s="11" t="str">
        <x:v>Tài xế C đang ở trạng thái OFFLINE Cấu hình thử nghiệm: radius=5 km; offer=30 s; tối đa 5 lượt kể cả đầu; deadline=180 s; GPS stale=30 s. Đây là giá trị đề xuất, không phải kết quả đo.</x:v>
      </x:c>
      <x:c r="E4" s="11" t="str">
        <x:v>1. Chuẩn bị dữ liệu và trạng thái trong Preconditions.
2. Gọi POST /bookings/{bookingId}/dispatch (nội bộ) với Test Data.
3. Đối chiếu HTTP, nội dung phản hồi và trạng thái lưu trữ với Expected Result.</x:v>
      </x:c>
      <x:c r="F4" s="11" t="str">
        <x:v>Driver C: OFFLINE</x:v>
      </x:c>
      <x:c r="G4" s="11" t="str">
        <x:v>Tài xế C không được đưa vào danh sách đề xuất</x:v>
      </x:c>
      <x:c r="H4" s="11" t="str">
        <x:v>High</x:v>
      </x:c>
      <x:c r="I4" s="14" t="str">
        <x:v>FR04–FR07; AC03</x:v>
      </x:c>
      <x:c r="J4" s="14" t="str">
        <x:v>POST /bookings/{bookingId}/dispatch (nội bộ)</x:v>
      </x:c>
      <x:c r="K4" s="14" t="str">
        <x:v>Integration</x:v>
      </x:c>
      <x:c r="L4" s="14" t="str">
        <x:v>DEFINED</x:v>
      </x:c>
      <x:c r="M4" s="33"/>
      <x:c r="N4" s="33" t="str">
        <x:v>NOT_RUN</x:v>
      </x:c>
      <x:c r="O4" s="14" t="str">
        <x:v>Hợp đồng tham chiếu: 03-dispatch driver-api.yaml. Chưa chạy kiểm thử. Đối chiếu bản API 1.2 trong cuộc trao đổi; không xác nhận trạng thái commit GitHub.</x:v>
      </x:c>
      <x:c r="P4" s="14" t="str">
        <x:v>R15; R16</x:v>
      </x:c>
      <x:c r="Q4" s="14" t="str">
        <x:v>Request/response đã che token; dữ liệu trước/sau hoặc log kiểm tra có correlationId; môi trường, commit và thời gian chạy. Không ghi mật khẩu thật.</x:v>
      </x:c>
    </x:row>
    <x:row r="5" ht="104" customHeight="1">
      <x:c r="A5" s="11" t="str">
        <x:v>TC-DISPATCH-004</x:v>
      </x:c>
      <x:c r="B5" s="11" t="str">
        <x:v>Tìm và phân công tài xế</x:v>
      </x:c>
      <x:c r="C5" s="11" t="str">
        <x:v>Hệ thống chỉ đề xuất tài xế có loại xe phù hợp với yêu cầu</x:v>
      </x:c>
      <x:c r="D5" s="11" t="str">
        <x:v>Khách hàng yêu cầu loại xe STANDARD; tài xế D có loại xe PREMIUM Cấu hình thử nghiệm: radius=5 km; offer=30 s; tối đa 5 lượt kể cả đầu; deadline=180 s; GPS stale=30 s. Đây là giá trị đề xuất, không phải kết quả đo.</x:v>
      </x:c>
      <x:c r="E5" s="11" t="str">
        <x:v>1. Chuẩn bị dữ liệu và trạng thái trong Preconditions.
2. Gọi POST /bookings/{bookingId}/dispatch (nội bộ) với Test Data.
3. Đối chiếu HTTP, nội dung phản hồi và trạng thái lưu trữ với Expected Result.</x:v>
      </x:c>
      <x:c r="F5" s="11" t="str">
        <x:v>VehicleType yêu cầu: STANDARD
Driver D vehicleType: PREMIUM</x:v>
      </x:c>
      <x:c r="G5" s="11" t="str">
        <x:v>Tài xế D không được đề xuất do không đúng loại xe/dịch vụ</x:v>
      </x:c>
      <x:c r="H5" s="11" t="str">
        <x:v>High</x:v>
      </x:c>
      <x:c r="I5" s="14" t="str">
        <x:v>FR04–FR07; AC03</x:v>
      </x:c>
      <x:c r="J5" s="14" t="str">
        <x:v>POST /bookings/{bookingId}/dispatch (nội bộ)</x:v>
      </x:c>
      <x:c r="K5" s="14" t="str">
        <x:v>Integration</x:v>
      </x:c>
      <x:c r="L5" s="14" t="str">
        <x:v>DEFINED</x:v>
      </x:c>
      <x:c r="M5" s="33"/>
      <x:c r="N5" s="33" t="str">
        <x:v>NOT_RUN</x:v>
      </x:c>
      <x:c r="O5" s="14" t="str">
        <x:v>Hợp đồng tham chiếu: 03-dispatch driver-api.yaml. Chưa chạy kiểm thử. Đối chiếu bản API 1.2 trong cuộc trao đổi; không xác nhận trạng thái commit GitHub.</x:v>
      </x:c>
      <x:c r="P5" s="14" t="str">
        <x:v>R15; R16</x:v>
      </x:c>
      <x:c r="Q5" s="14" t="str">
        <x:v>Request/response đã che token; dữ liệu trước/sau hoặc log kiểm tra có correlationId; môi trường, commit và thời gian chạy. Không ghi mật khẩu thật.</x:v>
      </x:c>
    </x:row>
    <x:row r="6" ht="104" customHeight="1">
      <x:c r="A6" s="11" t="str">
        <x:v>TC-DISPATCH-005</x:v>
      </x:c>
      <x:c r="B6" s="11" t="str">
        <x:v>Tìm và phân công tài xế</x:v>
      </x:c>
      <x:c r="C6" s="11" t="str">
        <x:v>Tài xế từ chối chuyến, hệ thống tự động tìm tài xế khác</x:v>
      </x:c>
      <x:c r="D6" s="11" t="str">
        <x:v>Yêu cầu chuyến đã được gửi đến tài xế E Cấu hình thử nghiệm: radius=5 km; offer=30 s; tối đa 5 lượt kể cả đầu; deadline=180 s; GPS stale=30 s. Đây là giá trị đề xuất, không phải kết quả đo.</x:v>
      </x:c>
      <x:c r="E6" s="11" t="str">
        <x:v>1. Chuẩn bị dữ liệu và trạng thái trong Preconditions.
2. Gọi POST /trip-requests/{tripRequestId}/reject với Test Data.
3. Đối chiếu HTTP, nội dung phản hồi và trạng thái lưu trữ với Expected Result.</x:v>
      </x:c>
      <x:c r="F6" s="11" t="str">
        <x:v>tripRequestId: TRQ0001
reason: Quá xa vị trí hiện tại</x:v>
      </x:c>
      <x:c r="G6" s="11" t="str">
        <x:v>Hệ thống ghi nhận từ chối và tự động tìm tài xế khác mà không cần khách hàng tạo lại yêu cầu Chỉ tiếp tục nếu còn ứng viên chưa thử, số lượt và thời gian; không gửi lại cùng tài xế trong tiến trình.</x:v>
      </x:c>
      <x:c r="H6" s="11" t="str">
        <x:v>High</x:v>
      </x:c>
      <x:c r="I6" s="14" t="str">
        <x:v>FR04–FR07; AC03</x:v>
      </x:c>
      <x:c r="J6" s="14" t="str">
        <x:v>POST /trip-requests/{tripRequestId}/reject</x:v>
      </x:c>
      <x:c r="K6" s="14" t="str">
        <x:v>Integration</x:v>
      </x:c>
      <x:c r="L6" s="14" t="str">
        <x:v>DEFINED</x:v>
      </x:c>
      <x:c r="M6" s="33"/>
      <x:c r="N6" s="33" t="str">
        <x:v>NOT_RUN</x:v>
      </x:c>
      <x:c r="O6" s="14" t="str">
        <x:v>Hợp đồng tham chiếu: 03-dispatch driver-api.yaml. Chưa chạy kiểm thử. Đối chiếu bản API 1.2 trong cuộc trao đổi; không xác nhận trạng thái commit GitHub.</x:v>
      </x:c>
      <x:c r="P6" s="14" t="str">
        <x:v>R15; R16</x:v>
      </x:c>
      <x:c r="Q6" s="14" t="str">
        <x:v>Request/response đã che token; dữ liệu trước/sau hoặc log kiểm tra có correlationId; môi trường, commit và thời gian chạy. Không ghi mật khẩu thật.</x:v>
      </x:c>
    </x:row>
    <x:row r="7" ht="104" customHeight="1">
      <x:c r="A7" s="11" t="str">
        <x:v>TC-DISPATCH-006</x:v>
      </x:c>
      <x:c r="B7" s="11" t="str">
        <x:v>Tìm và phân công tài xế</x:v>
      </x:c>
      <x:c r="C7" s="11" t="str">
        <x:v>Tài xế không phản hồi trong thời gian quy định, hệ thống tự động tìm tài xế khác</x:v>
      </x:c>
      <x:c r="D7" s="11" t="str">
        <x:v>Yêu cầu chuyến đã gửi đến tài xế F quá thời gian chờ quy định Cấu hình thử nghiệm: radius=5 km; offer=30 s; tối đa 5 lượt kể cả đầu; deadline=180 s; GPS stale=30 s. Đây là giá trị đề xuất, không phải kết quả đo.</x:v>
      </x:c>
      <x:c r="E7" s="11" t="str">
        <x:v>1. Chuẩn bị dữ liệu và trạng thái trong Preconditions.
2. Gọi POST /bookings/{bookingId}/dispatch (nội bộ) với Test Data.
3. Đối chiếu HTTP, nội dung phản hồi và trạng thái lưu trữ với Expected Result.</x:v>
      </x:c>
      <x:c r="F7" s="11" t="str">
        <x:v>tripRequestId: TRQ0002</x:v>
      </x:c>
      <x:c r="G7" s="11" t="str">
        <x:v>Hệ thống tự động chuyển tripRequest sang EXPIRED và tìm tài xế khác Chỉ tiếp tục nếu còn ứng viên chưa thử, số lượt và thời gian; không gửi lại cùng tài xế trong tiến trình.</x:v>
      </x:c>
      <x:c r="H7" s="11" t="str">
        <x:v>High</x:v>
      </x:c>
      <x:c r="I7" s="14" t="str">
        <x:v>FR04–FR07; AC03</x:v>
      </x:c>
      <x:c r="J7" s="14" t="str">
        <x:v>POST /bookings/{bookingId}/dispatch (nội bộ)</x:v>
      </x:c>
      <x:c r="K7" s="14" t="str">
        <x:v>Integration</x:v>
      </x:c>
      <x:c r="L7" s="14" t="str">
        <x:v>DEFINED</x:v>
      </x:c>
      <x:c r="M7" s="33"/>
      <x:c r="N7" s="33" t="str">
        <x:v>NOT_RUN</x:v>
      </x:c>
      <x:c r="O7" s="14" t="str">
        <x:v>Hợp đồng tham chiếu: 03-dispatch driver-api.yaml. Chưa chạy kiểm thử. Đối chiếu bản API 1.2 trong cuộc trao đổi; không xác nhận trạng thái commit GitHub.</x:v>
      </x:c>
      <x:c r="P7" s="14" t="str">
        <x:v>R15; R16</x:v>
      </x:c>
      <x:c r="Q7" s="14" t="str">
        <x:v>Request/response đã che token; dữ liệu trước/sau hoặc log kiểm tra có correlationId; môi trường, commit và thời gian chạy. Không ghi mật khẩu thật.</x:v>
      </x:c>
    </x:row>
    <x:row r="8" ht="104" customHeight="1">
      <x:c r="A8" s="11" t="str">
        <x:v>TC-DISPATCH-007</x:v>
      </x:c>
      <x:c r="B8" s="11" t="str">
        <x:v>Tìm và phân công tài xế</x:v>
      </x:c>
      <x:c r="C8" s="11" t="str">
        <x:v>Không có tài xế phù hợp, hệ thống thông báo cho khách hàng</x:v>
      </x:c>
      <x:c r="D8" s="11" t="str">
        <x:v>Không có tài xế đủ điều kiện; dịch vụ điều phối hoạt động bình thường.</x:v>
      </x:c>
      <x:c r="E8" s="11" t="str">
        <x:v>1. Chuẩn bị dữ liệu và trạng thái trong Preconditions.
2. Gọi POST /bookings/{bookingId}/dispatch (nội bộ) với Test Data.
3. Đối chiếu HTTP, nội dung phản hồi và trạng thái lưu trữ với Expected Result.</x:v>
      </x:c>
      <x:c r="F8" s="11" t="str">
        <x:v>Booking FINDING_DRIVER.</x:v>
      </x:c>
      <x:c r="G8" s="11" t="str">
        <x:v>Dispatch NO_DRIVER_AVAILABLE; Booking NO_DRIVER_FOUND; phát sự kiện thông báo đúng người. Lỗi hạ tầng không được giả thành không có tài xế.</x:v>
      </x:c>
      <x:c r="H8" s="11" t="str">
        <x:v>High</x:v>
      </x:c>
      <x:c r="I8" s="14" t="str">
        <x:v>FR04–FR07; AC03</x:v>
      </x:c>
      <x:c r="J8" s="14" t="str">
        <x:v>POST /bookings/{bookingId}/dispatch (nội bộ)</x:v>
      </x:c>
      <x:c r="K8" s="14" t="str">
        <x:v>Integration</x:v>
      </x:c>
      <x:c r="L8" s="14" t="str">
        <x:v>DEFINED</x:v>
      </x:c>
      <x:c r="M8" s="33"/>
      <x:c r="N8" s="33" t="str">
        <x:v>NOT_RUN</x:v>
      </x:c>
      <x:c r="O8" s="14" t="str">
        <x:v>Hợp đồng tham chiếu: 03-dispatch driver-api.yaml. Chưa chạy kiểm thử. Đối chiếu bản API 1.2 trong cuộc trao đổi; không xác nhận trạng thái commit GitHub.</x:v>
      </x:c>
      <x:c r="P8" s="14" t="str">
        <x:v>R15; R16</x:v>
      </x:c>
      <x:c r="Q8" s="14" t="str">
        <x:v>Request/response đã che token; dữ liệu trước/sau hoặc log kiểm tra có correlationId; môi trường, commit và thời gian chạy. Không ghi mật khẩu thật.</x:v>
      </x:c>
    </x:row>
    <x:row r="9" ht="104" customHeight="1">
      <x:c r="A9" s="11" t="str">
        <x:v>TC-DISPATCH-008</x:v>
      </x:c>
      <x:c r="B9" s="11" t="str">
        <x:v>Tìm và phân công tài xế</x:v>
      </x:c>
      <x:c r="C9" s="11" t="str">
        <x:v>Tài xế chấp nhận chuyến, hệ thống ghi nhận phân công và tạo Trip mới</x:v>
      </x:c>
      <x:c r="D9" s="11" t="str">
        <x:v>Yêu cầu chuyến đã được gửi đến tài xế G ở trạng thái PENDING Cấu hình thử nghiệm: radius=5 km; offer=30 s; tối đa 5 lượt kể cả đầu; deadline=180 s; GPS stale=30 s. Đây là giá trị đề xuất, không phải kết quả đo.</x:v>
      </x:c>
      <x:c r="E9" s="11" t="str">
        <x:v>1. Chuẩn bị dữ liệu và trạng thái trong Preconditions.
2. Gọi POST /trip-requests/{tripRequestId}/accept với Test Data.
3. Đối chiếu HTTP, nội dung phản hồi và trạng thái lưu trữ với Expected Result.</x:v>
      </x:c>
      <x:c r="F9" s="11" t="str">
        <x:v>tripRequestId: TRQ0003</x:v>
      </x:c>
      <x:c r="G9" s="11" t="str">
        <x:v>200 chỉ sau kết quả nhất quán: TripRequest ACCEPTED, Booking DRIVER_ASSIGNED, Dispatch DRIVER_FOUND, đúng một Trip, Driver BUSY; vô hiệu hóa các đề nghị cạnh tranh.</x:v>
      </x:c>
      <x:c r="H9" s="11" t="str">
        <x:v>High</x:v>
      </x:c>
      <x:c r="I9" s="14" t="str">
        <x:v>FR04–FR07; AC03</x:v>
      </x:c>
      <x:c r="J9" s="14" t="str">
        <x:v>POST /trip-requests/{tripRequestId}/accept</x:v>
      </x:c>
      <x:c r="K9" s="14" t="str">
        <x:v>Integration</x:v>
      </x:c>
      <x:c r="L9" s="14" t="str">
        <x:v>DEFINED</x:v>
      </x:c>
      <x:c r="M9" s="33"/>
      <x:c r="N9" s="33" t="str">
        <x:v>NOT_RUN</x:v>
      </x:c>
      <x:c r="O9" s="14" t="str">
        <x:v>Hợp đồng tham chiếu: 03-dispatch driver-api.yaml. Chưa chạy kiểm thử. Đối chiếu bản API 1.2 trong cuộc trao đổi; không xác nhận trạng thái commit GitHub.</x:v>
      </x:c>
      <x:c r="P9" s="14" t="str">
        <x:v>R15; R16</x:v>
      </x:c>
      <x:c r="Q9" s="14" t="str">
        <x:v>Request/response đã che token; dữ liệu trước/sau hoặc log kiểm tra có correlationId; môi trường, commit và thời gian chạy. Không ghi mật khẩu thật.</x:v>
      </x:c>
    </x:row>
    <x:row r="10" ht="104" customHeight="1">
      <x:c r="A10" s="11" t="str">
        <x:v>TC-DISPATCH-009</x:v>
      </x:c>
      <x:c r="B10" s="11" t="str">
        <x:v>Tìm và phân công tài xế</x:v>
      </x:c>
      <x:c r="C10" s="11" t="str">
        <x:v>Tài xế chấp nhận chuyến, trạng thái booking chuyển sang đã có tài xế</x:v>
      </x:c>
      <x:c r="D10" s="11" t="str">
        <x:v>Tài xế G vừa chấp nhận chuyến Cấu hình thử nghiệm: radius=5 km; offer=30 s; tối đa 5 lượt kể cả đầu; deadline=180 s; GPS stale=30 s. Đây là giá trị đề xuất, không phải kết quả đo.</x:v>
      </x:c>
      <x:c r="E10" s="11" t="str">
        <x:v>1. Chuẩn bị dữ liệu và trạng thái trong Preconditions.
2. Gọi POST /trip-requests/{tripRequestId}/accept với Test Data.
3. Đối chiếu HTTP, nội dung phản hồi và trạng thái lưu trữ với Expected Result.</x:v>
      </x:c>
      <x:c r="F10" s="11" t="str">
        <x:v>bookingId liên kết với tripRequestId TRQ0003</x:v>
      </x:c>
      <x:c r="G10" s="11" t="str">
        <x:v>200 chỉ sau kết quả nhất quán: TripRequest ACCEPTED, Booking DRIVER_ASSIGNED, Dispatch DRIVER_FOUND, đúng một Trip, Driver BUSY; vô hiệu hóa các đề nghị cạnh tranh.</x:v>
      </x:c>
      <x:c r="H10" s="11" t="str">
        <x:v>Medium</x:v>
      </x:c>
      <x:c r="I10" s="14" t="str">
        <x:v>FR04–FR07; AC03</x:v>
      </x:c>
      <x:c r="J10" s="14" t="str">
        <x:v>POST /trip-requests/{tripRequestId}/accept</x:v>
      </x:c>
      <x:c r="K10" s="14" t="str">
        <x:v>Integration</x:v>
      </x:c>
      <x:c r="L10" s="14" t="str">
        <x:v>DEFINED</x:v>
      </x:c>
      <x:c r="M10" s="33"/>
      <x:c r="N10" s="33" t="str">
        <x:v>NOT_RUN</x:v>
      </x:c>
      <x:c r="O10" s="14" t="str">
        <x:v>Hợp đồng tham chiếu: 03-dispatch driver-api.yaml. Chưa chạy kiểm thử. Đối chiếu bản API 1.2 trong cuộc trao đổi; không xác nhận trạng thái commit GitHub.</x:v>
      </x:c>
      <x:c r="P10" s="14" t="str">
        <x:v>R15; R16</x:v>
      </x:c>
      <x:c r="Q10" s="14" t="str">
        <x:v>Request/response đã che token; dữ liệu trước/sau hoặc log kiểm tra có correlationId; môi trường, commit và thời gian chạy. Không ghi mật khẩu thật.</x:v>
      </x:c>
    </x:row>
    <x:row r="11" ht="104" customHeight="1">
      <x:c r="A11" s="11" t="str">
        <x:v>TC-DISPATCH-010</x:v>
      </x:c>
      <x:c r="B11" s="11" t="str">
        <x:v>Tìm và phân công tài xế</x:v>
      </x:c>
      <x:c r="C11" s="11" t="str">
        <x:v>Xem danh sách yêu cầu chuyến đang chờ phản hồi của một tài xế</x:v>
      </x:c>
      <x:c r="D11" s="11" t="str">
        <x:v>Driver D1 có đề nghị hợp lệ và đề nghị đã hết hạn.</x:v>
      </x:c>
      <x:c r="E11" s="11" t="str">
        <x:v>1. Chuẩn bị dữ liệu và trạng thái trong Preconditions.
2. Gọi GET /drivers/me/trip-requests với Test Data.
3. Đối chiếu HTTP, nội dung phản hồi và trạng thái lưu trữ với Expected Result.</x:v>
      </x:c>
      <x:c r="F11" s="11" t="str">
        <x:v>Token D1; limit=20.</x:v>
      </x:c>
      <x:c r="G11" s="11" t="str">
        <x:v>200; chỉ đề nghị PENDING còn hiệu lực của D1; không trả đề nghị của Driver khác.</x:v>
      </x:c>
      <x:c r="H11" s="11" t="str">
        <x:v>Medium</x:v>
      </x:c>
      <x:c r="I11" s="14" t="str">
        <x:v>FR04–FR07; AC03</x:v>
      </x:c>
      <x:c r="J11" s="14" t="str">
        <x:v>GET /drivers/me/trip-requests</x:v>
      </x:c>
      <x:c r="K11" s="14" t="str">
        <x:v>Integration</x:v>
      </x:c>
      <x:c r="L11" s="14" t="str">
        <x:v>DEFINED</x:v>
      </x:c>
      <x:c r="M11" s="33"/>
      <x:c r="N11" s="33" t="str">
        <x:v>NOT_RUN</x:v>
      </x:c>
      <x:c r="O11" s="14" t="str">
        <x:v>Hợp đồng tham chiếu: 03-dispatch driver-api.yaml. Chưa chạy kiểm thử. Đối chiếu bản API 1.2 trong cuộc trao đổi; không xác nhận trạng thái commit GitHub.</x:v>
      </x:c>
      <x:c r="P11" s="14" t="str">
        <x:v>R15; R16</x:v>
      </x:c>
      <x:c r="Q11" s="14" t="str">
        <x:v>Request/response đã che token; dữ liệu trước/sau hoặc log kiểm tra có correlationId; môi trường, commit và thời gian chạy. Không ghi mật khẩu thật.</x:v>
      </x:c>
    </x:row>
    <x:row r="12" ht="104" customHeight="1">
      <x:c r="A12" s="11" t="str">
        <x:v>TC-DISPATCH-011</x:v>
      </x:c>
      <x:c r="B12" s="11" t="str">
        <x:v>Tìm và phân công tài xế</x:v>
      </x:c>
      <x:c r="C12" s="11" t="str">
        <x:v>Tài xế cố gắng chấp nhận một tripRequest đã hết hạn</x:v>
      </x:c>
      <x:c r="D12" s="11" t="str">
        <x:v>tripRequestId TRQ0004 đã chuyển trạng thái EXPIRED Cấu hình thử nghiệm: radius=5 km; offer=30 s; tối đa 5 lượt kể cả đầu; deadline=180 s; GPS stale=30 s. Đây là giá trị đề xuất, không phải kết quả đo.</x:v>
      </x:c>
      <x:c r="E12" s="11" t="str">
        <x:v>1. Chuẩn bị dữ liệu và trạng thái trong Preconditions.
2. Gọi POST /trip-requests/{tripRequestId}/accept với Test Data.
3. Đối chiếu HTTP, nội dung phản hồi và trạng thái lưu trữ với Expected Result.</x:v>
      </x:c>
      <x:c r="F12" s="11" t="str">
        <x:v>tripRequestId: TRQ0004</x:v>
      </x:c>
      <x:c r="G12" s="11" t="str">
        <x:v>Hệ thống từ chối (409); thông báo yêu cầu đã hết hạn</x:v>
      </x:c>
      <x:c r="H12" s="11" t="str">
        <x:v>High</x:v>
      </x:c>
      <x:c r="I12" s="14" t="str">
        <x:v>FR04–FR07; AC03</x:v>
      </x:c>
      <x:c r="J12" s="14" t="str">
        <x:v>POST /trip-requests/{tripRequestId}/accept</x:v>
      </x:c>
      <x:c r="K12" s="14" t="str">
        <x:v>Integration</x:v>
      </x:c>
      <x:c r="L12" s="14" t="str">
        <x:v>DEFINED</x:v>
      </x:c>
      <x:c r="M12" s="33"/>
      <x:c r="N12" s="33" t="str">
        <x:v>NOT_RUN</x:v>
      </x:c>
      <x:c r="O12" s="14" t="str">
        <x:v>Hợp đồng tham chiếu: 03-dispatch driver-api.yaml. Chưa chạy kiểm thử. Đối chiếu bản API 1.2 trong cuộc trao đổi; không xác nhận trạng thái commit GitHub.</x:v>
      </x:c>
      <x:c r="P12" s="14" t="str">
        <x:v>R15; R16</x:v>
      </x:c>
      <x:c r="Q12" s="14" t="str">
        <x:v>Request/response đã che token; dữ liệu trước/sau hoặc log kiểm tra có correlationId; môi trường, commit và thời gian chạy. Không ghi mật khẩu thật.</x:v>
      </x:c>
    </x:row>
    <x:row r="13" ht="104" customHeight="1">
      <x:c r="A13" s="11" t="str">
        <x:v>TC-DISPATCH-012</x:v>
      </x:c>
      <x:c r="B13" s="11" t="str">
        <x:v>Tìm và phân công tài xế</x:v>
      </x:c>
      <x:c r="C13" s="11" t="str">
        <x:v>Từ chối accept đề nghị đã bị hủy sau khi Booking được phân công</x:v>
      </x:c>
      <x:c r="D13" s="11" t="str">
        <x:v>R1 gửi riêng cho D1 đã CANCELLED vì Booking được phân công qua đề nghị khác.</x:v>
      </x:c>
      <x:c r="E13" s="11" t="str">
        <x:v>1. Chuẩn bị dữ liệu và trạng thái trong Preconditions.
2. Gọi POST /trip-requests/{tripRequestId}/accept với Test Data.
3. Đối chiếu HTTP, nội dung phản hồi và trạng thái lưu trữ với Expected Result.</x:v>
      </x:c>
      <x:c r="F13" s="11" t="str">
        <x:v>D1 gọi accept R1.</x:v>
      </x:c>
      <x:c r="G13" s="11" t="str">
        <x:v>409; không tạo Trip mới hoặc thay đổi phân công đã ghi nhận.</x:v>
      </x:c>
      <x:c r="H13" s="11" t="str">
        <x:v>High</x:v>
      </x:c>
      <x:c r="I13" s="14" t="str">
        <x:v>FR04–FR07; AC03</x:v>
      </x:c>
      <x:c r="J13" s="14" t="str">
        <x:v>POST /trip-requests/{tripRequestId}/accept</x:v>
      </x:c>
      <x:c r="K13" s="14" t="str">
        <x:v>Integration</x:v>
      </x:c>
      <x:c r="L13" s="14" t="str">
        <x:v>DEFINED</x:v>
      </x:c>
      <x:c r="M13" s="33"/>
      <x:c r="N13" s="33" t="str">
        <x:v>NOT_RUN</x:v>
      </x:c>
      <x:c r="O13" s="14" t="str">
        <x:v>Hợp đồng tham chiếu: 03-dispatch driver-api.yaml. Chưa chạy kiểm thử. Đối chiếu bản API 1.2 trong cuộc trao đổi; không xác nhận trạng thái commit GitHub.</x:v>
      </x:c>
      <x:c r="P13" s="14" t="str">
        <x:v>R15; R16</x:v>
      </x:c>
      <x:c r="Q13" s="14" t="str">
        <x:v>Request/response đã che token; dữ liệu trước/sau hoặc log kiểm tra có correlationId; môi trường, commit và thời gian chạy. Không ghi mật khẩu thật.</x:v>
      </x:c>
    </x:row>
    <x:row r="14" ht="104" customHeight="1">
      <x:c r="A14" s="11" t="str">
        <x:v>TC-DISPATCH-013</x:v>
      </x:c>
      <x:c r="B14" s="11" t="str">
        <x:v>Tìm và phân công tài xế</x:v>
      </x:c>
      <x:c r="C14" s="11" t="str">
        <x:v>Tài xế cố gắng từ chối một tripRequest đã accept trước đó</x:v>
      </x:c>
      <x:c r="D14" s="11" t="str">
        <x:v>tripRequestId TRQ0006 đã ở trạng thái ACCEPTED bởi chính tài xế đó Cấu hình thử nghiệm: radius=5 km; offer=30 s; tối đa 5 lượt kể cả đầu; deadline=180 s; GPS stale=30 s. Đây là giá trị đề xuất, không phải kết quả đo.</x:v>
      </x:c>
      <x:c r="E14" s="11" t="str">
        <x:v>1. Chuẩn bị dữ liệu và trạng thái trong Preconditions.
2. Gọi POST /trip-requests/{tripRequestId}/reject với Test Data.
3. Đối chiếu HTTP, nội dung phản hồi và trạng thái lưu trữ với Expected Result.</x:v>
      </x:c>
      <x:c r="F14" s="11" t="str">
        <x:v>tripRequestId: TRQ0006</x:v>
      </x:c>
      <x:c r="G14" s="11" t="str">
        <x:v>Hệ thống từ chối thao tác (409); tripRequest giữ nguyên trạng thái ACCEPTED</x:v>
      </x:c>
      <x:c r="H14" s="11" t="str">
        <x:v>Medium</x:v>
      </x:c>
      <x:c r="I14" s="14" t="str">
        <x:v>FR04–FR07; AC03</x:v>
      </x:c>
      <x:c r="J14" s="14" t="str">
        <x:v>POST /trip-requests/{tripRequestId}/reject</x:v>
      </x:c>
      <x:c r="K14" s="14" t="str">
        <x:v>Integration</x:v>
      </x:c>
      <x:c r="L14" s="14" t="str">
        <x:v>DEFINED</x:v>
      </x:c>
      <x:c r="M14" s="33"/>
      <x:c r="N14" s="33" t="str">
        <x:v>NOT_RUN</x:v>
      </x:c>
      <x:c r="O14" s="14" t="str">
        <x:v>Hợp đồng tham chiếu: 03-dispatch driver-api.yaml. Chưa chạy kiểm thử. Đối chiếu bản API 1.2 trong cuộc trao đổi; không xác nhận trạng thái commit GitHub.</x:v>
      </x:c>
      <x:c r="P14" s="14" t="str">
        <x:v>R15; R16</x:v>
      </x:c>
      <x:c r="Q14" s="14" t="str">
        <x:v>Request/response đã che token; dữ liệu trước/sau hoặc log kiểm tra có correlationId; môi trường, commit và thời gian chạy. Không ghi mật khẩu thật.</x:v>
      </x:c>
    </x:row>
    <x:row r="15" ht="104" customHeight="1">
      <x:c r="A15" s="11" t="str">
        <x:v>TC-DISPATCH-014</x:v>
      </x:c>
      <x:c r="B15" s="11" t="str">
        <x:v>Tìm và phân công tài xế</x:v>
      </x:c>
      <x:c r="C15" s="11" t="str">
        <x:v>Kiểm tra trạng thái tiến trình tìm tài xế trả về đúng giá trị</x:v>
      </x:c>
      <x:c r="D15" s="11" t="str">
        <x:v>Yêu cầu đặt xe đang trong quá trình tìm tài xế Cấu hình thử nghiệm: radius=5 km; offer=30 s; tối đa 5 lượt kể cả đầu; deadline=180 s; GPS stale=30 s. Đây là giá trị đề xuất, không phải kết quả đo.</x:v>
      </x:c>
      <x:c r="E15" s="11" t="str">
        <x:v>1. Chuẩn bị dữ liệu và trạng thái trong Preconditions.
2. Gọi GET /bookings/{bookingId}/dispatch/status với Test Data.
3. Đối chiếu HTTP, nội dung phản hồi và trạng thái lưu trữ với Expected Result.</x:v>
      </x:c>
      <x:c r="F15" s="11" t="str">
        <x:v>bookingId: BK0001</x:v>
      </x:c>
      <x:c r="G15" s="11" t="str">
        <x:v>200; dispatchStatus thuộc SEARCHING, DRIVER_FOUND, NO_DRIVER_AVAILABLE hoặc CANCELLED, khớp dữ liệu nguồn; không lộ vị trí ứng viên.</x:v>
      </x:c>
      <x:c r="H15" s="11" t="str">
        <x:v>Medium</x:v>
      </x:c>
      <x:c r="I15" s="14" t="str">
        <x:v>FR04–FR07; AC03</x:v>
      </x:c>
      <x:c r="J15" s="14" t="str">
        <x:v>GET /bookings/{bookingId}/dispatch/status</x:v>
      </x:c>
      <x:c r="K15" s="14" t="str">
        <x:v>Integration</x:v>
      </x:c>
      <x:c r="L15" s="14" t="str">
        <x:v>DEFINED</x:v>
      </x:c>
      <x:c r="M15" s="33"/>
      <x:c r="N15" s="33" t="str">
        <x:v>NOT_RUN</x:v>
      </x:c>
      <x:c r="O15" s="14" t="str">
        <x:v>Hợp đồng tham chiếu: 03-dispatch driver-api.yaml. Chưa chạy kiểm thử. Đối chiếu bản API 1.2 trong cuộc trao đổi; không xác nhận trạng thái commit GitHub.</x:v>
      </x:c>
      <x:c r="P15" s="14" t="str">
        <x:v>R15; R16</x:v>
      </x:c>
      <x:c r="Q15" s="14" t="str">
        <x:v>Request/response đã che token; dữ liệu trước/sau hoặc log kiểm tra có correlationId; môi trường, commit và thời gian chạy. Không ghi mật khẩu thật.</x:v>
      </x:c>
    </x:row>
    <x:row r="16" ht="104" customHeight="1">
      <x:c r="A16" s="11" t="str">
        <x:v>TC-DISPATCH-015</x:v>
      </x:c>
      <x:c r="B16" s="11" t="str">
        <x:v>Tìm và phân công tài xế</x:v>
      </x:c>
      <x:c r="C16" s="11" t="str">
        <x:v>Hệ thống tiếp tục vòng tìm tài xế sau nhiều lần bị từ chối liên tiếp</x:v>
      </x:c>
      <x:c r="D16" s="11" t="str">
        <x:v>3 tài xế liên tiếp đều từ chối yêu cầu chuyến Cấu hình thử nghiệm: radius=5 km; offer=30 s; tối đa 5 lượt kể cả đầu; deadline=180 s; GPS stale=30 s. Đây là giá trị đề xuất, không phải kết quả đo.</x:v>
      </x:c>
      <x:c r="E16" s="11" t="str">
        <x:v>1. Chuẩn bị dữ liệu và trạng thái trong Preconditions.
2. Gọi POST /bookings/{bookingId}/dispatch (nội bộ) với Test Data.
3. Đối chiếu HTTP, nội dung phản hồi và trạng thái lưu trữ với Expected Result.</x:v>
      </x:c>
      <x:c r="F16" s="11" t="str">
        <x:v>bookingId: BK0030</x:v>
      </x:c>
      <x:c r="G16" s="11" t="str">
        <x:v>Hệ thống tự động chuyển sang tài xế tiếp theo cho đến khi có tài xế chấp nhận, không cần khách hàng thao tác lại Chỉ tiếp tục nếu còn ứng viên chưa thử, số lượt và thời gian; không gửi lại cùng tài xế trong tiến trình.</x:v>
      </x:c>
      <x:c r="H16" s="11" t="str">
        <x:v>High</x:v>
      </x:c>
      <x:c r="I16" s="14" t="str">
        <x:v>FR04–FR07; AC03</x:v>
      </x:c>
      <x:c r="J16" s="14" t="str">
        <x:v>POST /bookings/{bookingId}/dispatch (nội bộ)</x:v>
      </x:c>
      <x:c r="K16" s="14" t="str">
        <x:v>Integration</x:v>
      </x:c>
      <x:c r="L16" s="14" t="str">
        <x:v>DEFINED</x:v>
      </x:c>
      <x:c r="M16" s="33"/>
      <x:c r="N16" s="33" t="str">
        <x:v>NOT_RUN</x:v>
      </x:c>
      <x:c r="O16" s="14" t="str">
        <x:v>Hợp đồng tham chiếu: 03-dispatch driver-api.yaml. Chưa chạy kiểm thử. Đối chiếu bản API 1.2 trong cuộc trao đổi; không xác nhận trạng thái commit GitHub.</x:v>
      </x:c>
      <x:c r="P16" s="14" t="str">
        <x:v>R15; R16</x:v>
      </x:c>
      <x:c r="Q16" s="14" t="str">
        <x:v>Request/response đã che token; dữ liệu trước/sau hoặc log kiểm tra có correlationId; môi trường, commit và thời gian chạy. Không ghi mật khẩu thật.</x:v>
      </x:c>
    </x:row>
    <x:row r="17" ht="104" customHeight="1">
      <x:c r="A17" s="11" t="str">
        <x:v>TC-DISPATCH-016</x:v>
      </x:c>
      <x:c r="B17" s="11" t="str">
        <x:v>Tìm và phân công tài xế</x:v>
      </x:c>
      <x:c r="C17" s="11" t="str">
        <x:v>Tài xế gửi lý do khi từ chối chuyến</x:v>
      </x:c>
      <x:c r="D17" s="11" t="str">
        <x:v>Yêu cầu chuyến đã gửi đến tài xế I Cấu hình thử nghiệm: radius=5 km; offer=30 s; tối đa 5 lượt kể cả đầu; deadline=180 s; GPS stale=30 s. Đây là giá trị đề xuất, không phải kết quả đo.</x:v>
      </x:c>
      <x:c r="E17" s="11" t="str">
        <x:v>1. Chuẩn bị dữ liệu và trạng thái trong Preconditions.
2. Gọi POST /trip-requests/{tripRequestId}/reject với Test Data.
3. Đối chiếu HTTP, nội dung phản hồi và trạng thái lưu trữ với Expected Result.</x:v>
      </x:c>
      <x:c r="F17" s="11" t="str">
        <x:v>reason: Xe đang bảo trì</x:v>
      </x:c>
      <x:c r="G17" s="11" t="str">
        <x:v>Hệ thống ghi nhận lý do từ chối cùng với trạng thái REJECTED</x:v>
      </x:c>
      <x:c r="H17" s="11" t="str">
        <x:v>Low</x:v>
      </x:c>
      <x:c r="I17" s="14" t="str">
        <x:v>FR04–FR07; AC03</x:v>
      </x:c>
      <x:c r="J17" s="14" t="str">
        <x:v>POST /trip-requests/{tripRequestId}/reject</x:v>
      </x:c>
      <x:c r="K17" s="14" t="str">
        <x:v>Integration</x:v>
      </x:c>
      <x:c r="L17" s="14" t="str">
        <x:v>DEFINED</x:v>
      </x:c>
      <x:c r="M17" s="33"/>
      <x:c r="N17" s="33" t="str">
        <x:v>NOT_RUN</x:v>
      </x:c>
      <x:c r="O17" s="14" t="str">
        <x:v>Hợp đồng tham chiếu: 03-dispatch driver-api.yaml. Chưa chạy kiểm thử. Đối chiếu bản API 1.2 trong cuộc trao đổi; không xác nhận trạng thái commit GitHub.</x:v>
      </x:c>
      <x:c r="P17" s="14" t="str">
        <x:v>R15; R16</x:v>
      </x:c>
      <x:c r="Q17" s="14" t="str">
        <x:v>Request/response đã che token; dữ liệu trước/sau hoặc log kiểm tra có correlationId; môi trường, commit và thời gian chạy. Không ghi mật khẩu thật.</x:v>
      </x:c>
    </x:row>
    <x:row r="18" ht="104" customHeight="1">
      <x:c r="A18" s="11" t="str">
        <x:v>TC-DISPATCH-017</x:v>
      </x:c>
      <x:c r="B18" s="11" t="str">
        <x:v>Tìm và phân công tài xế</x:v>
      </x:c>
      <x:c r="C18" s="11" t="str">
        <x:v>Tài xế không liên quan cố gắng chấp nhận tripRequest không gửi cho mình</x:v>
      </x:c>
      <x:c r="D18" s="11" t="str">
        <x:v>tripRequestId TRQ0007 được gửi cho tài xế J, không phải tài xế K Cấu hình thử nghiệm: radius=5 km; offer=30 s; tối đa 5 lượt kể cả đầu; deadline=180 s; GPS stale=30 s. Đây là giá trị đề xuất, không phải kết quả đo.</x:v>
      </x:c>
      <x:c r="E18" s="11" t="str">
        <x:v>1. Chuẩn bị dữ liệu và trạng thái trong Preconditions.
2. Gọi POST /trip-requests/{tripRequestId}/accept với Test Data.
3. Đối chiếu HTTP, nội dung phản hồi và trạng thái lưu trữ với Expected Result.</x:v>
      </x:c>
      <x:c r="F18" s="11" t="str">
        <x:v>Token của tài xế K; tripRequestId: TRQ0007 (thuộc J)</x:v>
      </x:c>
      <x:c r="G18" s="11" t="str">
        <x:v>404; đối tượng không thuộc phạm vi của người gọi. Không tiết lộ dữ liệu và không thay đổi đối tượng. Dùng cùng phản hồi với ID không tồn tại.</x:v>
      </x:c>
      <x:c r="H18" s="11" t="str">
        <x:v>High</x:v>
      </x:c>
      <x:c r="I18" s="14" t="str">
        <x:v>FR04–FR07; AC03</x:v>
      </x:c>
      <x:c r="J18" s="14" t="str">
        <x:v>POST /trip-requests/{tripRequestId}/accept</x:v>
      </x:c>
      <x:c r="K18" s="14" t="str">
        <x:v>Integration</x:v>
      </x:c>
      <x:c r="L18" s="14" t="str">
        <x:v>DEFINED</x:v>
      </x:c>
      <x:c r="M18" s="33"/>
      <x:c r="N18" s="33" t="str">
        <x:v>NOT_RUN</x:v>
      </x:c>
      <x:c r="O18" s="14" t="str">
        <x:v>Hợp đồng tham chiếu: 03-dispatch driver-api.yaml. Chưa chạy kiểm thử. Đối chiếu bản API 1.2 trong cuộc trao đổi; không xác nhận trạng thái commit GitHub.</x:v>
      </x:c>
      <x:c r="P18" s="14" t="str">
        <x:v>R15; R16</x:v>
      </x:c>
      <x:c r="Q18" s="14" t="str">
        <x:v>Request/response đã che token; dữ liệu trước/sau hoặc log kiểm tra có correlationId; môi trường, commit và thời gian chạy. Không ghi mật khẩu thật.</x:v>
      </x:c>
    </x:row>
    <x:row r="19" ht="104" customHeight="1">
      <x:c r="A19" s="11" t="str">
        <x:v>TC-DISPATCH-018</x:v>
      </x:c>
      <x:c r="B19" s="11" t="str">
        <x:v>Tìm và phân công tài xế</x:v>
      </x:c>
      <x:c r="C19" s="11" t="str">
        <x:v>Booking đã có tài xế được phân công không tiếp tục gửi yêu cầu cho tài xế khác</x:v>
      </x:c>
      <x:c r="D19" s="11" t="str">
        <x:v>Booking BK0001 đã có tài xế được phân công (DRIVER_ASSIGNED) Cấu hình thử nghiệm: radius=5 km; offer=30 s; tối đa 5 lượt kể cả đầu; deadline=180 s; GPS stale=30 s. Đây là giá trị đề xuất, không phải kết quả đo.</x:v>
      </x:c>
      <x:c r="E19" s="11" t="str">
        <x:v>1. Chuẩn bị dữ liệu và trạng thái trong Preconditions.
2. Gọi POST /trip-requests/{tripRequestId}/accept với Test Data.
3. Đối chiếu HTTP, nội dung phản hồi và trạng thái lưu trữ với Expected Result.</x:v>
      </x:c>
      <x:c r="F19" s="11" t="str">
        <x:v>bookingId: BK0001</x:v>
      </x:c>
      <x:c r="G19" s="11" t="str">
        <x:v>Không còn tripRequest nào ở trạng thái PENDING liên quan đến booking này được gửi tiếp</x:v>
      </x:c>
      <x:c r="H19" s="11" t="str">
        <x:v>Medium</x:v>
      </x:c>
      <x:c r="I19" s="14" t="str">
        <x:v>FR04–FR07; AC03</x:v>
      </x:c>
      <x:c r="J19" s="14" t="str">
        <x:v>POST /trip-requests/{tripRequestId}/accept</x:v>
      </x:c>
      <x:c r="K19" s="14" t="str">
        <x:v>Integration</x:v>
      </x:c>
      <x:c r="L19" s="14" t="str">
        <x:v>DEFINED</x:v>
      </x:c>
      <x:c r="M19" s="33"/>
      <x:c r="N19" s="33" t="str">
        <x:v>NOT_RUN</x:v>
      </x:c>
      <x:c r="O19" s="14" t="str">
        <x:v>Hợp đồng tham chiếu: 03-dispatch driver-api.yaml. Chưa chạy kiểm thử. Đối chiếu bản API 1.2 trong cuộc trao đổi; không xác nhận trạng thái commit GitHub.</x:v>
      </x:c>
      <x:c r="P19" s="14" t="str">
        <x:v>R15; R16</x:v>
      </x:c>
      <x:c r="Q19" s="14" t="str">
        <x:v>Request/response đã che token; dữ liệu trước/sau hoặc log kiểm tra có correlationId; môi trường, commit và thời gian chạy. Không ghi mật khẩu thật.</x:v>
      </x:c>
    </x:row>
    <x:row r="20" ht="104" customHeight="1">
      <x:c r="A20" s="11" t="str">
        <x:v>TC-DISPATCH-019</x:v>
      </x:c>
      <x:c r="B20" s="11" t="str">
        <x:v>Tìm và phân công tài xế</x:v>
      </x:c>
      <x:c r="C20" s="11" t="str">
        <x:v>Khách hàng nhận được thông báo khi tài xế nhận chuyến thành công</x:v>
      </x:c>
      <x:c r="D20" s="11" t="str">
        <x:v>Tài xế vừa chấp nhận chuyến của khách hàng Cấu hình thử nghiệm: radius=5 km; offer=30 s; tối đa 5 lượt kể cả đầu; deadline=180 s; GPS stale=30 s. Đây là giá trị đề xuất, không phải kết quả đo.</x:v>
      </x:c>
      <x:c r="E20" s="11" t="str">
        <x:v>1. Chuẩn bị dữ liệu và trạng thái trong Preconditions.
2. Gọi POST /trip-requests/{tripRequestId}/accept với Test Data.
3. Đối chiếu HTTP, nội dung phản hồi và trạng thái lưu trữ với Expected Result.</x:v>
      </x:c>
      <x:c r="F20" s="11" t="str">
        <x:v>bookingId: BK0001</x:v>
      </x:c>
      <x:c r="G20" s="11" t="str">
        <x:v>Khách hàng nhận được thông báo tài xế đã nhận chuyến kèm thông tin tài xế</x:v>
      </x:c>
      <x:c r="H20" s="11" t="str">
        <x:v>Medium</x:v>
      </x:c>
      <x:c r="I20" s="14" t="str">
        <x:v>FR04–FR07; AC03</x:v>
      </x:c>
      <x:c r="J20" s="14" t="str">
        <x:v>POST /trip-requests/{tripRequestId}/accept</x:v>
      </x:c>
      <x:c r="K20" s="14" t="str">
        <x:v>Integration</x:v>
      </x:c>
      <x:c r="L20" s="14" t="str">
        <x:v>DEFINED</x:v>
      </x:c>
      <x:c r="M20" s="33"/>
      <x:c r="N20" s="33" t="str">
        <x:v>NOT_RUN</x:v>
      </x:c>
      <x:c r="O20" s="14" t="str">
        <x:v>Hợp đồng tham chiếu: 03-dispatch driver-api.yaml. Chưa chạy kiểm thử. Đối chiếu bản API 1.2 trong cuộc trao đổi; không xác nhận trạng thái commit GitHub.</x:v>
      </x:c>
      <x:c r="P20" s="14" t="str">
        <x:v>R15; R16</x:v>
      </x:c>
      <x:c r="Q20" s="14" t="str">
        <x:v>Request/response đã che token; dữ liệu trước/sau hoặc log kiểm tra có correlationId; môi trường, commit và thời gian chạy. Không ghi mật khẩu thật.</x:v>
      </x:c>
    </x:row>
    <x:row r="21" ht="119" customHeight="1">
      <x:c r="A21" s="11" t="str">
        <x:v>TC-DISPATCH-020</x:v>
      </x:c>
      <x:c r="B21" s="11" t="str">
        <x:v>Tìm và phân công tài xế</x:v>
      </x:c>
      <x:c r="C21" s="11" t="str">
        <x:v>Tài xế chấp nhận chuyến khi không ở trạng thái sẵn sàng</x:v>
      </x:c>
      <x:c r="D21" s="11" t="str">
        <x:v>Tài xế L đã chuyển sang trạng thái BUSY do đang thực hiện chuyến khác nhưng vẫn còn tripRequest PENDING cũ Cấu hình thử nghiệm: radius=5 km; offer=30 s; tối đa 5 lượt kể cả đầu; deadline=180 s; GPS stale=30 s. Đây là giá trị đề xuất, không phải kết quả đo.</x:v>
      </x:c>
      <x:c r="E21" s="11" t="str">
        <x:v>1. Chuẩn bị dữ liệu và trạng thái trong Preconditions.
2. Gọi POST /trip-requests/{tripRequestId}/accept với Test Data.
3. Đối chiếu HTTP, nội dung phản hồi và trạng thái lưu trữ với Expected Result.</x:v>
      </x:c>
      <x:c r="F21" s="11" t="str">
        <x:v>driverId: DRV0010 (đang BUSY); tripRequestId: TRQ0008</x:v>
      </x:c>
      <x:c r="G21" s="11" t="str">
        <x:v>Hệ thống từ chối phân công (409); tài xế không ở trạng thái sẵn sàng nhận chuyến</x:v>
      </x:c>
      <x:c r="H21" s="11" t="str">
        <x:v>Medium</x:v>
      </x:c>
      <x:c r="I21" s="14" t="str">
        <x:v>FR04–FR07; AC03</x:v>
      </x:c>
      <x:c r="J21" s="14" t="str">
        <x:v>POST /trip-requests/{tripRequestId}/accept</x:v>
      </x:c>
      <x:c r="K21" s="14" t="str">
        <x:v>Integration</x:v>
      </x:c>
      <x:c r="L21" s="14" t="str">
        <x:v>DEFINED</x:v>
      </x:c>
      <x:c r="M21" s="33"/>
      <x:c r="N21" s="33" t="str">
        <x:v>NOT_RUN</x:v>
      </x:c>
      <x:c r="O21" s="14" t="str">
        <x:v>Hợp đồng tham chiếu: 03-dispatch driver-api.yaml. Chưa chạy kiểm thử. Đối chiếu bản API 1.2 trong cuộc trao đổi; không xác nhận trạng thái commit GitHub.</x:v>
      </x:c>
      <x:c r="P21" s="14" t="str">
        <x:v>R15; R16</x:v>
      </x:c>
      <x:c r="Q21" s="14" t="str">
        <x:v>Request/response đã che token; dữ liệu trước/sau hoặc log kiểm tra có correlationId; môi trường, commit và thời gian chạy. Không ghi mật khẩu thật.</x:v>
      </x:c>
    </x:row>
    <x:row r="22" ht="104" customHeight="1">
      <x:c r="A22" s="14" t="str">
        <x:v>TC-DISPATCH-021</x:v>
      </x:c>
      <x:c r="B22" s="14" t="str">
        <x:v>Tìm và phân công tài xế</x:v>
      </x:c>
      <x:c r="C22" s="14" t="str">
        <x:v>Không chọn Driver có GPS cũ</x:v>
      </x:c>
      <x:c r="D22" s="14" t="str">
        <x:v>D1 AVAILABLE, Account ACTIVE, hồ sơ/xe hợp lệ; GPS quá ngưỡng 30 s.</x:v>
      </x:c>
      <x:c r="E22" s="14" t="str">
        <x:v>1. Thiết lập fixture và trạng thái theo Preconditions.
2. POST /bookings/{bookingId}/dispatch bằng service token với Test Data.
3. Đối chiếu phản hồi và dữ liệu lưu trữ theo Expected Result.</x:v>
      </x:c>
      <x:c r="F22" s="14" t="str">
        <x:v>B1 FINDING_DRIVER, xe phù hợp.</x:v>
      </x:c>
      <x:c r="G22" s="14" t="str">
        <x:v>D1 không được chọn; không nhận TripRequest mới khi GPS không đủ mới.</x:v>
      </x:c>
      <x:c r="H22" s="14" t="str">
        <x:v>High</x:v>
      </x:c>
      <x:c r="I22" s="14" t="str">
        <x:v>FR04–FR07; AC03</x:v>
      </x:c>
      <x:c r="J22" s="14" t="str">
        <x:v>POST /bookings/{bookingId}/dispatch bằng service token</x:v>
      </x:c>
      <x:c r="K22" s="14" t="str">
        <x:v>Integration</x:v>
      </x:c>
      <x:c r="L22" s="14" t="str">
        <x:v>DEFINED</x:v>
      </x:c>
      <x:c r="M22" s="33"/>
      <x:c r="N22" s="33" t="str">
        <x:v>NOT_RUN</x:v>
      </x:c>
      <x:c r="O22" s="14" t="str">
        <x:v>Bổ sung theo thiết kế đã duyệt; chưa chạy kiểm thử. Tham chiếu: 03-dispatch driver-api.yaml. Đối chiếu bản API 1.2 trong cuộc trao đổi; không xác nhận trạng thái commit GitHub.</x:v>
      </x:c>
      <x:c r="P22" s="14" t="str">
        <x:v>R15; R16</x:v>
      </x:c>
      <x:c r="Q22" s="14" t="str">
        <x:v>Request/response đã che token; dữ liệu trước/sau hoặc log kiểm tra có correlationId; môi trường, commit và thời gian chạy. Không ghi mật khẩu thật.</x:v>
      </x:c>
    </x:row>
    <x:row r="23" ht="104" customHeight="1">
      <x:c r="A23" s="14" t="str">
        <x:v>TC-DISPATCH-022</x:v>
      </x:c>
      <x:c r="B23" s="14" t="str">
        <x:v>Tìm và phân công tài xế</x:v>
      </x:c>
      <x:c r="C23" s="14" t="str">
        <x:v>Không vượt quá số lượt điều phối</x:v>
      </x:c>
      <x:c r="D23" s="14" t="str">
        <x:v>B1 có nhiều hơn 5 ứng viên; tất cả phản hồi REJECTED nhanh, còn thời gian.</x:v>
      </x:c>
      <x:c r="E23" s="14" t="str">
        <x:v>1. Thiết lập fixture và trạng thái theo Preconditions.
2. Điều phối B1 và từ chối lần lượt mỗi đề nghị với Test Data.
3. Đối chiếu phản hồi và dữ liệu lưu trữ theo Expected Result.</x:v>
      </x:c>
      <x:c r="F23" s="14" t="str">
        <x:v>maxOffers=5 gồm lượt đầu; deadline=180 s.</x:v>
      </x:c>
      <x:c r="G23" s="14" t="str">
        <x:v>Không có lượt thứ 6; Dispatch NO_DRIVER_AVAILABLE, reason OFFER_LIMIT_REACHED; Booking NO_DRIVER_FOUND.</x:v>
      </x:c>
      <x:c r="H23" s="14" t="str">
        <x:v>High</x:v>
      </x:c>
      <x:c r="I23" s="14" t="str">
        <x:v>FR04–FR07; AC03</x:v>
      </x:c>
      <x:c r="J23" s="14" t="str">
        <x:v>Điều phối B1 và từ chối lần lượt mỗi đề nghị</x:v>
      </x:c>
      <x:c r="K23" s="14" t="str">
        <x:v>Integration</x:v>
      </x:c>
      <x:c r="L23" s="14" t="str">
        <x:v>DEFINED</x:v>
      </x:c>
      <x:c r="M23" s="33"/>
      <x:c r="N23" s="33" t="str">
        <x:v>NOT_RUN</x:v>
      </x:c>
      <x:c r="O23" s="14" t="str">
        <x:v>Bổ sung theo thiết kế đã duyệt; chưa chạy kiểm thử. Tham chiếu: 03-dispatch driver-api.yaml. Đối chiếu bản API 1.2 trong cuộc trao đổi; không xác nhận trạng thái commit GitHub.</x:v>
      </x:c>
      <x:c r="P23" s="14" t="str">
        <x:v>R15; R16</x:v>
      </x:c>
      <x:c r="Q23" s="14" t="str">
        <x:v>Request/response đã che token; dữ liệu trước/sau hoặc log kiểm tra có correlationId; môi trường, commit và thời gian chạy. Không ghi mật khẩu thật.</x:v>
      </x:c>
    </x:row>
    <x:row r="24" ht="104" customHeight="1">
      <x:c r="A24" s="14" t="str">
        <x:v>TC-DISPATCH-023</x:v>
      </x:c>
      <x:c r="B24" s="14" t="str">
        <x:v>Tìm và phân công tài xế</x:v>
      </x:c>
      <x:c r="C24" s="14" t="str">
        <x:v>Khởi động lại không đặt lại deadline</x:v>
      </x:c>
      <x:c r="D24" s="14" t="str">
        <x:v>B1 bắt đầu FINDING_DRIVER tại t0, đã dùng 2 lượt.</x:v>
      </x:c>
      <x:c r="E24" s="14" t="str">
        <x:v>1. Thiết lập fixture và trạng thái theo Preconditions.
2. Khởi động lại worker; gọi lại khởi động dispatch cùng bookingId với Test Data.
3. Đối chiếu phản hồi và dữ liệu lưu trữ theo Expected Result.</x:v>
      </x:c>
      <x:c r="F24" s="14" t="str">
        <x:v>Cấu hình snapshot deadline=t0+180 s.</x:v>
      </x:c>
      <x:c r="G24" s="14" t="str">
        <x:v>Giữ startedAt/deadline/attemptCount đã ghi; không cấp thêm 180 s hoặc đặt lượt về 0.</x:v>
      </x:c>
      <x:c r="H24" s="14" t="str">
        <x:v>High</x:v>
      </x:c>
      <x:c r="I24" s="14" t="str">
        <x:v>FR04–FR07; AC03</x:v>
      </x:c>
      <x:c r="J24" s="14" t="str">
        <x:v>Khởi động lại worker; gọi lại khởi động dispatch cùng bookingId</x:v>
      </x:c>
      <x:c r="K24" s="14" t="str">
        <x:v>Integration</x:v>
      </x:c>
      <x:c r="L24" s="14" t="str">
        <x:v>DEFINED</x:v>
      </x:c>
      <x:c r="M24" s="33"/>
      <x:c r="N24" s="33" t="str">
        <x:v>NOT_RUN</x:v>
      </x:c>
      <x:c r="O24" s="14" t="str">
        <x:v>Bổ sung theo thiết kế đã duyệt; chưa chạy kiểm thử. Tham chiếu: 03-dispatch driver-api.yaml. Đối chiếu bản API 1.2 trong cuộc trao đổi; không xác nhận trạng thái commit GitHub.</x:v>
      </x:c>
      <x:c r="P24" s="14" t="str">
        <x:v>R15; R16</x:v>
      </x:c>
      <x:c r="Q24" s="14" t="str">
        <x:v>Request/response đã che token; dữ liệu trước/sau hoặc log kiểm tra có correlationId; môi trường, commit và thời gian chạy. Không ghi mật khẩu thật.</x:v>
      </x:c>
    </x:row>
    <x:row r="25" ht="104" customHeight="1">
      <x:c r="A25" s="14" t="str">
        <x:v>TC-DISPATCH-024</x:v>
      </x:c>
      <x:c r="B25" s="14" t="str">
        <x:v>Tìm và phân công tài xế</x:v>
      </x:c>
      <x:c r="C25" s="14" t="str">
        <x:v>Driver không nhận hai Trip đồng thời</x:v>
      </x:c>
      <x:c r="D25" s="14" t="str">
        <x:v>D1 có R1/R2 PENDING thuộc hai Booking, đều chưa hết hạn và đủ điều kiện.</x:v>
      </x:c>
      <x:c r="E25" s="14" t="str">
        <x:v>1. Thiết lập fixture và trạng thái theo Preconditions.
2. Gửi đồng thời hai POST /trip-requests/{id}/accept với Test Data.
3. Đối chiếu phản hồi và dữ liệu lưu trữ theo Expected Result.</x:v>
      </x:c>
      <x:c r="F25" s="14" t="str">
        <x:v>Cùng token D1; R1 và R2.</x:v>
      </x:c>
      <x:c r="G25" s="14" t="str">
        <x:v>Chỉ một phân công thành công; D1 có đúng một Trip hoạt động; đề nghị còn lại không tạo Trip thứ hai.</x:v>
      </x:c>
      <x:c r="H25" s="14" t="str">
        <x:v>High</x:v>
      </x:c>
      <x:c r="I25" s="14" t="str">
        <x:v>FR04–FR07; AC03</x:v>
      </x:c>
      <x:c r="J25" s="14" t="str">
        <x:v>Gửi đồng thời hai POST /trip-requests/{id}/accept</x:v>
      </x:c>
      <x:c r="K25" s="14" t="str">
        <x:v>Integration</x:v>
      </x:c>
      <x:c r="L25" s="14" t="str">
        <x:v>DEFINED</x:v>
      </x:c>
      <x:c r="M25" s="33"/>
      <x:c r="N25" s="33" t="str">
        <x:v>NOT_RUN</x:v>
      </x:c>
      <x:c r="O25" s="14" t="str">
        <x:v>Bổ sung theo thiết kế đã duyệt; chưa chạy kiểm thử. Tham chiếu: 03-dispatch driver-api.yaml. Đối chiếu bản API 1.2 trong cuộc trao đổi; không xác nhận trạng thái commit GitHub.</x:v>
      </x:c>
      <x:c r="P25" s="14" t="str">
        <x:v>R15; R16</x:v>
      </x:c>
      <x:c r="Q25" s="14" t="str">
        <x:v>Request/response đã che token; dữ liệu trước/sau hoặc log kiểm tra có correlationId; môi trường, commit và thời gian chạy. Không ghi mật khẩu thật.</x:v>
      </x:c>
    </x:row>
    <x:row r="26" ht="104" customHeight="1">
      <x:c r="A26" s="14" t="str">
        <x:v>TC-DISPATCH-025</x:v>
      </x:c>
      <x:c r="B26" s="14" t="str">
        <x:v>Tìm và phân công tài xế</x:v>
      </x:c>
      <x:c r="C26" s="14" t="str">
        <x:v>Phát lại accept sau khi Trip đã đóng</x:v>
      </x:c>
      <x:c r="D26" s="14" t="str">
        <x:v>R1 đã ACCEPTED, T1 đã COMPLETED; D1 đang OFFLINE.</x:v>
      </x:c>
      <x:c r="E26" s="14" t="str">
        <x:v>1. Thiết lập fixture và trạng thái theo Preconditions.
2. POST /trip-requests/R1/accept với Test Data.
3. Đối chiếu phản hồi và dữ liệu lưu trữ theo Expected Result.</x:v>
      </x:c>
      <x:c r="F26" s="14" t="str">
        <x:v>Đúng Driver D1, Session hợp lệ.</x:v>
      </x:c>
      <x:c r="G26" s="14" t="str">
        <x:v>Trả kết quả accept đã ghi nhận, không tạo Trip mới; D1 vẫn OFFLINE, không trở lại BUSY.</x:v>
      </x:c>
      <x:c r="H26" s="14" t="str">
        <x:v>High</x:v>
      </x:c>
      <x:c r="I26" s="14" t="str">
        <x:v>FR04–FR07; AC03</x:v>
      </x:c>
      <x:c r="J26" s="14" t="str">
        <x:v>POST /trip-requests/R1/accept</x:v>
      </x:c>
      <x:c r="K26" s="14" t="str">
        <x:v>Integration</x:v>
      </x:c>
      <x:c r="L26" s="14" t="str">
        <x:v>DEFINED</x:v>
      </x:c>
      <x:c r="M26" s="33"/>
      <x:c r="N26" s="33" t="str">
        <x:v>NOT_RUN</x:v>
      </x:c>
      <x:c r="O26" s="14" t="str">
        <x:v>Bổ sung theo thiết kế đã duyệt; chưa chạy kiểm thử. Tham chiếu: 03-dispatch driver-api.yaml. Đối chiếu bản API 1.2 trong cuộc trao đổi; không xác nhận trạng thái commit GitHub.</x:v>
      </x:c>
      <x:c r="P26" s="14" t="str">
        <x:v>R15; R16</x:v>
      </x:c>
      <x:c r="Q26" s="14" t="str">
        <x:v>Request/response đã che token; dữ liệu trước/sau hoặc log kiểm tra có correlationId; môi trường, commit và thời gian chạy. Không ghi mật khẩu thật.</x:v>
      </x:c>
    </x:row>
    <x:row r="27" ht="90" customHeight="1">
      <x:c r="A27" s="14" t="str">
        <x:v>TC-DISPATCH-026</x:v>
      </x:c>
      <x:c r="B27" s="14" t="str">
        <x:v>Tìm và phân công tài xế</x:v>
      </x:c>
      <x:c r="C27" s="14" t="str">
        <x:v>Token Customer không được khởi động dispatch</x:v>
      </x:c>
      <x:c r="D27" s="14" t="str">
        <x:v>C1 có user token hợp lệ; B1 FINDING_DRIVER.</x:v>
      </x:c>
      <x:c r="E27" s="14" t="str">
        <x:v>1. Thiết lập fixture và trạng thái theo Preconditions.
2. POST /bookings/B1/dispatch với Test Data.
3. Đối chiếu phản hồi và dữ liệu lưu trữ theo Expected Result.</x:v>
      </x:c>
      <x:c r="F27" s="14" t="str">
        <x:v>Authorization: user token C1, không phải service token.</x:v>
      </x:c>
      <x:c r="G27" s="14" t="str">
        <x:v>Từ chối xác thực dịch vụ; không tạo hoặc reset tiến trình. Không coi quyền sở hữu Booking là quyền gọi API nội bộ.</x:v>
      </x:c>
      <x:c r="H27" s="14" t="str">
        <x:v>High</x:v>
      </x:c>
      <x:c r="I27" s="14" t="str">
        <x:v>FR04–FR07; AC03</x:v>
      </x:c>
      <x:c r="J27" s="14" t="str">
        <x:v>POST /bookings/B1/dispatch</x:v>
      </x:c>
      <x:c r="K27" s="14" t="str">
        <x:v>Integration</x:v>
      </x:c>
      <x:c r="L27" s="14" t="str">
        <x:v>DEFINED</x:v>
      </x:c>
      <x:c r="M27" s="33"/>
      <x:c r="N27" s="33" t="str">
        <x:v>NOT_RUN</x:v>
      </x:c>
      <x:c r="O27" s="14" t="str">
        <x:v>Bổ sung theo thiết kế đã duyệt; chưa chạy kiểm thử. Tham chiếu: 03-dispatch driver-api.yaml. Đối chiếu bản API 1.2 trong cuộc trao đổi; không xác nhận trạng thái commit GitHub.</x:v>
      </x:c>
      <x:c r="P27" s="14" t="str">
        <x:v>R08</x:v>
      </x:c>
      <x:c r="Q27" s="14" t="str">
        <x:v>Request/response đã che token; dữ liệu trước/sau hoặc log kiểm tra có correlationId; môi trường, commit và thời gian chạy. Không ghi mật khẩu thật.</x:v>
      </x:c>
    </x:row>
    <x:row r="28" ht="104" customHeight="1">
      <x:c r="A28" s="14" t="str">
        <x:v>TC-DISPATCH-027</x:v>
      </x:c>
      <x:c r="B28" s="14" t="str">
        <x:v>Dispatch</x:v>
      </x:c>
      <x:c r="C28" s="14" t="str">
        <x:v>Tìm ít nhất 5 tài xế đủ điều kiện trong 1 km</x:v>
      </x:c>
      <x:c r="D28" s="14" t="str">
        <x:v>Fixture 5 tài xế STANDARD/PREMIUM/MOTORBIKE, ở các khoảng cách 100/250/400/650/900m; đều AVAILABLE/APPROVED/Account ACTIVE/xe ACTIVE/GPS mới; thêm một tài xế 1200m.</x:v>
      </x:c>
      <x:c r="E28" s="14" t="str">
        <x:v>1. Chuẩn bị fixture độc lập theo Preconditions.
2. GET /drivers/nearby với Test Data; lưu phản hồi và correlationId.
3. Đối chiếu từng điều kiện Expected Result với dữ liệu sau thao tác.</x:v>
      </x:c>
      <x:c r="F28" s="14" t="str">
        <x:v>latitude/longitude điểm chuẩn; radiusKm=1; limit=5</x:v>
      </x:c>
      <x:c r="G28" s="14" t="str">
        <x:v>200 có đúng 5 tài xế đủ điều kiện, nhiều loại xe, không có người 1200m; response không chứa tọa độ chính xác/phone/email/plate.</x:v>
      </x:c>
      <x:c r="H28" s="14" t="str">
        <x:v>High</x:v>
      </x:c>
      <x:c r="I28" s="14" t="str">
        <x:v>API 1.2; rubric liên kết</x:v>
      </x:c>
      <x:c r="J28" s="14" t="str">
        <x:v>GET /drivers/nearby</x:v>
      </x:c>
      <x:c r="K28" s="14" t="str">
        <x:v>Integration</x:v>
      </x:c>
      <x:c r="L28" s="14" t="str">
        <x:v>DEFINED</x:v>
      </x:c>
      <x:c r="M28" s="33"/>
      <x:c r="N28" s="33" t="str">
        <x:v>NOT_RUN</x:v>
      </x:c>
      <x:c r="O28" s="14" t="str">
        <x:v>Chưa chạy. Fixture giả trong môi trường kiểm thử cô lập.</x:v>
      </x:c>
      <x:c r="P28" s="14" t="str">
        <x:v>R13</x:v>
      </x:c>
      <x:c r="Q28" s="14" t="str">
        <x:v>Request/response đã che token; dữ liệu trước/sau hoặc log kiểm tra có correlationId; môi trường, commit và thời gian chạy. Không ghi mật khẩu thật.</x:v>
      </x:c>
    </x:row>
    <x:row r="29" ht="119" customHeight="1">
      <x:c r="A29" s="14" t="str">
        <x:v>TC-DISPATCH-028</x:v>
      </x:c>
      <x:c r="B29" s="14" t="str">
        <x:v>Dispatch</x:v>
      </x:c>
      <x:c r="C29" s="14" t="str">
        <x:v>Phân trang nearby giữ cùng snapshot</x:v>
      </x:c>
      <x:c r="D29" s="14" t="str">
        <x:v>Có 5 tài xế đủ điều kiện; đồng hồ kiểm soát để chưa hết snapshot.</x:v>
      </x:c>
      <x:c r="E29" s="14" t="str">
        <x:v>1. Chuẩn bị fixture độc lập theo Preconditions.
2. GET /drivers/nearby?limit=2 rồi dùng cursor với Test Data; lưu phản hồi và correlationId.
3. Đối chiếu từng điều kiện Expected Result với dữ liệu sau thao tác.</x:v>
      </x:c>
      <x:c r="F29" s="14" t="str">
        <x:v>Giữ nguyên tài khoản, tọa độ, radiusKm và limit</x:v>
      </x:c>
      <x:c r="G29" s="14" t="str">
        <x:v>Trang 2/2/1, cùng snapshotAt/expiresAt; thứ tự không đổi; không trùng hoặc thiếu ID.</x:v>
      </x:c>
      <x:c r="H29" s="14" t="str">
        <x:v>High</x:v>
      </x:c>
      <x:c r="I29" s="14" t="str">
        <x:v>API 1.2; rubric liên kết</x:v>
      </x:c>
      <x:c r="J29" s="14" t="str">
        <x:v>GET /drivers/nearby?limit=2 rồi dùng cursor</x:v>
      </x:c>
      <x:c r="K29" s="14" t="str">
        <x:v>Integration</x:v>
      </x:c>
      <x:c r="L29" s="14" t="str">
        <x:v>DEFINED</x:v>
      </x:c>
      <x:c r="M29" s="33"/>
      <x:c r="N29" s="33" t="str">
        <x:v>NOT_RUN</x:v>
      </x:c>
      <x:c r="O29" s="14" t="str">
        <x:v>Chưa chạy. Fixture giả trong môi trường kiểm thử cô lập.</x:v>
      </x:c>
      <x:c r="P29" s="14" t="str">
        <x:v>R13</x:v>
      </x:c>
      <x:c r="Q29" s="14" t="str">
        <x:v>Request/response đã che token; dữ liệu trước/sau hoặc log kiểm tra có correlationId; môi trường, commit và thời gian chạy. Không ghi mật khẩu thật.</x:v>
      </x:c>
    </x:row>
    <x:row r="30" ht="104" customHeight="1">
      <x:c r="A30" s="14" t="str">
        <x:v>TC-DISPATCH-029</x:v>
      </x:c>
      <x:c r="B30" s="14" t="str">
        <x:v>Dispatch</x:v>
      </x:c>
      <x:c r="C30" s="14" t="str">
        <x:v>Loại tài xế không đủ điều kiện khỏi nearby</x:v>
      </x:c>
      <x:c r="D30" s="14" t="str">
        <x:v>Các tài xế trong 1km; mỗi người sai đúng một điều kiện.</x:v>
      </x:c>
      <x:c r="E30" s="14" t="str">
        <x:v>1. Chuẩn bị fixture độc lập theo Preconditions.
2. GET /drivers/nearby với Test Data; lưu phản hồi và correlationId.
3. Đối chiếu từng điều kiện Expected Result với dữ liệu sau thao tác.</x:v>
      </x:c>
      <x:c r="F30" s="14" t="str">
        <x:v>OFFLINE, BUSY, chưa APPROVED, Account SUSPENDED, xe INACTIVE, GPS tuổi 31s; các lượt/ID tách biệt</x:v>
      </x:c>
      <x:c r="G30" s="14" t="str">
        <x:v>Không trả tài xế sai điều kiện. Không đếm họ để cố đủ 5 người; ít dữ liệu hợp lệ thì trả đúng số thực có.</x:v>
      </x:c>
      <x:c r="H30" s="14" t="str">
        <x:v>High</x:v>
      </x:c>
      <x:c r="I30" s="14" t="str">
        <x:v>API 1.2; rubric liên kết</x:v>
      </x:c>
      <x:c r="J30" s="14" t="str">
        <x:v>GET /drivers/nearby</x:v>
      </x:c>
      <x:c r="K30" s="14" t="str">
        <x:v>Integration</x:v>
      </x:c>
      <x:c r="L30" s="14" t="str">
        <x:v>DEFINED</x:v>
      </x:c>
      <x:c r="M30" s="33"/>
      <x:c r="N30" s="33" t="str">
        <x:v>NOT_RUN</x:v>
      </x:c>
      <x:c r="O30" s="14" t="str">
        <x:v>Chưa chạy. Fixture giả trong môi trường kiểm thử cô lập.</x:v>
      </x:c>
      <x:c r="P30" s="14" t="str">
        <x:v>R13</x:v>
      </x:c>
      <x:c r="Q30" s="14" t="str">
        <x:v>Request/response đã che token; dữ liệu trước/sau hoặc log kiểm tra có correlationId; môi trường, commit và thời gian chạy. Không ghi mật khẩu thật.</x:v>
      </x:c>
    </x:row>
    <x:row r="31" ht="104" customHeight="1">
      <x:c r="A31" s="14" t="str">
        <x:v>TC-DISPATCH-030</x:v>
      </x:c>
      <x:c r="B31" s="14" t="str">
        <x:v>Dispatch</x:v>
      </x:c>
      <x:c r="C31" s="14" t="str">
        <x:v>Lọc bán kính trước khi làm tròn khoảng cách</x:v>
      </x:c>
      <x:c r="D31" s="14" t="str">
        <x:v>D1 cách 999m và D2 cách 1001m; các điều kiện khác đúng.</x:v>
      </x:c>
      <x:c r="E31" s="14" t="str">
        <x:v>1. Chuẩn bị fixture độc lập theo Preconditions.
2. GET /drivers/nearby với Test Data; lưu phản hồi và correlationId.
3. Đối chiếu từng điều kiện Expected Result với dữ liệu sau thao tác.</x:v>
      </x:c>
      <x:c r="F31" s="14" t="str">
        <x:v>radiusKm=1; tọa độ fixture được tính/kiểm chứng độc lập</x:v>
      </x:c>
      <x:c r="G31" s="14" t="str">
        <x:v>D1 được trả, D2 bị loại dù khoảng cách hiển thị có thể cùng bậc 10m; không dùng số làm tròn để lọc.</x:v>
      </x:c>
      <x:c r="H31" s="14" t="str">
        <x:v>High</x:v>
      </x:c>
      <x:c r="I31" s="14" t="str">
        <x:v>API 1.2; rubric liên kết</x:v>
      </x:c>
      <x:c r="J31" s="14" t="str">
        <x:v>GET /drivers/nearby</x:v>
      </x:c>
      <x:c r="K31" s="14" t="str">
        <x:v>Integration</x:v>
      </x:c>
      <x:c r="L31" s="14" t="str">
        <x:v>DEFINED</x:v>
      </x:c>
      <x:c r="M31" s="33"/>
      <x:c r="N31" s="33" t="str">
        <x:v>NOT_RUN</x:v>
      </x:c>
      <x:c r="O31" s="14" t="str">
        <x:v>Chưa chạy. Fixture giả trong môi trường kiểm thử cô lập.</x:v>
      </x:c>
      <x:c r="P31" s="14" t="str">
        <x:v>R13</x:v>
      </x:c>
      <x:c r="Q31" s="14" t="str">
        <x:v>Request/response đã che token; dữ liệu trước/sau hoặc log kiểm tra có correlationId; môi trường, commit và thời gian chạy. Không ghi mật khẩu thật.</x:v>
      </x:c>
    </x:row>
    <x:row r="32" ht="104" customHeight="1">
      <x:c r="A32" s="14" t="str">
        <x:v>TC-DISPATCH-031</x:v>
      </x:c>
      <x:c r="B32" s="14" t="str">
        <x:v>Dispatch</x:v>
      </x:c>
      <x:c r="C32" s="14" t="str">
        <x:v>Cursor nearby hết hạn không tái truy vấn âm thầm</x:v>
      </x:c>
      <x:c r="D32" s="14" t="str">
        <x:v>Có cursor hết expiresAt; đồng hồ kiểm soát.</x:v>
      </x:c>
      <x:c r="E32" s="14" t="str">
        <x:v>1. Chuẩn bị fixture độc lập theo Preconditions.
2. GET /drivers/nearby với cursor với Test Data; lưu phản hồi và correlationId.
3. Đối chiếu từng điều kiện Expected Result với dữ liệu sau thao tác.</x:v>
      </x:c>
      <x:c r="F32" s="14" t="str">
        <x:v>serverTime vượt expiresAt</x:v>
      </x:c>
      <x:c r="G32" s="14" t="str">
        <x:v>400 CURSOR_EXPIRED; không tạo snapshot mới dưới cursor cũ.</x:v>
      </x:c>
      <x:c r="H32" s="14" t="str">
        <x:v>High</x:v>
      </x:c>
      <x:c r="I32" s="14" t="str">
        <x:v>API 1.2; rubric liên kết</x:v>
      </x:c>
      <x:c r="J32" s="14" t="str">
        <x:v>GET /drivers/nearby với cursor</x:v>
      </x:c>
      <x:c r="K32" s="14" t="str">
        <x:v>Integration</x:v>
      </x:c>
      <x:c r="L32" s="14" t="str">
        <x:v>DEFINED</x:v>
      </x:c>
      <x:c r="M32" s="33"/>
      <x:c r="N32" s="33" t="str">
        <x:v>NOT_RUN</x:v>
      </x:c>
      <x:c r="O32" s="14" t="str">
        <x:v>Chưa chạy. Fixture giả trong môi trường kiểm thử cô lập.</x:v>
      </x:c>
      <x:c r="P32" s="14" t="str">
        <x:v>R13</x:v>
      </x:c>
      <x:c r="Q32" s="14" t="str">
        <x:v>Request/response đã che token; dữ liệu trước/sau hoặc log kiểm tra có correlationId; môi trường, commit và thời gian chạy. Không ghi mật khẩu thật.</x:v>
      </x:c>
    </x:row>
    <x:row r="33" ht="104" customHeight="1">
      <x:c r="A33" s="14" t="str">
        <x:v>TC-DISPATCH-032</x:v>
      </x:c>
      <x:c r="B33" s="14" t="str">
        <x:v>Dispatch</x:v>
      </x:c>
      <x:c r="C33" s="14" t="str">
        <x:v>TripRequest hết hạn được xử lý bền vững khi đọc</x:v>
      </x:c>
      <x:c r="D33" s="14" t="str">
        <x:v>TripRequest Q1 lưu PENDING nhưng expiresAt đã qua.</x:v>
      </x:c>
      <x:c r="E33" s="14" t="str">
        <x:v>1. Chuẩn bị fixture độc lập theo Preconditions.
2. GET /trip-requests/Q1 với Test Data; lưu phản hồi và correlationId.
3. Đối chiếu từng điều kiện Expected Result với dữ liệu sau thao tác.</x:v>
      </x:c>
      <x:c r="F33" s="14" t="str">
        <x:v>JWT tài xế nhận Q1; storage sẵn sàng</x:v>
      </x:c>
      <x:c r="G33" s="14" t="str">
        <x:v>200 phản ánh trạng thái đã đóng đúng hợp đồng, cập nhật bền vững; không trình bày đề nghị còn nhận được. Storage không xử lý được thì 503 trong lượt lỗi riêng.</x:v>
      </x:c>
      <x:c r="H33" s="14" t="str">
        <x:v>High</x:v>
      </x:c>
      <x:c r="I33" s="14" t="str">
        <x:v>API 1.2; rubric liên kết</x:v>
      </x:c>
      <x:c r="J33" s="14" t="str">
        <x:v>GET /trip-requests/Q1</x:v>
      </x:c>
      <x:c r="K33" s="14" t="str">
        <x:v>Integration</x:v>
      </x:c>
      <x:c r="L33" s="14" t="str">
        <x:v>DEFINED</x:v>
      </x:c>
      <x:c r="M33" s="33"/>
      <x:c r="N33" s="33" t="str">
        <x:v>NOT_RUN</x:v>
      </x:c>
      <x:c r="O33" s="14" t="str">
        <x:v>Chưa chạy. Fixture giả trong môi trường kiểm thử cô lập.</x:v>
      </x:c>
      <x:c r="P33" s="14" t="str">
        <x:v>R15</x:v>
      </x:c>
      <x:c r="Q33" s="14" t="str">
        <x:v>Request/response đã che token; dữ liệu trước/sau hoặc log kiểm tra có correlationId; môi trường, commit và thời gian chạy. Không ghi mật khẩu thật.</x:v>
      </x:c>
    </x:row>
    <x:row r="34" ht="104" customHeight="1">
      <x:c r="A34" s="14" t="str">
        <x:v>TC-DISPATCH-033</x:v>
      </x:c>
      <x:c r="B34" s="14" t="str">
        <x:v>Dispatch</x:v>
      </x:c>
      <x:c r="C34" s="14" t="str">
        <x:v>Chặn chấp nhận chuyến sau khi khóa Account</x:v>
      </x:c>
      <x:c r="D34" s="14" t="str">
        <x:v>Q1 đang hợp lệ; O1 đã commit SUSPENDED tài khoản D1 và thu hồi session.</x:v>
      </x:c>
      <x:c r="E34" s="14" t="str">
        <x:v>1. Chuẩn bị fixture độc lập theo Preconditions.
2. POST /trip-requests/Q1/accept với Test Data; lưu phản hồi và correlationId.
3. Đối chiếu từng điều kiện Expected Result với dữ liệu sau thao tác.</x:v>
      </x:c>
      <x:c r="F34" s="14" t="str">
        <x:v>Dùng token cũ D1 sau commit khóa</x:v>
      </x:c>
      <x:c r="G34" s="14" t="str">
        <x:v>401 do session đã thu hồi; không Trip mới, không phân công hoặc thông báo DRIVER_ASSIGNED.</x:v>
      </x:c>
      <x:c r="H34" s="14" t="str">
        <x:v>High</x:v>
      </x:c>
      <x:c r="I34" s="14" t="str">
        <x:v>API 1.2; rubric liên kết</x:v>
      </x:c>
      <x:c r="J34" s="14" t="str">
        <x:v>POST /trip-requests/Q1/accept</x:v>
      </x:c>
      <x:c r="K34" s="14" t="str">
        <x:v>Integration</x:v>
      </x:c>
      <x:c r="L34" s="14" t="str">
        <x:v>DEFINED</x:v>
      </x:c>
      <x:c r="M34" s="33"/>
      <x:c r="N34" s="33" t="str">
        <x:v>NOT_RUN</x:v>
      </x:c>
      <x:c r="O34" s="14" t="str">
        <x:v>Chưa chạy. Fixture giả trong môi trường kiểm thử cô lập.</x:v>
      </x:c>
      <x:c r="P34" s="14" t="str">
        <x:v>R16</x:v>
      </x:c>
      <x:c r="Q34" s="14" t="str">
        <x:v>Request/response đã che token; dữ liệu trước/sau hoặc log kiểm tra có correlationId; môi trường, commit và thời gian chạy. Không ghi mật khẩu thật.</x:v>
      </x:c>
    </x:row>
  </x:sheetData>
  <x:conditionalFormatting sqref="L2:L27">
    <x:cfRule type="containsText" dxfId="12" priority="1" operator="containsText" text="NEEDS_DECISION"/>
  </x:conditionalFormatting>
  <x:conditionalFormatting sqref="N2:N27">
    <x:cfRule type="containsText" dxfId="13" priority="2" operator="containsText" text="FAIL"/>
    <x:cfRule type="containsText" dxfId="14" priority="3" operator="containsText" text="BLOCKED"/>
  </x:conditionalFormatting>
  <x:conditionalFormatting sqref="L2:L34">
    <x:cfRule type="containsText" dxfId="53" priority="4" operator="containsText" text="NEEDS_DECISION"/>
    <x:cfRule type="containsText" dxfId="54" priority="5" operator="containsText" text="OUT_OF_SCOPE"/>
    <x:cfRule type="containsText" dxfId="55" priority="6" operator="containsText" text="SUPERSEDED"/>
  </x:conditionalFormatting>
  <x:conditionalFormatting sqref="N2:N34">
    <x:cfRule type="containsText" dxfId="56" priority="7" operator="containsText" text="FAIL"/>
    <x:cfRule type="containsText" dxfId="57" priority="8" operator="containsText" text="BLOCKED"/>
  </x:conditionalFormatting>
  <x:dataValidations count="3">
    <x:dataValidation type="list" sqref="L2:L34">
      <x:formula1>"DEFINED,NEEDS_DECISION,OUT_OF_SCOPE,SUPERSEDED"</x:formula1>
    </x:dataValidation>
    <x:dataValidation type="list" sqref="N2:N34">
      <x:formula1>"NOT_RUN,PASS,FAIL,BLOCKED"</x:formula1>
    </x:dataValidation>
    <x:dataValidation type="list" sqref="K2:K34">
      <x:formula1>"API,Integration,UI,Performance,Review,Security"</x:formula1>
    </x:dataValidation>
  </x:dataValidations>
  <x:pageMargins left="0.7" right="0.7" top="0.75" bottom="0.75" header="0.3" footer="0.3"/>
  <x:tableParts count="1">
    <x:tablePart xmlns:r="http://schemas.openxmlformats.org/officeDocument/2006/relationships" r:id="R8032c1619a9d434f"/>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04" customHeight="1">
      <x:c r="A2" s="11" t="str">
        <x:v>TC-TRIPSTATUS-001</x:v>
      </x:c>
      <x:c r="B2" s="11" t="str">
        <x:v>Tài xế cập nhật trạng thái chuyến</x:v>
      </x:c>
      <x:c r="C2" s="11" t="str">
        <x:v>Cập nhật trạng thái Đã đến điểm đón thành công</x:v>
      </x:c>
      <x:c r="D2" s="11" t="str">
        <x:v>Chuyến đang ở trạng thái DRIVER_ASSIGNED Người gọi là Driver được gán; Account ACTIVE; version khớp.</x:v>
      </x:c>
      <x:c r="E2" s="11" t="str">
        <x:v>1. Chuẩn bị dữ liệu và trạng thái trong Preconditions.
2. Gọi PATCH /trips/{tripId}/status với Test Data.
3. Đối chiếu HTTP, nội dung phản hồi và trạng thái lưu trữ với Expected Result.</x:v>
      </x:c>
      <x:c r="F2" s="11" t="str">
        <x:v>tripId: TRP0001
tripStatus: ARRIVED_PICKUP
Idempotency-Key mới; expectedVersion lấy từ GET Trip hiện tại (trừ case thiếu/sai dữ liệu).</x:v>
      </x:c>
      <x:c r="G2" s="11" t="str">
        <x:v>Cập nhật thành công (200); trạng thái chuyển sang ARRIVED_PICKUP Tăng version đúng một lần; ghi lịch sử và timestamp phía máy chủ.</x:v>
      </x:c>
      <x:c r="H2" s="11" t="str">
        <x:v>High</x:v>
      </x:c>
      <x:c r="I2" s="14" t="str">
        <x:v>FR08; FR15; FR19; AC05; AC10</x:v>
      </x:c>
      <x:c r="J2" s="14" t="str">
        <x:v>PATCH /trips/{tripId}/status</x:v>
      </x:c>
      <x:c r="K2" s="14" t="str">
        <x:v>Integration</x:v>
      </x:c>
      <x:c r="L2" s="14" t="str">
        <x:v>DEFINED</x:v>
      </x:c>
      <x:c r="M2" s="33"/>
      <x:c r="N2" s="33" t="str">
        <x:v>NOT_RUN</x:v>
      </x:c>
      <x:c r="O2" s="14" t="str">
        <x:v>Hợp đồng tham chiếu: 04-trip-api.yaml. Chưa chạy kiểm thử. Đối chiếu bản API 1.2 trong cuộc trao đổi; không xác nhận trạng thái commit GitHub.</x:v>
      </x:c>
      <x:c r="P2" s="14" t="str">
        <x:v>R17</x:v>
      </x:c>
      <x:c r="Q2" s="14" t="str">
        <x:v>Request/response đã che token; dữ liệu trước/sau hoặc log kiểm tra có correlationId; môi trường, commit và thời gian chạy. Không ghi mật khẩu thật.</x:v>
      </x:c>
    </x:row>
    <x:row r="3" ht="104" customHeight="1">
      <x:c r="A3" s="11" t="str">
        <x:v>TC-TRIPSTATUS-002</x:v>
      </x:c>
      <x:c r="B3" s="11" t="str">
        <x:v>Tài xế cập nhật trạng thái chuyến</x:v>
      </x:c>
      <x:c r="C3" s="11" t="str">
        <x:v>Cập nhật trạng thái Đã đón khách thành công</x:v>
      </x:c>
      <x:c r="D3" s="11" t="str">
        <x:v>Chuyến đang ở trạng thái ARRIVED_PICKUP Người gọi là Driver được gán; Account ACTIVE; version khớp.</x:v>
      </x:c>
      <x:c r="E3" s="11" t="str">
        <x:v>1. Chuẩn bị dữ liệu và trạng thái trong Preconditions.
2. Gọi PATCH /trips/{tripId}/status với Test Data.
3. Đối chiếu HTTP, nội dung phản hồi và trạng thái lưu trữ với Expected Result.</x:v>
      </x:c>
      <x:c r="F3" s="11" t="str">
        <x:v>tripId: TRP0001
tripStatus: PICKED_UP
Idempotency-Key mới; expectedVersion lấy từ GET Trip hiện tại (trừ case thiếu/sai dữ liệu).</x:v>
      </x:c>
      <x:c r="G3" s="11" t="str">
        <x:v>Cập nhật thành công; trạng thái chuyển sang PICKED_UP Tăng version đúng một lần; ghi lịch sử và timestamp phía máy chủ.</x:v>
      </x:c>
      <x:c r="H3" s="11" t="str">
        <x:v>High</x:v>
      </x:c>
      <x:c r="I3" s="14" t="str">
        <x:v>FR08; FR15; FR19; AC05; AC10</x:v>
      </x:c>
      <x:c r="J3" s="14" t="str">
        <x:v>PATCH /trips/{tripId}/status</x:v>
      </x:c>
      <x:c r="K3" s="14" t="str">
        <x:v>Integration</x:v>
      </x:c>
      <x:c r="L3" s="14" t="str">
        <x:v>DEFINED</x:v>
      </x:c>
      <x:c r="M3" s="33"/>
      <x:c r="N3" s="33" t="str">
        <x:v>NOT_RUN</x:v>
      </x:c>
      <x:c r="O3" s="14" t="str">
        <x:v>Hợp đồng tham chiếu: 04-trip-api.yaml. Chưa chạy kiểm thử. Đối chiếu bản API 1.2 trong cuộc trao đổi; không xác nhận trạng thái commit GitHub.</x:v>
      </x:c>
      <x:c r="P3" s="14" t="str">
        <x:v>R17</x:v>
      </x:c>
      <x:c r="Q3" s="14" t="str">
        <x:v>Request/response đã che token; dữ liệu trước/sau hoặc log kiểm tra có correlationId; môi trường, commit và thời gian chạy. Không ghi mật khẩu thật.</x:v>
      </x:c>
    </x:row>
    <x:row r="4" ht="104" customHeight="1">
      <x:c r="A4" s="11" t="str">
        <x:v>TC-TRIPSTATUS-003</x:v>
      </x:c>
      <x:c r="B4" s="11" t="str">
        <x:v>Tài xế cập nhật trạng thái chuyến</x:v>
      </x:c>
      <x:c r="C4" s="11" t="str">
        <x:v>Cập nhật trạng thái Đang di chuyển thành công</x:v>
      </x:c>
      <x:c r="D4" s="11" t="str">
        <x:v>Chuyến đang ở trạng thái PICKED_UP Người gọi là Driver được gán; Account ACTIVE; version khớp.</x:v>
      </x:c>
      <x:c r="E4" s="11" t="str">
        <x:v>1. Chuẩn bị dữ liệu và trạng thái trong Preconditions.
2. Gọi PATCH /trips/{tripId}/status với Test Data.
3. Đối chiếu HTTP, nội dung phản hồi và trạng thái lưu trữ với Expected Result.</x:v>
      </x:c>
      <x:c r="F4" s="11" t="str">
        <x:v>tripId: TRP0001
tripStatus: IN_PROGRESS
Idempotency-Key mới; expectedVersion lấy từ GET Trip hiện tại (trừ case thiếu/sai dữ liệu).</x:v>
      </x:c>
      <x:c r="G4" s="11" t="str">
        <x:v>Cập nhật thành công; trạng thái chuyển sang IN_PROGRESS Tăng version đúng một lần; ghi lịch sử và timestamp phía máy chủ.</x:v>
      </x:c>
      <x:c r="H4" s="11" t="str">
        <x:v>High</x:v>
      </x:c>
      <x:c r="I4" s="14" t="str">
        <x:v>FR08; FR15; FR19; AC05; AC10</x:v>
      </x:c>
      <x:c r="J4" s="14" t="str">
        <x:v>PATCH /trips/{tripId}/status</x:v>
      </x:c>
      <x:c r="K4" s="14" t="str">
        <x:v>Integration</x:v>
      </x:c>
      <x:c r="L4" s="14" t="str">
        <x:v>DEFINED</x:v>
      </x:c>
      <x:c r="M4" s="33"/>
      <x:c r="N4" s="33" t="str">
        <x:v>NOT_RUN</x:v>
      </x:c>
      <x:c r="O4" s="14" t="str">
        <x:v>Hợp đồng tham chiếu: 04-trip-api.yaml. Chưa chạy kiểm thử. Đối chiếu bản API 1.2 trong cuộc trao đổi; không xác nhận trạng thái commit GitHub.</x:v>
      </x:c>
      <x:c r="P4" s="14" t="str">
        <x:v>R17</x:v>
      </x:c>
      <x:c r="Q4" s="14" t="str">
        <x:v>Request/response đã che token; dữ liệu trước/sau hoặc log kiểm tra có correlationId; môi trường, commit và thời gian chạy. Không ghi mật khẩu thật.</x:v>
      </x:c>
    </x:row>
    <x:row r="5" ht="104" customHeight="1">
      <x:c r="A5" s="11" t="str">
        <x:v>TC-TRIPSTATUS-004</x:v>
      </x:c>
      <x:c r="B5" s="11" t="str">
        <x:v>Tài xế cập nhật trạng thái chuyến</x:v>
      </x:c>
      <x:c r="C5" s="11" t="str">
        <x:v>Cập nhật trạng thái Hoàn thành chuyến thành công</x:v>
      </x:c>
      <x:c r="D5" s="11" t="str">
        <x:v>T1 IN_PROGRESS; Driver D1 được gán; dữ liệu hành trình hợp lệ.</x:v>
      </x:c>
      <x:c r="E5" s="11" t="str">
        <x:v>1. Chuẩn bị dữ liệu và trạng thái trong Preconditions.
2. Gọi PATCH /trips/{tripId}/status với Test Data.
3. Đối chiếu HTTP, nội dung phản hồi và trạng thái lưu trữ với Expected Result.</x:v>
      </x:c>
      <x:c r="F5" s="11" t="str">
        <x:v>{"tripStatus":"COMPLETED","expectedVersion":4}; Idempotency-Key=complete-T1.</x:v>
      </x:c>
      <x:c r="G5" s="11" t="str">
        <x:v>200; COMPLETED; completedAt và closedAt được ghi; kích hoạt tính cước; giải phóng Driver theo điều kiện hoạt động; không tự xác nhận Payment SUCCESS.</x:v>
      </x:c>
      <x:c r="H5" s="11" t="str">
        <x:v>High</x:v>
      </x:c>
      <x:c r="I5" s="14" t="str">
        <x:v>FR08; FR15; FR19; AC05; AC10</x:v>
      </x:c>
      <x:c r="J5" s="14" t="str">
        <x:v>PATCH /trips/{tripId}/status</x:v>
      </x:c>
      <x:c r="K5" s="14" t="str">
        <x:v>Integration</x:v>
      </x:c>
      <x:c r="L5" s="14" t="str">
        <x:v>DEFINED</x:v>
      </x:c>
      <x:c r="M5" s="33"/>
      <x:c r="N5" s="33" t="str">
        <x:v>NOT_RUN</x:v>
      </x:c>
      <x:c r="O5" s="14" t="str">
        <x:v>Hợp đồng tham chiếu: 04-trip-api.yaml. Chưa chạy kiểm thử. Đối chiếu bản API 1.2 trong cuộc trao đổi; không xác nhận trạng thái commit GitHub.</x:v>
      </x:c>
      <x:c r="P5" s="14" t="str">
        <x:v>R17</x:v>
      </x:c>
      <x:c r="Q5" s="14" t="str">
        <x:v>Request/response đã che token; dữ liệu trước/sau hoặc log kiểm tra có correlationId; môi trường, commit và thời gian chạy. Không ghi mật khẩu thật.</x:v>
      </x:c>
    </x:row>
    <x:row r="6" ht="104" customHeight="1">
      <x:c r="A6" s="11" t="str">
        <x:v>TC-TRIPSTATUS-005</x:v>
      </x:c>
      <x:c r="B6" s="11" t="str">
        <x:v>Tài xế cập nhật trạng thái chuyến</x:v>
      </x:c>
      <x:c r="C6" s="11" t="str">
        <x:v>Cập nhật trạng thái Đã đón khách khi bỏ qua bước Đã đến điểm đón</x:v>
      </x:c>
      <x:c r="D6" s="11" t="str">
        <x:v>Chuyến đang ở trạng thái DRIVER_ASSIGNED (chưa qua ARRIVED_PICKUP)</x:v>
      </x:c>
      <x:c r="E6" s="11" t="str">
        <x:v>1. Chuẩn bị dữ liệu và trạng thái trong Preconditions.
2. Gọi PATCH /trips/{tripId}/status với Test Data.
3. Đối chiếu HTTP, nội dung phản hồi và trạng thái lưu trữ với Expected Result.</x:v>
      </x:c>
      <x:c r="F6" s="11" t="str">
        <x:v>tripId: TRP0002
tripStatus: PICKED_UP
Idempotency-Key mới; expectedVersion lấy từ GET Trip hiện tại (trừ case thiếu/sai dữ liệu).</x:v>
      </x:c>
      <x:c r="G6" s="11" t="str">
        <x:v>409; giá trị trạng thái thuộc enum nhưng chuyển trạng thái không hợp lệ; dữ liệu/version/lịch sử giữ nguyên.</x:v>
      </x:c>
      <x:c r="H6" s="11" t="str">
        <x:v>High</x:v>
      </x:c>
      <x:c r="I6" s="14" t="str">
        <x:v>FR08; FR15; FR19; AC05; AC10</x:v>
      </x:c>
      <x:c r="J6" s="14" t="str">
        <x:v>PATCH /trips/{tripId}/status</x:v>
      </x:c>
      <x:c r="K6" s="14" t="str">
        <x:v>Integration</x:v>
      </x:c>
      <x:c r="L6" s="14" t="str">
        <x:v>DEFINED</x:v>
      </x:c>
      <x:c r="M6" s="33"/>
      <x:c r="N6" s="33" t="str">
        <x:v>NOT_RUN</x:v>
      </x:c>
      <x:c r="O6" s="14" t="str">
        <x:v>Hợp đồng tham chiếu: 04-trip-api.yaml. Chưa chạy kiểm thử. Đối chiếu bản API 1.2 trong cuộc trao đổi; không xác nhận trạng thái commit GitHub.</x:v>
      </x:c>
      <x:c r="P6" s="14" t="str">
        <x:v>R17</x:v>
      </x:c>
      <x:c r="Q6" s="14" t="str">
        <x:v>Request/response đã che token; dữ liệu trước/sau hoặc log kiểm tra có correlationId; môi trường, commit và thời gian chạy. Không ghi mật khẩu thật.</x:v>
      </x:c>
    </x:row>
    <x:row r="7" ht="104" customHeight="1">
      <x:c r="A7" s="11" t="str">
        <x:v>TC-TRIPSTATUS-006</x:v>
      </x:c>
      <x:c r="B7" s="11" t="str">
        <x:v>Tài xế cập nhật trạng thái chuyến</x:v>
      </x:c>
      <x:c r="C7" s="11" t="str">
        <x:v>Cập nhật trạng thái Hoàn thành khi chưa Đang di chuyển</x:v>
      </x:c>
      <x:c r="D7" s="11" t="str">
        <x:v>Chuyến đang ở trạng thái PICKED_UP (chưa qua IN_PROGRESS)</x:v>
      </x:c>
      <x:c r="E7" s="11" t="str">
        <x:v>1. Chuẩn bị dữ liệu và trạng thái trong Preconditions.
2. Gọi PATCH /trips/{tripId}/status với Test Data.
3. Đối chiếu HTTP, nội dung phản hồi và trạng thái lưu trữ với Expected Result.</x:v>
      </x:c>
      <x:c r="F7" s="11" t="str">
        <x:v>tripId: TRP0002
tripStatus: COMPLETED
Idempotency-Key mới; expectedVersion lấy từ GET Trip hiện tại (trừ case thiếu/sai dữ liệu).</x:v>
      </x:c>
      <x:c r="G7" s="11" t="str">
        <x:v>409; giá trị trạng thái thuộc enum nhưng chuyển trạng thái không hợp lệ; dữ liệu/version/lịch sử giữ nguyên.</x:v>
      </x:c>
      <x:c r="H7" s="11" t="str">
        <x:v>High</x:v>
      </x:c>
      <x:c r="I7" s="14" t="str">
        <x:v>FR08; FR15; FR19; AC05; AC10</x:v>
      </x:c>
      <x:c r="J7" s="14" t="str">
        <x:v>PATCH /trips/{tripId}/status</x:v>
      </x:c>
      <x:c r="K7" s="14" t="str">
        <x:v>Integration</x:v>
      </x:c>
      <x:c r="L7" s="14" t="str">
        <x:v>DEFINED</x:v>
      </x:c>
      <x:c r="M7" s="33"/>
      <x:c r="N7" s="33" t="str">
        <x:v>NOT_RUN</x:v>
      </x:c>
      <x:c r="O7" s="14" t="str">
        <x:v>Hợp đồng tham chiếu: 04-trip-api.yaml. Chưa chạy kiểm thử. Đối chiếu bản API 1.2 trong cuộc trao đổi; không xác nhận trạng thái commit GitHub.</x:v>
      </x:c>
      <x:c r="P7" s="14" t="str">
        <x:v>R17</x:v>
      </x:c>
      <x:c r="Q7" s="14" t="str">
        <x:v>Request/response đã che token; dữ liệu trước/sau hoặc log kiểm tra có correlationId; môi trường, commit và thời gian chạy. Không ghi mật khẩu thật.</x:v>
      </x:c>
    </x:row>
    <x:row r="8" ht="104" customHeight="1">
      <x:c r="A8" s="11" t="str">
        <x:v>TC-TRIPSTATUS-007</x:v>
      </x:c>
      <x:c r="B8" s="11" t="str">
        <x:v>Tài xế cập nhật trạng thái chuyến</x:v>
      </x:c>
      <x:c r="C8" s="11" t="str">
        <x:v>Tài xế cập nhật trạng thái cho chuyến không thuộc về mình</x:v>
      </x:c>
      <x:c r="D8" s="11" t="str">
        <x:v>Chuyến TRP0003 được phân công cho tài xế M, không phải tài xế N</x:v>
      </x:c>
      <x:c r="E8" s="11" t="str">
        <x:v>1. Chuẩn bị dữ liệu và trạng thái trong Preconditions.
2. Gọi PATCH /trips/{tripId}/status với Test Data.
3. Đối chiếu HTTP, nội dung phản hồi và trạng thái lưu trữ với Expected Result.</x:v>
      </x:c>
      <x:c r="F8" s="11" t="str">
        <x:v>Token của tài xế N; tripId: TRP0003 (thuộc M)
Idempotency-Key mới; expectedVersion lấy từ GET Trip hiện tại (trừ case thiếu/sai dữ liệu).</x:v>
      </x:c>
      <x:c r="G8" s="11" t="str">
        <x:v>404; đối tượng không thuộc phạm vi của người gọi. Không tiết lộ dữ liệu và không thay đổi đối tượng. Dùng cùng phản hồi với ID không tồn tại.</x:v>
      </x:c>
      <x:c r="H8" s="11" t="str">
        <x:v>High</x:v>
      </x:c>
      <x:c r="I8" s="14" t="str">
        <x:v>FR08; FR15; FR19; AC05; AC10</x:v>
      </x:c>
      <x:c r="J8" s="14" t="str">
        <x:v>PATCH /trips/{tripId}/status</x:v>
      </x:c>
      <x:c r="K8" s="14" t="str">
        <x:v>Integration</x:v>
      </x:c>
      <x:c r="L8" s="14" t="str">
        <x:v>DEFINED</x:v>
      </x:c>
      <x:c r="M8" s="33"/>
      <x:c r="N8" s="33" t="str">
        <x:v>NOT_RUN</x:v>
      </x:c>
      <x:c r="O8" s="14" t="str">
        <x:v>Hợp đồng tham chiếu: 04-trip-api.yaml. Chưa chạy kiểm thử. Đối chiếu bản API 1.2 trong cuộc trao đổi; không xác nhận trạng thái commit GitHub.</x:v>
      </x:c>
      <x:c r="P8" s="14" t="str">
        <x:v>R17</x:v>
      </x:c>
      <x:c r="Q8" s="14" t="str">
        <x:v>Request/response đã che token; dữ liệu trước/sau hoặc log kiểm tra có correlationId; môi trường, commit và thời gian chạy. Không ghi mật khẩu thật.</x:v>
      </x:c>
    </x:row>
    <x:row r="9" ht="104" customHeight="1">
      <x:c r="A9" s="11" t="str">
        <x:v>TC-TRIPSTATUS-008</x:v>
      </x:c>
      <x:c r="B9" s="11" t="str">
        <x:v>Tài xế cập nhật trạng thái chuyến</x:v>
      </x:c>
      <x:c r="C9" s="11" t="str">
        <x:v>Cập nhật trạng thái với tripId không tồn tại</x:v>
      </x:c>
      <x:c r="D9" s="11" t="str">
        <x:v>Tài xế đã đăng nhập</x:v>
      </x:c>
      <x:c r="E9" s="11" t="str">
        <x:v>1. Chuẩn bị dữ liệu và trạng thái trong Preconditions.
2. Gọi PATCH /trips/{tripId}/status với Test Data.
3. Đối chiếu HTTP, nội dung phản hồi và trạng thái lưu trữ với Expected Result.</x:v>
      </x:c>
      <x:c r="F9" s="11" t="str">
        <x:v>tripId: TRP9999
Idempotency-Key mới; expectedVersion lấy từ GET Trip hiện tại (trừ case thiếu/sai dữ liệu).</x:v>
      </x:c>
      <x:c r="G9" s="11" t="str">
        <x:v>API trả lỗi 404 Not Found</x:v>
      </x:c>
      <x:c r="H9" s="11" t="str">
        <x:v>Medium</x:v>
      </x:c>
      <x:c r="I9" s="14" t="str">
        <x:v>FR08; FR15; FR19; AC05; AC10</x:v>
      </x:c>
      <x:c r="J9" s="14" t="str">
        <x:v>PATCH /trips/{tripId}/status</x:v>
      </x:c>
      <x:c r="K9" s="14" t="str">
        <x:v>Integration</x:v>
      </x:c>
      <x:c r="L9" s="14" t="str">
        <x:v>DEFINED</x:v>
      </x:c>
      <x:c r="M9" s="33"/>
      <x:c r="N9" s="33" t="str">
        <x:v>NOT_RUN</x:v>
      </x:c>
      <x:c r="O9" s="14" t="str">
        <x:v>Hợp đồng tham chiếu: 04-trip-api.yaml. Chưa chạy kiểm thử. Đối chiếu bản API 1.2 trong cuộc trao đổi; không xác nhận trạng thái commit GitHub.</x:v>
      </x:c>
      <x:c r="P9" s="14" t="str">
        <x:v>R17</x:v>
      </x:c>
      <x:c r="Q9" s="14" t="str">
        <x:v>Request/response đã che token; dữ liệu trước/sau hoặc log kiểm tra có correlationId; môi trường, commit và thời gian chạy. Không ghi mật khẩu thật.</x:v>
      </x:c>
    </x:row>
    <x:row r="10" ht="104" customHeight="1">
      <x:c r="A10" s="11" t="str">
        <x:v>TC-TRIPSTATUS-009</x:v>
      </x:c>
      <x:c r="B10" s="11" t="str">
        <x:v>Tài xế cập nhật trạng thái chuyến</x:v>
      </x:c>
      <x:c r="C10" s="11" t="str">
        <x:v>Cập nhật trạng thái cho chuyến đã COMPLETED</x:v>
      </x:c>
      <x:c r="D10" s="11" t="str">
        <x:v>Chuyến TRP0004 đã ở trạng thái COMPLETED</x:v>
      </x:c>
      <x:c r="E10" s="11" t="str">
        <x:v>1. Chuẩn bị dữ liệu và trạng thái trong Preconditions.
2. Gọi PATCH /trips/{tripId}/status với Test Data.
3. Đối chiếu HTTP, nội dung phản hồi và trạng thái lưu trữ với Expected Result.</x:v>
      </x:c>
      <x:c r="F10" s="11" t="str">
        <x:v>tripId: TRP0004
tripStatus: IN_PROGRESS
Idempotency-Key mới; expectedVersion lấy từ GET Trip hiện tại (trừ case thiếu/sai dữ liệu).</x:v>
      </x:c>
      <x:c r="G10" s="11" t="str">
        <x:v>409; giá trị trạng thái thuộc enum nhưng chuyển trạng thái không hợp lệ; dữ liệu/version/lịch sử giữ nguyên.</x:v>
      </x:c>
      <x:c r="H10" s="11" t="str">
        <x:v>Medium</x:v>
      </x:c>
      <x:c r="I10" s="14" t="str">
        <x:v>FR08; FR15; FR19; AC05; AC10</x:v>
      </x:c>
      <x:c r="J10" s="14" t="str">
        <x:v>PATCH /trips/{tripId}/status</x:v>
      </x:c>
      <x:c r="K10" s="14" t="str">
        <x:v>Integration</x:v>
      </x:c>
      <x:c r="L10" s="14" t="str">
        <x:v>DEFINED</x:v>
      </x:c>
      <x:c r="M10" s="33"/>
      <x:c r="N10" s="33" t="str">
        <x:v>NOT_RUN</x:v>
      </x:c>
      <x:c r="O10" s="14" t="str">
        <x:v>Hợp đồng tham chiếu: 04-trip-api.yaml. Chưa chạy kiểm thử. Đối chiếu bản API 1.2 trong cuộc trao đổi; không xác nhận trạng thái commit GitHub.</x:v>
      </x:c>
      <x:c r="P10" s="14" t="str">
        <x:v>R17</x:v>
      </x:c>
      <x:c r="Q10" s="14" t="str">
        <x:v>Request/response đã che token; dữ liệu trước/sau hoặc log kiểm tra có correlationId; môi trường, commit và thời gian chạy. Không ghi mật khẩu thật.</x:v>
      </x:c>
    </x:row>
    <x:row r="11" ht="104" customHeight="1">
      <x:c r="A11" s="11" t="str">
        <x:v>TC-TRIPSTATUS-010</x:v>
      </x:c>
      <x:c r="B11" s="11" t="str">
        <x:v>Tài xế cập nhật trạng thái chuyến</x:v>
      </x:c>
      <x:c r="C11" s="11" t="str">
        <x:v>Cập nhật trạng thái cho chuyến đã bị CANCELLED</x:v>
      </x:c>
      <x:c r="D11" s="11" t="str">
        <x:v>Chuyến TRP0005 đã ở trạng thái CANCELLED</x:v>
      </x:c>
      <x:c r="E11" s="11" t="str">
        <x:v>1. Chuẩn bị dữ liệu và trạng thái trong Preconditions.
2. Gọi PATCH /trips/{tripId}/status với Test Data.
3. Đối chiếu HTTP, nội dung phản hồi và trạng thái lưu trữ với Expected Result.</x:v>
      </x:c>
      <x:c r="F11" s="11" t="str">
        <x:v>tripId: TRP0005
tripStatus: ARRIVED_PICKUP
Idempotency-Key mới; expectedVersion lấy từ GET Trip hiện tại (trừ case thiếu/sai dữ liệu).</x:v>
      </x:c>
      <x:c r="G11" s="11" t="str">
        <x:v>409; giá trị trạng thái thuộc enum nhưng chuyển trạng thái không hợp lệ; dữ liệu/version/lịch sử giữ nguyên.</x:v>
      </x:c>
      <x:c r="H11" s="11" t="str">
        <x:v>Medium</x:v>
      </x:c>
      <x:c r="I11" s="14" t="str">
        <x:v>FR08; FR15; FR19; AC05; AC10</x:v>
      </x:c>
      <x:c r="J11" s="14" t="str">
        <x:v>PATCH /trips/{tripId}/status</x:v>
      </x:c>
      <x:c r="K11" s="14" t="str">
        <x:v>Integration</x:v>
      </x:c>
      <x:c r="L11" s="14" t="str">
        <x:v>DEFINED</x:v>
      </x:c>
      <x:c r="M11" s="33"/>
      <x:c r="N11" s="33" t="str">
        <x:v>NOT_RUN</x:v>
      </x:c>
      <x:c r="O11" s="14" t="str">
        <x:v>Hợp đồng tham chiếu: 04-trip-api.yaml. Chưa chạy kiểm thử. Đối chiếu bản API 1.2 trong cuộc trao đổi; không xác nhận trạng thái commit GitHub.</x:v>
      </x:c>
      <x:c r="P11" s="14" t="str">
        <x:v>R17</x:v>
      </x:c>
      <x:c r="Q11" s="14" t="str">
        <x:v>Request/response đã che token; dữ liệu trước/sau hoặc log kiểm tra có correlationId; môi trường, commit và thời gian chạy. Không ghi mật khẩu thật.</x:v>
      </x:c>
    </x:row>
    <x:row r="12" ht="104" customHeight="1">
      <x:c r="A12" s="11" t="str">
        <x:v>TC-TRIPSTATUS-011</x:v>
      </x:c>
      <x:c r="B12" s="11" t="str">
        <x:v>Tài xế cập nhật trạng thái chuyến</x:v>
      </x:c>
      <x:c r="C12" s="11" t="str">
        <x:v>Không trộn GPS vào request đổi trạng thái</x:v>
      </x:c>
      <x:c r="D12" s="11" t="str">
        <x:v>T1 DRIVER_ASSIGNED; Driver D1; version khớp.</x:v>
      </x:c>
      <x:c r="E12" s="11" t="str">
        <x:v>1. Chuẩn bị dữ liệu và trạng thái trong Preconditions.
2. Gọi PATCH /trips/{tripId}/status với Test Data.
3. Đối chiếu HTTP, nội dung phản hồi và trạng thái lưu trữ với Expected Result.</x:v>
      </x:c>
      <x:c r="F12" s="11" t="str">
        <x:v>{"tripStatus":"ARRIVED_PICKUP","expectedVersion":1,"location":{"lat":10.7,"lng":106.7}}; khóa mới.</x:v>
      </x:c>
      <x:c r="G12" s="11" t="str">
        <x:v>400 vì location ngoài schema; cập nhật GPS phải qua PUT /drivers/me/location.</x:v>
      </x:c>
      <x:c r="H12" s="11" t="str">
        <x:v>Medium</x:v>
      </x:c>
      <x:c r="I12" s="14" t="str">
        <x:v>FR08; FR15; FR19; AC05; AC10</x:v>
      </x:c>
      <x:c r="J12" s="14" t="str">
        <x:v>PATCH /trips/{tripId}/status</x:v>
      </x:c>
      <x:c r="K12" s="14" t="str">
        <x:v>Integration</x:v>
      </x:c>
      <x:c r="L12" s="14" t="str">
        <x:v>DEFINED</x:v>
      </x:c>
      <x:c r="M12" s="33"/>
      <x:c r="N12" s="33" t="str">
        <x:v>NOT_RUN</x:v>
      </x:c>
      <x:c r="O12" s="14" t="str">
        <x:v>Hợp đồng tham chiếu: 04-trip-api.yaml. Chưa chạy kiểm thử. Đối chiếu bản API 1.2 trong cuộc trao đổi; không xác nhận trạng thái commit GitHub.</x:v>
      </x:c>
      <x:c r="P12" s="14" t="str">
        <x:v>R17</x:v>
      </x:c>
      <x:c r="Q12" s="14" t="str">
        <x:v>Request/response đã che token; dữ liệu trước/sau hoặc log kiểm tra có correlationId; môi trường, commit và thời gian chạy. Không ghi mật khẩu thật.</x:v>
      </x:c>
    </x:row>
    <x:row r="13" ht="104" customHeight="1">
      <x:c r="A13" s="11" t="str">
        <x:v>TC-TRIPSTATUS-012</x:v>
      </x:c>
      <x:c r="B13" s="11" t="str">
        <x:v>Tài xế cập nhật trạng thái chuyến</x:v>
      </x:c>
      <x:c r="C13" s="11" t="str">
        <x:v>Cập nhật trạng thái với giá trị status không hợp lệ</x:v>
      </x:c>
      <x:c r="D13" s="11" t="str">
        <x:v>Chuyến đang trong quá trình thực hiện</x:v>
      </x:c>
      <x:c r="E13" s="11" t="str">
        <x:v>1. Chuẩn bị dữ liệu và trạng thái trong Preconditions.
2. Gọi PATCH /trips/{tripId}/status với Test Data.
3. Đối chiếu HTTP, nội dung phản hồi và trạng thái lưu trữ với Expected Result.</x:v>
      </x:c>
      <x:c r="F13" s="11" t="str">
        <x:v>tripStatus: DRIVER_RESTING
Idempotency-Key mới; expectedVersion lấy từ GET Trip hiện tại (trừ case thiếu/sai dữ liệu).</x:v>
      </x:c>
      <x:c r="G13" s="11" t="str">
        <x:v>API trả lỗi validation (400)</x:v>
      </x:c>
      <x:c r="H13" s="11" t="str">
        <x:v>Medium</x:v>
      </x:c>
      <x:c r="I13" s="14" t="str">
        <x:v>FR08; FR15; FR19; AC05; AC10</x:v>
      </x:c>
      <x:c r="J13" s="14" t="str">
        <x:v>PATCH /trips/{tripId}/status</x:v>
      </x:c>
      <x:c r="K13" s="14" t="str">
        <x:v>Integration</x:v>
      </x:c>
      <x:c r="L13" s="14" t="str">
        <x:v>DEFINED</x:v>
      </x:c>
      <x:c r="M13" s="33"/>
      <x:c r="N13" s="33" t="str">
        <x:v>NOT_RUN</x:v>
      </x:c>
      <x:c r="O13" s="14" t="str">
        <x:v>Hợp đồng tham chiếu: 04-trip-api.yaml. Chưa chạy kiểm thử. Đối chiếu bản API 1.2 trong cuộc trao đổi; không xác nhận trạng thái commit GitHub.</x:v>
      </x:c>
      <x:c r="P13" s="14" t="str">
        <x:v>R17</x:v>
      </x:c>
      <x:c r="Q13" s="14" t="str">
        <x:v>Request/response đã che token; dữ liệu trước/sau hoặc log kiểm tra có correlationId; môi trường, commit và thời gian chạy. Không ghi mật khẩu thật.</x:v>
      </x:c>
    </x:row>
    <x:row r="14" ht="104" customHeight="1">
      <x:c r="A14" s="11" t="str">
        <x:v>TC-TRIPSTATUS-013</x:v>
      </x:c>
      <x:c r="B14" s="11" t="str">
        <x:v>Tài xế cập nhật trạng thái chuyến</x:v>
      </x:c>
      <x:c r="C14" s="11" t="str">
        <x:v>Thiếu tripStatus bị từ chối</x:v>
      </x:c>
      <x:c r="D14" s="11" t="str">
        <x:v>Driver được gán; Trip hoạt động.</x:v>
      </x:c>
      <x:c r="E14" s="11" t="str">
        <x:v>1. Chuẩn bị dữ liệu và trạng thái trong Preconditions.
2. Gọi PATCH /trips/{tripId}/status với Test Data.
3. Đối chiếu HTTP, nội dung phản hồi và trạng thái lưu trữ với Expected Result.</x:v>
      </x:c>
      <x:c r="F14" s="11" t="str">
        <x:v>{"expectedVersion":1}; Idempotency-Key=missing-state.</x:v>
      </x:c>
      <x:c r="G14" s="11" t="str">
        <x:v>400; không thay đổi Trip.</x:v>
      </x:c>
      <x:c r="H14" s="11" t="str">
        <x:v>Medium</x:v>
      </x:c>
      <x:c r="I14" s="14" t="str">
        <x:v>FR08; FR15; FR19; AC05; AC10</x:v>
      </x:c>
      <x:c r="J14" s="14" t="str">
        <x:v>PATCH /trips/{tripId}/status</x:v>
      </x:c>
      <x:c r="K14" s="14" t="str">
        <x:v>Integration</x:v>
      </x:c>
      <x:c r="L14" s="14" t="str">
        <x:v>DEFINED</x:v>
      </x:c>
      <x:c r="M14" s="33"/>
      <x:c r="N14" s="33" t="str">
        <x:v>NOT_RUN</x:v>
      </x:c>
      <x:c r="O14" s="14" t="str">
        <x:v>Hợp đồng tham chiếu: 04-trip-api.yaml. Chưa chạy kiểm thử. Đối chiếu bản API 1.2 trong cuộc trao đổi; không xác nhận trạng thái commit GitHub.</x:v>
      </x:c>
      <x:c r="P14" s="14" t="str">
        <x:v>R17</x:v>
      </x:c>
      <x:c r="Q14" s="14" t="str">
        <x:v>Request/response đã che token; dữ liệu trước/sau hoặc log kiểm tra có correlationId; môi trường, commit và thời gian chạy. Không ghi mật khẩu thật.</x:v>
      </x:c>
    </x:row>
    <x:row r="15" ht="104" customHeight="1">
      <x:c r="A15" s="11" t="str">
        <x:v>TC-TRIPSTATUS-014</x:v>
      </x:c>
      <x:c r="B15" s="11" t="str">
        <x:v>Tài xế cập nhật trạng thái chuyến</x:v>
      </x:c>
      <x:c r="C15" s="11" t="str">
        <x:v>Khách hàng thấy trạng thái mới ngay sau khi tài xế cập nhật</x:v>
      </x:c>
      <x:c r="D15" s="11" t="str">
        <x:v>Tài xế vừa cập nhật trạng thái ARRIVED_PICKUP</x:v>
      </x:c>
      <x:c r="E15" s="11" t="str">
        <x:v>1. Chuẩn bị dữ liệu và trạng thái trong Preconditions.
2. Gọi PATCH /trips/{tripId}/status với Test Data.
3. Đối chiếu HTTP, nội dung phản hồi và trạng thái lưu trữ với Expected Result.</x:v>
      </x:c>
      <x:c r="F15" s="11" t="str">
        <x:v>tripId: TRP0001
Idempotency-Key mới; expectedVersion lấy từ GET Trip hiện tại (trừ case thiếu/sai dữ liệu).</x:v>
      </x:c>
      <x:c r="G15" s="11" t="str">
        <x:v>Khách hàng thấy trạng thái chuyến cập nhật đúng là ARRIVED_PICKUP</x:v>
      </x:c>
      <x:c r="H15" s="11" t="str">
        <x:v>High</x:v>
      </x:c>
      <x:c r="I15" s="14" t="str">
        <x:v>FR08; FR15; FR19; AC05; AC10</x:v>
      </x:c>
      <x:c r="J15" s="14" t="str">
        <x:v>PATCH /trips/{tripId}/status</x:v>
      </x:c>
      <x:c r="K15" s="14" t="str">
        <x:v>Integration</x:v>
      </x:c>
      <x:c r="L15" s="14" t="str">
        <x:v>DEFINED</x:v>
      </x:c>
      <x:c r="M15" s="33"/>
      <x:c r="N15" s="33" t="str">
        <x:v>NOT_RUN</x:v>
      </x:c>
      <x:c r="O15" s="14" t="str">
        <x:v>Hợp đồng tham chiếu: 04-trip-api.yaml. Chưa chạy kiểm thử. Đối chiếu bản API 1.2 trong cuộc trao đổi; không xác nhận trạng thái commit GitHub.</x:v>
      </x:c>
      <x:c r="P15" s="14" t="str">
        <x:v>R17</x:v>
      </x:c>
      <x:c r="Q15" s="14" t="str">
        <x:v>Request/response đã che token; dữ liệu trước/sau hoặc log kiểm tra có correlationId; môi trường, commit và thời gian chạy. Không ghi mật khẩu thật.</x:v>
      </x:c>
    </x:row>
    <x:row r="16" ht="104" customHeight="1">
      <x:c r="A16" s="11" t="str">
        <x:v>TC-TRIPSTATUS-015</x:v>
      </x:c>
      <x:c r="B16" s="11" t="str">
        <x:v>Tài xế cập nhật trạng thái chuyến</x:v>
      </x:c>
      <x:c r="C16" s="11" t="str">
        <x:v>Khách hàng nhận thông báo tương ứng khi trạng thái chuyến thay đổi</x:v>
      </x:c>
      <x:c r="D16" s="11" t="str">
        <x:v>Tài xế vừa cập nhật trạng thái chuyến</x:v>
      </x:c>
      <x:c r="E16" s="11" t="str">
        <x:v>1. Chuẩn bị dữ liệu và trạng thái trong Preconditions.
2. Gọi PATCH /trips/{tripId}/status với Test Data.
3. Đối chiếu HTTP, nội dung phản hồi và trạng thái lưu trữ với Expected Result.</x:v>
      </x:c>
      <x:c r="F16" s="11" t="str">
        <x:v>tripId: TRP0001
tripStatus: ARRIVED_PICKUP
Idempotency-Key mới; expectedVersion lấy từ GET Trip hiện tại (trừ case thiếu/sai dữ liệu).</x:v>
      </x:c>
      <x:c r="G16" s="11" t="str">
        <x:v>Khách hàng nhận được thông báo tài xế đã đến điểm đón</x:v>
      </x:c>
      <x:c r="H16" s="11" t="str">
        <x:v>Medium</x:v>
      </x:c>
      <x:c r="I16" s="14" t="str">
        <x:v>FR08; FR15; FR19; AC05; AC10</x:v>
      </x:c>
      <x:c r="J16" s="14" t="str">
        <x:v>PATCH /trips/{tripId}/status</x:v>
      </x:c>
      <x:c r="K16" s="14" t="str">
        <x:v>Integration</x:v>
      </x:c>
      <x:c r="L16" s="14" t="str">
        <x:v>DEFINED</x:v>
      </x:c>
      <x:c r="M16" s="33"/>
      <x:c r="N16" s="33" t="str">
        <x:v>NOT_RUN</x:v>
      </x:c>
      <x:c r="O16" s="14" t="str">
        <x:v>Hợp đồng tham chiếu: 04-trip-api.yaml. Chưa chạy kiểm thử. Đối chiếu bản API 1.2 trong cuộc trao đổi; không xác nhận trạng thái commit GitHub.</x:v>
      </x:c>
      <x:c r="P16" s="14" t="str">
        <x:v>R17</x:v>
      </x:c>
      <x:c r="Q16" s="14" t="str">
        <x:v>Request/response đã che token; dữ liệu trước/sau hoặc log kiểm tra có correlationId; môi trường, commit và thời gian chạy. Không ghi mật khẩu thật.</x:v>
      </x:c>
    </x:row>
    <x:row r="17" ht="90" customHeight="1">
      <x:c r="A17" s="11" t="str">
        <x:v>TC-TRIPSTATUS-016</x:v>
      </x:c>
      <x:c r="B17" s="11" t="str">
        <x:v>Tài xế cập nhật trạng thái chuyến</x:v>
      </x:c>
      <x:c r="C17" s="11" t="str">
        <x:v>Lấy Fare sau khi Trip hoàn tất và cước được tính</x:v>
      </x:c>
      <x:c r="D17" s="11" t="str">
        <x:v>T1 đủ dữ liệu hành trình; giá snapshot hợp lệ.</x:v>
      </x:c>
      <x:c r="E17" s="11" t="str">
        <x:v>1. Chuẩn bị trạng thái và dữ liệu được nêu.
2. PATCH /trips/{tripId}/status; chờ công việc tính cước; GET /trips/{tripId}/fare.
3. Kiểm tra HTTP, phản hồi và dữ liệu sau thao tác.</x:v>
      </x:c>
      <x:c r="F17" s="11" t="str">
        <x:v>IN_PROGRESS -&gt; COMPLETED, expectedVersion đúng; khóa mới.</x:v>
      </x:c>
      <x:c r="G17" s="11" t="str">
        <x:v>Trip COMPLETED; khi Fare đã được chốt, GET 200 với Fare đúng. Không yêu cầu GET phải 200 ngay khi công việc tính cước chưa xong.</x:v>
      </x:c>
      <x:c r="H17" s="11" t="str">
        <x:v>Medium</x:v>
      </x:c>
      <x:c r="I17" s="14" t="str">
        <x:v>FR08; FR15; FR19; AC05; AC10</x:v>
      </x:c>
      <x:c r="J17" s="14" t="str">
        <x:v>PATCH /trips/{tripId}/status; chờ công việc tính cước; GET /trips/{tripId}/fare</x:v>
      </x:c>
      <x:c r="K17" s="14" t="str">
        <x:v>Integration</x:v>
      </x:c>
      <x:c r="L17" s="14" t="str">
        <x:v>DEFINED</x:v>
      </x:c>
      <x:c r="M17" s="33"/>
      <x:c r="N17" s="33" t="str">
        <x:v>NOT_RUN</x:v>
      </x:c>
      <x:c r="O17" s="14" t="str">
        <x:v>Hợp đồng tham chiếu: 04-trip-api.yaml. Chưa chạy kiểm thử. Đối chiếu bản API 1.2 trong cuộc trao đổi; không xác nhận trạng thái commit GitHub.</x:v>
      </x:c>
      <x:c r="P17" s="14" t="str">
        <x:v>R17</x:v>
      </x:c>
      <x:c r="Q17" s="14" t="str">
        <x:v>Request/response đã che token; dữ liệu trước/sau hoặc log kiểm tra có correlationId; môi trường, commit và thời gian chạy. Không ghi mật khẩu thật.</x:v>
      </x:c>
    </x:row>
    <x:row r="18" ht="104" customHeight="1">
      <x:c r="A18" s="11" t="str">
        <x:v>TC-TRIPSTATUS-017</x:v>
      </x:c>
      <x:c r="B18" s="11" t="str">
        <x:v>Tài xế cập nhật trạng thái chuyến</x:v>
      </x:c>
      <x:c r="C18" s="11" t="str">
        <x:v>Cập nhật trạng thái khi chưa đăng nhập</x:v>
      </x:c>
      <x:c r="D18" s="11" t="str">
        <x:v>Không có access token của tài xế</x:v>
      </x:c>
      <x:c r="E18" s="11" t="str">
        <x:v>1. Chuẩn bị dữ liệu và trạng thái trong Preconditions.
2. Gọi PATCH /trips/{tripId}/status với Test Data.
3. Đối chiếu HTTP, nội dung phản hồi và trạng thái lưu trữ với Expected Result.</x:v>
      </x:c>
      <x:c r="F18" s="11" t="str">
        <x:v>Header Authorization: (không có)
Idempotency-Key mới; expectedVersion lấy từ GET Trip hiện tại (trừ case thiếu/sai dữ liệu).</x:v>
      </x:c>
      <x:c r="G18" s="11" t="str">
        <x:v>API trả lỗi 401 Unauthorized</x:v>
      </x:c>
      <x:c r="H18" s="11" t="str">
        <x:v>High</x:v>
      </x:c>
      <x:c r="I18" s="14" t="str">
        <x:v>FR08; FR15; FR19; AC05; AC10</x:v>
      </x:c>
      <x:c r="J18" s="14" t="str">
        <x:v>PATCH /trips/{tripId}/status</x:v>
      </x:c>
      <x:c r="K18" s="14" t="str">
        <x:v>Integration</x:v>
      </x:c>
      <x:c r="L18" s="14" t="str">
        <x:v>DEFINED</x:v>
      </x:c>
      <x:c r="M18" s="33"/>
      <x:c r="N18" s="33" t="str">
        <x:v>NOT_RUN</x:v>
      </x:c>
      <x:c r="O18" s="14" t="str">
        <x:v>Hợp đồng tham chiếu: 04-trip-api.yaml. Chưa chạy kiểm thử. Đối chiếu bản API 1.2 trong cuộc trao đổi; không xác nhận trạng thái commit GitHub.</x:v>
      </x:c>
      <x:c r="P18" s="14" t="str">
        <x:v>R17</x:v>
      </x:c>
      <x:c r="Q18" s="14" t="str">
        <x:v>Request/response đã che token; dữ liệu trước/sau hoặc log kiểm tra có correlationId; môi trường, commit và thời gian chạy. Không ghi mật khẩu thật.</x:v>
      </x:c>
    </x:row>
    <x:row r="19" ht="90" customHeight="1">
      <x:c r="A19" s="11" t="str">
        <x:v>TC-TRIPSTATUS-018</x:v>
      </x:c>
      <x:c r="B19" s="11" t="str">
        <x:v>Tài xế cập nhật trạng thái chuyến</x:v>
      </x:c>
      <x:c r="C19" s="11" t="str">
        <x:v>Ghi nhận Incident để chuyển Trip sang ERROR</x:v>
      </x:c>
      <x:c r="D19" s="11" t="str">
        <x:v>T1 IN_PROGRESS; D1 được gán; version=4.</x:v>
      </x:c>
      <x:c r="E19" s="11" t="str">
        <x:v>1. Chuẩn bị trạng thái và dữ liệu được nêu.
2. POST /trips/{tripId}/incidents.
3. Kiểm tra HTTP, phản hồi và dữ liệu sau thao tác.</x:v>
      </x:c>
      <x:c r="F19" s="11" t="str">
        <x:v>{"expectedVersion":4,"issueType":"VEHICLE_BREAKDOWN","description":"Xe không thể tiếp tục"}; khóa mới.</x:v>
      </x:c>
      <x:c r="G19" s="11" t="str">
        <x:v>201; Incident OPEN; Trip ERROR, statusBeforeError=IN_PROGRESS; version tăng; Driver vẫn BUSY.</x:v>
      </x:c>
      <x:c r="H19" s="11" t="str">
        <x:v>Medium</x:v>
      </x:c>
      <x:c r="I19" s="14" t="str">
        <x:v>FR08; FR15; FR19; AC05; AC10</x:v>
      </x:c>
      <x:c r="J19" s="14" t="str">
        <x:v>POST /trips/{tripId}/incidents</x:v>
      </x:c>
      <x:c r="K19" s="14" t="str">
        <x:v>Integration</x:v>
      </x:c>
      <x:c r="L19" s="14" t="str">
        <x:v>DEFINED</x:v>
      </x:c>
      <x:c r="M19" s="33"/>
      <x:c r="N19" s="33" t="str">
        <x:v>NOT_RUN</x:v>
      </x:c>
      <x:c r="O19" s="14" t="str">
        <x:v>Hợp đồng tham chiếu: 04-trip-api.yaml. Chưa chạy kiểm thử. Đối chiếu bản API 1.2 trong cuộc trao đổi; không xác nhận trạng thái commit GitHub.</x:v>
      </x:c>
      <x:c r="P19" s="14" t="str">
        <x:v>R17</x:v>
      </x:c>
      <x:c r="Q19" s="14" t="str">
        <x:v>Request/response đã che token; dữ liệu trước/sau hoặc log kiểm tra có correlationId; môi trường, commit và thời gian chạy. Không ghi mật khẩu thật.</x:v>
      </x:c>
    </x:row>
    <x:row r="20" ht="90" customHeight="1">
      <x:c r="A20" s="11" t="str">
        <x:v>TC-TRIPSTATUS-019</x:v>
      </x:c>
      <x:c r="B20" s="11" t="str">
        <x:v>Tài xế cập nhật trạng thái chuyến</x:v>
      </x:c>
      <x:c r="C20" s="11" t="str">
        <x:v>Timestamp hoàn tất chỉ có khi COMPLETED</x:v>
      </x:c>
      <x:c r="D20" s="11" t="str">
        <x:v>T1 IN_PROGRESS, chưa completedAt.</x:v>
      </x:c>
      <x:c r="E20" s="11" t="str">
        <x:v>1. Chuẩn bị trạng thái và dữ liệu được nêu.
2. GET /trips/{tripId}; PATCH /trips/{tripId}/status; GET /trips/{tripId}.
3. Kiểm tra HTTP, phản hồi và dữ liệu sau thao tác.</x:v>
      </x:c>
      <x:c r="F20" s="11" t="str">
        <x:v>Đặt COMPLETED với version hiện tại và khóa mới.</x:v>
      </x:c>
      <x:c r="G20" s="11" t="str">
        <x:v>Trước hoàn tất không có completedAt; sau hoàn tất có completedAt/closedAt hợp lệ do máy chủ đặt; không dùng endTime.</x:v>
      </x:c>
      <x:c r="H20" s="11" t="str">
        <x:v>Medium</x:v>
      </x:c>
      <x:c r="I20" s="14" t="str">
        <x:v>FR08; FR15; FR19; AC05; AC10</x:v>
      </x:c>
      <x:c r="J20" s="14" t="str">
        <x:v>GET /trips/{tripId}; PATCH /trips/{tripId}/status; GET /trips/{tripId}</x:v>
      </x:c>
      <x:c r="K20" s="14" t="str">
        <x:v>Integration</x:v>
      </x:c>
      <x:c r="L20" s="14" t="str">
        <x:v>DEFINED</x:v>
      </x:c>
      <x:c r="M20" s="33"/>
      <x:c r="N20" s="33" t="str">
        <x:v>NOT_RUN</x:v>
      </x:c>
      <x:c r="O20" s="14" t="str">
        <x:v>Hợp đồng tham chiếu: 04-trip-api.yaml. Chưa chạy kiểm thử. Đối chiếu bản API 1.2 trong cuộc trao đổi; không xác nhận trạng thái commit GitHub.</x:v>
      </x:c>
      <x:c r="P20" s="14" t="str">
        <x:v>R17</x:v>
      </x:c>
      <x:c r="Q20" s="14" t="str">
        <x:v>Request/response đã che token; dữ liệu trước/sau hoặc log kiểm tra có correlationId; môi trường, commit và thời gian chạy. Không ghi mật khẩu thật.</x:v>
      </x:c>
    </x:row>
    <x:row r="21" ht="90" customHeight="1">
      <x:c r="A21" s="11" t="str">
        <x:v>TC-TRIPSTATUS-020</x:v>
      </x:c>
      <x:c r="B21" s="11" t="str">
        <x:v>Tài xế cập nhật trạng thái chuyến</x:v>
      </x:c>
      <x:c r="C21" s="11" t="str">
        <x:v>Cập nhật liên tiếp đúng trình tự 4 trạng thái được lưu đúng lịch sử</x:v>
      </x:c>
      <x:c r="D21" s="11" t="str">
        <x:v>T1 mới DRIVER_ASSIGNED; Driver D1 đăng nhập.</x:v>
      </x:c>
      <x:c r="E21" s="11" t="str">
        <x:v>1. Chuẩn bị trạng thái và dữ liệu được nêu.
2. PATCH /trips/{tripId}/status lần lượt bốn chuyển trạng thái.
3. Kiểm tra HTTP, phản hồi và dữ liệu sau thao tác.</x:v>
      </x:c>
      <x:c r="F21" s="11" t="str">
        <x:v>ARRIVED_PICKUP -&gt; PICKED_UP -&gt; IN_PROGRESS -&gt; COMPLETED; mỗi bước version mới nhất, khóa riêng.</x:v>
      </x:c>
      <x:c r="G21" s="11" t="str">
        <x:v>Bốn lần 200; lịch sử đúng thứ tự; timestamp không bị đặt lại; không bỏ bước hoặc lùi trạng thái.</x:v>
      </x:c>
      <x:c r="H21" s="11" t="str">
        <x:v>High</x:v>
      </x:c>
      <x:c r="I21" s="14" t="str">
        <x:v>FR08; FR15; FR19; AC05; AC10</x:v>
      </x:c>
      <x:c r="J21" s="14" t="str">
        <x:v>PATCH /trips/{tripId}/status lần lượt bốn chuyển trạng thái</x:v>
      </x:c>
      <x:c r="K21" s="14" t="str">
        <x:v>Integration</x:v>
      </x:c>
      <x:c r="L21" s="14" t="str">
        <x:v>DEFINED</x:v>
      </x:c>
      <x:c r="M21" s="33"/>
      <x:c r="N21" s="33" t="str">
        <x:v>NOT_RUN</x:v>
      </x:c>
      <x:c r="O21" s="14" t="str">
        <x:v>Hợp đồng tham chiếu: 04-trip-api.yaml. Chưa chạy kiểm thử. Đối chiếu bản API 1.2 trong cuộc trao đổi; không xác nhận trạng thái commit GitHub.</x:v>
      </x:c>
      <x:c r="P21" s="14" t="str">
        <x:v>R17</x:v>
      </x:c>
      <x:c r="Q21" s="14" t="str">
        <x:v>Request/response đã che token; dữ liệu trước/sau hoặc log kiểm tra có correlationId; môi trường, commit và thời gian chạy. Không ghi mật khẩu thật.</x:v>
      </x:c>
    </x:row>
    <x:row r="22" ht="90" customHeight="1">
      <x:c r="A22" s="14" t="str">
        <x:v>TC-TRIPSTATUS-021</x:v>
      </x:c>
      <x:c r="B22" s="14" t="str">
        <x:v>Tài xế cập nhật trạng thái chuyến</x:v>
      </x:c>
      <x:c r="C22" s="14" t="str">
        <x:v>Version cũ không được đổi trạng thái</x:v>
      </x:c>
      <x:c r="D22" s="14" t="str">
        <x:v>T1 DRIVER_ASSIGNED, version=2; D1 được gán.</x:v>
      </x:c>
      <x:c r="E22" s="14" t="str">
        <x:v>1. Thiết lập fixture và trạng thái theo Preconditions.
2. PATCH /trips/T1/status với Test Data.
3. Đối chiếu phản hồi và dữ liệu lưu trữ theo Expected Result.</x:v>
      </x:c>
      <x:c r="F22" s="14" t="str">
        <x:v>{"tripStatus":"ARRIVED_PICKUP","expectedVersion":1}; khóa mới.</x:v>
      </x:c>
      <x:c r="G22" s="14" t="str">
        <x:v>409 do expectedVersion không khớp; trạng thái, version và lịch sử không đổi.</x:v>
      </x:c>
      <x:c r="H22" s="14" t="str">
        <x:v>High</x:v>
      </x:c>
      <x:c r="I22" s="14" t="str">
        <x:v>FR08; FR15; FR19; AC05; AC10</x:v>
      </x:c>
      <x:c r="J22" s="14" t="str">
        <x:v>PATCH /trips/T1/status</x:v>
      </x:c>
      <x:c r="K22" s="14" t="str">
        <x:v>Integration</x:v>
      </x:c>
      <x:c r="L22" s="14" t="str">
        <x:v>DEFINED</x:v>
      </x:c>
      <x:c r="M22" s="33"/>
      <x:c r="N22" s="33" t="str">
        <x:v>NOT_RUN</x:v>
      </x:c>
      <x:c r="O22" s="14" t="str">
        <x:v>Bổ sung theo thiết kế đã duyệt; chưa chạy kiểm thử. Tham chiếu: 04-trip-api.yaml. Đối chiếu bản API 1.2 trong cuộc trao đổi; không xác nhận trạng thái commit GitHub.</x:v>
      </x:c>
      <x:c r="P22" s="14" t="str">
        <x:v>R17</x:v>
      </x:c>
      <x:c r="Q22" s="14" t="str">
        <x:v>Request/response đã che token; dữ liệu trước/sau hoặc log kiểm tra có correlationId; môi trường, commit và thời gian chạy. Không ghi mật khẩu thật.</x:v>
      </x:c>
    </x:row>
    <x:row r="23" ht="104" customHeight="1">
      <x:c r="A23" s="14" t="str">
        <x:v>TC-TRIPSTATUS-022</x:v>
      </x:c>
      <x:c r="B23" s="14" t="str">
        <x:v>Tài xế cập nhật trạng thái chuyến</x:v>
      </x:c>
      <x:c r="C23" s="14" t="str">
        <x:v>Phát lại cùng khóa sau tăng version</x:v>
      </x:c>
      <x:c r="D23" s="14" t="str">
        <x:v>D1 vừa đổi T1 sang ARRIVED_PICKUP thành công.</x:v>
      </x:c>
      <x:c r="E23" s="14" t="str">
        <x:v>1. Thiết lập fixture và trạng thái theo Preconditions.
2. Gửi lại PATCH /trips/T1/status cùng khóa/body với Test Data.
3. Đối chiếu phản hồi và dữ liệu lưu trữ theo Expected Result.</x:v>
      </x:c>
      <x:c r="F23" s="14" t="str">
        <x:v>expectedVersion của thao tác đầu; giữ nguyên khóa.</x:v>
      </x:c>
      <x:c r="G23" s="14" t="str">
        <x:v>200 với kết quả ban đầu; không tăng version hoặc ghi timestamp/lịch sử lần nữa.</x:v>
      </x:c>
      <x:c r="H23" s="14" t="str">
        <x:v>High</x:v>
      </x:c>
      <x:c r="I23" s="14" t="str">
        <x:v>FR08; FR15; FR19; AC05; AC10</x:v>
      </x:c>
      <x:c r="J23" s="14" t="str">
        <x:v>Gửi lại PATCH /trips/T1/status cùng khóa/body</x:v>
      </x:c>
      <x:c r="K23" s="14" t="str">
        <x:v>Integration</x:v>
      </x:c>
      <x:c r="L23" s="14" t="str">
        <x:v>DEFINED</x:v>
      </x:c>
      <x:c r="M23" s="33"/>
      <x:c r="N23" s="33" t="str">
        <x:v>NOT_RUN</x:v>
      </x:c>
      <x:c r="O23" s="14" t="str">
        <x:v>Bổ sung theo thiết kế đã duyệt; chưa chạy kiểm thử. Tham chiếu: 04-trip-api.yaml. Đối chiếu bản API 1.2 trong cuộc trao đổi; không xác nhận trạng thái commit GitHub.</x:v>
      </x:c>
      <x:c r="P23" s="14" t="str">
        <x:v>R17</x:v>
      </x:c>
      <x:c r="Q23" s="14" t="str">
        <x:v>Request/response đã che token; dữ liệu trước/sau hoặc log kiểm tra có correlationId; môi trường, commit và thời gian chạy. Không ghi mật khẩu thật.</x:v>
      </x:c>
    </x:row>
    <x:row r="24" ht="104" customHeight="1">
      <x:c r="A24" s="14" t="str">
        <x:v>TC-TRIPSTATUS-023</x:v>
      </x:c>
      <x:c r="B24" s="14" t="str">
        <x:v>Tài xế cập nhật trạng thái chuyến</x:v>
      </x:c>
      <x:c r="C24" s="14" t="str">
        <x:v>Cùng khóa nhưng đổi trạng thái đích</x:v>
      </x:c>
      <x:c r="D24" s="14" t="str">
        <x:v>Đã thực hiện một cập nhật Trip bằng K1.</x:v>
      </x:c>
      <x:c r="E24" s="14" t="str">
        <x:v>1. Thiết lập fixture và trạng thái theo Preconditions.
2. PATCH /trips/T1/status với K1 nhưng body khác với Test Data.
3. Đối chiếu phản hồi và dữ liệu lưu trữ theo Expected Result.</x:v>
      </x:c>
      <x:c r="F24" s="14" t="str">
        <x:v>Đổi tripStatus so với request đầu.</x:v>
      </x:c>
      <x:c r="G24" s="14" t="str">
        <x:v>409 IDEMPOTENCY_CONFLICT; không có cập nhật mới.</x:v>
      </x:c>
      <x:c r="H24" s="14" t="str">
        <x:v>High</x:v>
      </x:c>
      <x:c r="I24" s="14" t="str">
        <x:v>FR08; FR15; FR19; AC05; AC10</x:v>
      </x:c>
      <x:c r="J24" s="14" t="str">
        <x:v>PATCH /trips/T1/status với K1 nhưng body khác</x:v>
      </x:c>
      <x:c r="K24" s="14" t="str">
        <x:v>Integration</x:v>
      </x:c>
      <x:c r="L24" s="14" t="str">
        <x:v>DEFINED</x:v>
      </x:c>
      <x:c r="M24" s="33"/>
      <x:c r="N24" s="33" t="str">
        <x:v>NOT_RUN</x:v>
      </x:c>
      <x:c r="O24" s="14" t="str">
        <x:v>Bổ sung theo thiết kế đã duyệt; chưa chạy kiểm thử. Tham chiếu: 04-trip-api.yaml. Đối chiếu bản API 1.2 trong cuộc trao đổi; không xác nhận trạng thái commit GitHub.</x:v>
      </x:c>
      <x:c r="P24" s="14" t="str">
        <x:v>R17</x:v>
      </x:c>
      <x:c r="Q24" s="14" t="str">
        <x:v>Request/response đã che token; dữ liệu trước/sau hoặc log kiểm tra có correlationId; môi trường, commit và thời gian chạy. Không ghi mật khẩu thật.</x:v>
      </x:c>
    </x:row>
    <x:row r="25" ht="104" customHeight="1">
      <x:c r="A25" s="14" t="str">
        <x:v>TC-TRIPSTATUS-024</x:v>
      </x:c>
      <x:c r="B25" s="14" t="str">
        <x:v>Tài xế cập nhật trạng thái chuyến</x:v>
      </x:c>
      <x:c r="C25" s="14" t="str">
        <x:v>NO_SHOW tại biên thời gian chờ</x:v>
      </x:c>
      <x:c r="D25" s="14" t="str">
        <x:v>T1 ARRIVED_PICKUP tại t0; D1 được gán; ngưỡng 5 phút.</x:v>
      </x:c>
      <x:c r="E25" s="14" t="str">
        <x:v>1. Thiết lập fixture và trạng thái theo Preconditions.
2. POST /trips/T1/cancel ở t0+299 s rồi t0+300 s với Test Data.
3. Đối chiếu phản hồi và dữ liệu lưu trữ theo Expected Result.</x:v>
      </x:c>
      <x:c r="F25" s="14" t="str">
        <x:v>reasonCode=NO_SHOW; reason="Khách không xuất hiện"; version hiện tại; hai khóa khác nhau.</x:v>
      </x:c>
      <x:c r="G25" s="14" t="str">
        <x:v>Lần trước ngưỡng 409; lần đúng ngưỡng 200 nếu điều kiện khác giữ nguyên; Trip CANCELLED; không thu phí hủy.</x:v>
      </x:c>
      <x:c r="H25" s="14" t="str">
        <x:v>High</x:v>
      </x:c>
      <x:c r="I25" s="14" t="str">
        <x:v>FR08; FR15; FR19; AC05; AC10</x:v>
      </x:c>
      <x:c r="J25" s="14" t="str">
        <x:v>POST /trips/T1/cancel ở t0+299 s rồi t0+300 s</x:v>
      </x:c>
      <x:c r="K25" s="14" t="str">
        <x:v>Integration</x:v>
      </x:c>
      <x:c r="L25" s="14" t="str">
        <x:v>DEFINED</x:v>
      </x:c>
      <x:c r="M25" s="33"/>
      <x:c r="N25" s="33" t="str">
        <x:v>NOT_RUN</x:v>
      </x:c>
      <x:c r="O25" s="14" t="str">
        <x:v>Bổ sung theo thiết kế đã duyệt; chưa chạy kiểm thử. Tham chiếu: 04-trip-api.yaml. Đối chiếu bản API 1.2 trong cuộc trao đổi; không xác nhận trạng thái commit GitHub.</x:v>
      </x:c>
      <x:c r="P25" s="14" t="str">
        <x:v>R18</x:v>
      </x:c>
      <x:c r="Q25" s="14" t="str">
        <x:v>Request/response đã che token; dữ liệu trước/sau hoặc log kiểm tra có correlationId; môi trường, commit và thời gian chạy. Không ghi mật khẩu thật.</x:v>
      </x:c>
    </x:row>
    <x:row r="26" ht="90" customHeight="1">
      <x:c r="A26" s="14" t="str">
        <x:v>TC-TRIPSTATUS-025</x:v>
      </x:c>
      <x:c r="B26" s="14" t="str">
        <x:v>Tài xế cập nhật trạng thái chuyến</x:v>
      </x:c>
      <x:c r="C26" s="14" t="str">
        <x:v>Không hủy theo luồng thường sau PICKED_UP</x:v>
      </x:c>
      <x:c r="D26" s="14" t="str">
        <x:v>T1 PICKED_UP; C1 sở hữu; phiên hợp lệ.</x:v>
      </x:c>
      <x:c r="E26" s="14" t="str">
        <x:v>1. Thiết lập fixture và trạng thái theo Preconditions.
2. POST /trips/T1/cancel với Test Data.
3. Đối chiếu phản hồi và dữ liệu lưu trữ theo Expected Result.</x:v>
      </x:c>
      <x:c r="F26" s="14" t="str">
        <x:v>reasonCode=CHANGE_OF_PLANS; reason cụ thể; expectedVersion đúng; khóa mới.</x:v>
      </x:c>
      <x:c r="G26" s="14" t="str">
        <x:v>409; T1 vẫn PICKED_UP. Sự cố phải xử lý qua Incident, không hủy trước đón khách.</x:v>
      </x:c>
      <x:c r="H26" s="14" t="str">
        <x:v>High</x:v>
      </x:c>
      <x:c r="I26" s="14" t="str">
        <x:v>FR08; FR15; FR19; AC05; AC10</x:v>
      </x:c>
      <x:c r="J26" s="14" t="str">
        <x:v>POST /trips/T1/cancel</x:v>
      </x:c>
      <x:c r="K26" s="14" t="str">
        <x:v>Integration</x:v>
      </x:c>
      <x:c r="L26" s="14" t="str">
        <x:v>DEFINED</x:v>
      </x:c>
      <x:c r="M26" s="33"/>
      <x:c r="N26" s="33" t="str">
        <x:v>NOT_RUN</x:v>
      </x:c>
      <x:c r="O26" s="14" t="str">
        <x:v>Bổ sung theo thiết kế đã duyệt; chưa chạy kiểm thử. Tham chiếu: 04-trip-api.yaml. Đối chiếu bản API 1.2 trong cuộc trao đổi; không xác nhận trạng thái commit GitHub.</x:v>
      </x:c>
      <x:c r="P26" s="14" t="str">
        <x:v>R18</x:v>
      </x:c>
      <x:c r="Q26" s="14" t="str">
        <x:v>Request/response đã che token; dữ liệu trước/sau hoặc log kiểm tra có correlationId; môi trường, commit và thời gian chạy. Không ghi mật khẩu thật.</x:v>
      </x:c>
    </x:row>
    <x:row r="27" ht="104" customHeight="1">
      <x:c r="A27" s="14" t="str">
        <x:v>TC-TRIPSTATUS-026</x:v>
      </x:c>
      <x:c r="B27" s="14" t="str">
        <x:v>Tài xế cập nhật trạng thái chuyến</x:v>
      </x:c>
      <x:c r="C27" s="14" t="str">
        <x:v>Khôi phục ERROR giữ startedAt</x:v>
      </x:c>
      <x:c r="D27" s="14" t="str">
        <x:v>T1 IN_PROGRESS có startedAt=t0; gặp sự cố -&gt; ERROR; tài xế/xe hợp lệ.</x:v>
      </x:c>
      <x:c r="E27" s="14" t="str">
        <x:v>1. Thiết lập fixture và trạng thái theo Preconditions.
2. POST /operations/trips/T1/resolve-error với Test Data.
3. Đối chiếu phản hồi và dữ liệu lưu trữ theo Expected Result.</x:v>
      </x:c>
      <x:c r="F27" s="14" t="str">
        <x:v>RESTORE_PREVIOUS_STATUS; version hiện tại; resolutionNote; khóa mới.</x:v>
      </x:c>
      <x:c r="G27" s="14" t="str">
        <x:v>T1 IN_PROGRESS, startedAt vẫn t0; Driver BUSY; không đặt lại đồng hồ chuyến.</x:v>
      </x:c>
      <x:c r="H27" s="14" t="str">
        <x:v>High</x:v>
      </x:c>
      <x:c r="I27" s="14" t="str">
        <x:v>FR08; FR15; FR19; AC05; AC10</x:v>
      </x:c>
      <x:c r="J27" s="14" t="str">
        <x:v>POST /operations/trips/T1/resolve-error</x:v>
      </x:c>
      <x:c r="K27" s="14" t="str">
        <x:v>Integration</x:v>
      </x:c>
      <x:c r="L27" s="14" t="str">
        <x:v>DEFINED</x:v>
      </x:c>
      <x:c r="M27" s="33"/>
      <x:c r="N27" s="33" t="str">
        <x:v>NOT_RUN</x:v>
      </x:c>
      <x:c r="O27" s="14" t="str">
        <x:v>Bổ sung theo thiết kế đã duyệt; chưa chạy kiểm thử. Tham chiếu: 04-trip-api.yaml. Đối chiếu bản API 1.2 trong cuộc trao đổi; không xác nhận trạng thái commit GitHub.</x:v>
      </x:c>
      <x:c r="P27" s="14" t="str">
        <x:v>R17</x:v>
      </x:c>
      <x:c r="Q27" s="14" t="str">
        <x:v>Request/response đã che token; dữ liệu trước/sau hoặc log kiểm tra có correlationId; môi trường, commit và thời gian chạy. Không ghi mật khẩu thật.</x:v>
      </x:c>
    </x:row>
    <x:row r="28" ht="104" customHeight="1">
      <x:c r="A28" s="14" t="str">
        <x:v>TC-TRIPSTATUS-027</x:v>
      </x:c>
      <x:c r="B28" s="14" t="str">
        <x:v>TripStatus</x:v>
      </x:c>
      <x:c r="C28" s="14" t="str">
        <x:v>Hủy Trip trước pickup có lý do và thông báo</x:v>
      </x:c>
      <x:c r="D28" s="14" t="str">
        <x:v>T1 ARRIVED_PICKUP; C1 sở hữu, D1 được giao; version đúng.</x:v>
      </x:c>
      <x:c r="E28" s="14" t="str">
        <x:v>1. Chuẩn bị fixture độc lập theo Preconditions.
2. POST /trips/T1/cancel với Test Data; lưu phản hồi và correlationId.
3. Đối chiếu từng điều kiện Expected Result với dữ liệu sau thao tác.</x:v>
      </x:c>
      <x:c r="F28" s="14" t="str">
        <x:v>CUSTOMER C1; CHANGE_OF_PLANS; expectedVersion; key mới</x:v>
      </x:c>
      <x:c r="G28" s="14" t="str">
        <x:v>200 CANCELLED, closedAt và cancellation đầy đủ; Booking giữ DRIVER_ASSIGNED; guard giải phóng đúng T1; outbox TRIP_CANCELLED, thông báo có lý do cho C1/D1.</x:v>
      </x:c>
      <x:c r="H28" s="14" t="str">
        <x:v>High</x:v>
      </x:c>
      <x:c r="I28" s="14" t="str">
        <x:v>API 1.2; rubric liên kết</x:v>
      </x:c>
      <x:c r="J28" s="14" t="str">
        <x:v>POST /trips/T1/cancel</x:v>
      </x:c>
      <x:c r="K28" s="14" t="str">
        <x:v>Integration</x:v>
      </x:c>
      <x:c r="L28" s="14" t="str">
        <x:v>DEFINED</x:v>
      </x:c>
      <x:c r="M28" s="33"/>
      <x:c r="N28" s="33" t="str">
        <x:v>NOT_RUN</x:v>
      </x:c>
      <x:c r="O28" s="14" t="str">
        <x:v>Chưa chạy. Fixture giả trong môi trường kiểm thử cô lập.</x:v>
      </x:c>
      <x:c r="P28" s="14" t="str">
        <x:v>R18; R07</x:v>
      </x:c>
      <x:c r="Q28" s="14" t="str">
        <x:v>Request/response đã che token; dữ liệu trước/sau hoặc log kiểm tra có correlationId; môi trường, commit và thời gian chạy. Không ghi mật khẩu thật.</x:v>
      </x:c>
    </x:row>
    <x:row r="29" ht="104" customHeight="1">
      <x:c r="A29" s="14" t="str">
        <x:v>TC-TRIPSTATUS-028</x:v>
      </x:c>
      <x:c r="B29" s="14" t="str">
        <x:v>TripStatus</x:v>
      </x:c>
      <x:c r="C29" s="14" t="str">
        <x:v>OTHER thiếu nội dung lý do bị từ chối</x:v>
      </x:c>
      <x:c r="D29" s="14" t="str">
        <x:v>T1 DRIVER_ASSIGNED, người gọi có quyền.</x:v>
      </x:c>
      <x:c r="E29" s="14" t="str">
        <x:v>1. Chuẩn bị fixture độc lập theo Preconditions.
2. POST /trips/T1/cancel với Test Data; lưu phản hồi và correlationId.
3. Đối chiếu từng điều kiện Expected Result với dữ liệu sau thao tác.</x:v>
      </x:c>
      <x:c r="F29" s="14" t="str">
        <x:v>Mã lý do OTHER; bỏ trường mô tả lý do trong body theo schema API 04; version và key hợp lệ</x:v>
      </x:c>
      <x:c r="G29" s="14" t="str">
        <x:v>400; không đổi trạng thái, guard, Driver hoặc outbox.</x:v>
      </x:c>
      <x:c r="H29" s="14" t="str">
        <x:v>High</x:v>
      </x:c>
      <x:c r="I29" s="14" t="str">
        <x:v>API 1.2; rubric liên kết</x:v>
      </x:c>
      <x:c r="J29" s="14" t="str">
        <x:v>POST /trips/T1/cancel</x:v>
      </x:c>
      <x:c r="K29" s="14" t="str">
        <x:v>Integration</x:v>
      </x:c>
      <x:c r="L29" s="14" t="str">
        <x:v>DEFINED</x:v>
      </x:c>
      <x:c r="M29" s="33"/>
      <x:c r="N29" s="33" t="str">
        <x:v>NOT_RUN</x:v>
      </x:c>
      <x:c r="O29" s="14" t="str">
        <x:v>Dùng đúng cấu trúc lý do của API 04 khi dựng request; không tự thêm trường ngoài schema.</x:v>
      </x:c>
      <x:c r="P29" s="14" t="str">
        <x:v>R18</x:v>
      </x:c>
      <x:c r="Q29" s="14" t="str">
        <x:v>Request/response đã che token; dữ liệu trước/sau hoặc log kiểm tra có correlationId; môi trường, commit và thời gian chạy. Không ghi mật khẩu thật.</x:v>
      </x:c>
    </x:row>
    <x:row r="30" ht="104" customHeight="1">
      <x:c r="A30" s="14" t="str">
        <x:v>TC-TRIPSTATUS-029</x:v>
      </x:c>
      <x:c r="B30" s="14" t="str">
        <x:v>TripStatus</x:v>
      </x:c>
      <x:c r="C30" s="14" t="str">
        <x:v>Replay đóng chuyến không tác động guard chuyến sau</x:v>
      </x:c>
      <x:c r="D30" s="14" t="str">
        <x:v>T1 đã COMPLETED bởi K1; C1 có B2/T2 hoạt động sau đó.</x:v>
      </x:c>
      <x:c r="E30" s="14" t="str">
        <x:v>1. Chuẩn bị fixture độc lập theo Preconditions.
2. PATCH /trips/T1/status với Test Data; lưu phản hồi và correlationId.
3. Đối chiếu từng điều kiện Expected Result với dữ liệu sau thao tác.</x:v>
      </x:c>
      <x:c r="F30" s="14" t="str">
        <x:v>Cùng K1 và body cũ đã thành công</x:v>
      </x:c>
      <x:c r="G30" s="14" t="str">
        <x:v>200 snapshot K1; guard B2/T2 và Driver chuyến mới không đổi; không thêm Fare job/lịch sử.</x:v>
      </x:c>
      <x:c r="H30" s="14" t="str">
        <x:v>High</x:v>
      </x:c>
      <x:c r="I30" s="14" t="str">
        <x:v>API 1.2; rubric liên kết</x:v>
      </x:c>
      <x:c r="J30" s="14" t="str">
        <x:v>PATCH /trips/T1/status</x:v>
      </x:c>
      <x:c r="K30" s="14" t="str">
        <x:v>Integration</x:v>
      </x:c>
      <x:c r="L30" s="14" t="str">
        <x:v>DEFINED</x:v>
      </x:c>
      <x:c r="M30" s="33"/>
      <x:c r="N30" s="33" t="str">
        <x:v>NOT_RUN</x:v>
      </x:c>
      <x:c r="O30" s="14" t="str">
        <x:v>Chưa chạy. Fixture giả trong môi trường kiểm thử cô lập.</x:v>
      </x:c>
      <x:c r="P30" s="14" t="str">
        <x:v>R17</x:v>
      </x:c>
      <x:c r="Q30" s="14" t="str">
        <x:v>Request/response đã che token; dữ liệu trước/sau hoặc log kiểm tra có correlationId; môi trường, commit và thời gian chạy. Không ghi mật khẩu thật.</x:v>
      </x:c>
    </x:row>
    <x:row r="31" ht="104" customHeight="1">
      <x:c r="A31" s="14" t="str">
        <x:v>TC-TRIPSTATUS-030</x:v>
      </x:c>
      <x:c r="B31" s="14" t="str">
        <x:v>TripStatus</x:v>
      </x:c>
      <x:c r="C31" s="14" t="str">
        <x:v>Incident bổ sung khi ERROR không phát lại chuyển trạng thái</x:v>
      </x:c>
      <x:c r="D31" s="14" t="str">
        <x:v>T1 ERROR chưa đóng, đã có incident I1; D1 BUSY.</x:v>
      </x:c>
      <x:c r="E31" s="14" t="str">
        <x:v>1. Chuẩn bị fixture độc lập theo Preconditions.
2. POST /trips/T1/incidents với Test Data; lưu phản hồi và correlationId.
3. Đối chiếu từng điều kiện Expected Result với dữ liệu sau thao tác.</x:v>
      </x:c>
      <x:c r="F31" s="14" t="str">
        <x:v>Issue OTHER; mô tả mới; expectedVersion hiện tại; key mới</x:v>
      </x:c>
      <x:c r="G31" s="14" t="str">
        <x:v>201 Incident mới OPEN; Trip.version tăng, statusBeforeError giữ nguyên, không history ERROR→ERROR hoặc sự kiện TRIP_ERROR mới.</x:v>
      </x:c>
      <x:c r="H31" s="14" t="str">
        <x:v>High</x:v>
      </x:c>
      <x:c r="I31" s="14" t="str">
        <x:v>API 1.2; rubric liên kết</x:v>
      </x:c>
      <x:c r="J31" s="14" t="str">
        <x:v>POST /trips/T1/incidents</x:v>
      </x:c>
      <x:c r="K31" s="14" t="str">
        <x:v>Integration</x:v>
      </x:c>
      <x:c r="L31" s="14" t="str">
        <x:v>DEFINED</x:v>
      </x:c>
      <x:c r="M31" s="33"/>
      <x:c r="N31" s="33" t="str">
        <x:v>NOT_RUN</x:v>
      </x:c>
      <x:c r="O31" s="14" t="str">
        <x:v>Chưa chạy. Fixture giả trong môi trường kiểm thử cô lập.</x:v>
      </x:c>
      <x:c r="P31" s="14" t="str">
        <x:v>R17</x:v>
      </x:c>
      <x:c r="Q31" s="14" t="str">
        <x:v>Request/response đã che token; dữ liệu trước/sau hoặc log kiểm tra có correlationId; môi trường, commit và thời gian chạy. Không ghi mật khẩu thật.</x:v>
      </x:c>
    </x:row>
  </x:sheetData>
  <x:conditionalFormatting sqref="L2:L27">
    <x:cfRule type="containsText" dxfId="15" priority="1" operator="containsText" text="NEEDS_DECISION"/>
  </x:conditionalFormatting>
  <x:conditionalFormatting sqref="N2:N27">
    <x:cfRule type="containsText" dxfId="16" priority="2" operator="containsText" text="FAIL"/>
    <x:cfRule type="containsText" dxfId="17" priority="3" operator="containsText" text="BLOCKED"/>
  </x:conditionalFormatting>
  <x:conditionalFormatting sqref="L2:L31">
    <x:cfRule type="containsText" dxfId="58" priority="4" operator="containsText" text="NEEDS_DECISION"/>
    <x:cfRule type="containsText" dxfId="59" priority="5" operator="containsText" text="OUT_OF_SCOPE"/>
    <x:cfRule type="containsText" dxfId="60" priority="6" operator="containsText" text="SUPERSEDED"/>
  </x:conditionalFormatting>
  <x:conditionalFormatting sqref="N2:N31">
    <x:cfRule type="containsText" dxfId="61" priority="7" operator="containsText" text="FAIL"/>
    <x:cfRule type="containsText" dxfId="62" priority="8" operator="containsText" text="BLOCKED"/>
  </x:conditionalFormatting>
  <x:dataValidations count="3">
    <x:dataValidation type="list" sqref="L2:L31">
      <x:formula1>"DEFINED,NEEDS_DECISION,OUT_OF_SCOPE,SUPERSEDED"</x:formula1>
    </x:dataValidation>
    <x:dataValidation type="list" sqref="N2:N31">
      <x:formula1>"NOT_RUN,PASS,FAIL,BLOCKED"</x:formula1>
    </x:dataValidation>
    <x:dataValidation type="list" sqref="K2:K31">
      <x:formula1>"API,Integration,UI,Performance,Review,Security"</x:formula1>
    </x:dataValidation>
  </x:dataValidations>
  <x:pageMargins left="0.7" right="0.7" top="0.75" bottom="0.75" header="0.3" footer="0.3"/>
  <x:tableParts count="1">
    <x:tablePart xmlns:r="http://schemas.openxmlformats.org/officeDocument/2006/relationships" r:id="R043a15c7ddee46ff"/>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04" customHeight="1">
      <x:c r="A2" s="11" t="str">
        <x:v>TC-TRACKING-001</x:v>
      </x:c>
      <x:c r="B2" s="11" t="str">
        <x:v>Theo dõi chuyến xe</x:v>
      </x:c>
      <x:c r="C2" s="11" t="str">
        <x:v>Khách hàng xem trạng thái hiện tại của chuyến đang thực hiện</x:v>
      </x:c>
      <x:c r="D2" s="11" t="str">
        <x:v>Chuyến đang ở trạng thái IN_PROGRESS</x:v>
      </x:c>
      <x:c r="E2" s="11" t="str">
        <x:v>1. Chuẩn bị dữ liệu và trạng thái trong Preconditions.
2. Gọi GET /trips/{tripId}/tracking với Test Data.
3. Đối chiếu HTTP, nội dung phản hồi và trạng thái lưu trữ với Expected Result.</x:v>
      </x:c>
      <x:c r="F2" s="11" t="str">
        <x:v>tripId: TRP0001</x:v>
      </x:c>
      <x:c r="G2" s="11" t="str">
        <x:v>Hiển thị đúng trạng thái hiện tại của chuyến (IN_PROGRESS)</x:v>
      </x:c>
      <x:c r="H2" s="11" t="str">
        <x:v>High</x:v>
      </x:c>
      <x:c r="I2" s="14" t="str">
        <x:v>FR09; FR18; AC04</x:v>
      </x:c>
      <x:c r="J2" s="14" t="str">
        <x:v>GET /trips/{tripId}/tracking</x:v>
      </x:c>
      <x:c r="K2" s="14" t="str">
        <x:v>API</x:v>
      </x:c>
      <x:c r="L2" s="14" t="str">
        <x:v>DEFINED</x:v>
      </x:c>
      <x:c r="M2" s="33"/>
      <x:c r="N2" s="33" t="str">
        <x:v>NOT_RUN</x:v>
      </x:c>
      <x:c r="O2" s="14" t="str">
        <x:v>Hợp đồng tham chiếu: 04-trip-api.yaml. Chưa chạy kiểm thử. Đối chiếu bản API 1.2 trong cuộc trao đổi; không xác nhận trạng thái commit GitHub.</x:v>
      </x:c>
      <x:c r="P2" s="14" t="str">
        <x:v>R17</x:v>
      </x:c>
      <x:c r="Q2" s="14" t="str">
        <x:v>Request/response đã che token; dữ liệu trước/sau hoặc log kiểm tra có correlationId; môi trường, commit và thời gian chạy. Không ghi mật khẩu thật.</x:v>
      </x:c>
    </x:row>
    <x:row r="3" ht="104" customHeight="1">
      <x:c r="A3" s="11" t="str">
        <x:v>TC-TRACKING-002</x:v>
      </x:c>
      <x:c r="B3" s="11" t="str">
        <x:v>Theo dõi chuyến xe</x:v>
      </x:c>
      <x:c r="C3" s="11" t="str">
        <x:v>Khách hàng xem thông tin tài xế được phân công</x:v>
      </x:c>
      <x:c r="D3" s="11" t="str">
        <x:v>Chuyến đã có tài xế được phân công</x:v>
      </x:c>
      <x:c r="E3" s="11" t="str">
        <x:v>1. Chuẩn bị dữ liệu và trạng thái trong Preconditions.
2. Gọi GET /trips/{tripId}/tracking với Test Data.
3. Đối chiếu HTTP, nội dung phản hồi và trạng thái lưu trữ với Expected Result.</x:v>
      </x:c>
      <x:c r="F3" s="11" t="str">
        <x:v>tripId: TRP0001</x:v>
      </x:c>
      <x:c r="G3" s="11" t="str">
        <x:v>Hiển thị đúng họ tên, số điện thoại tài xế được phân công</x:v>
      </x:c>
      <x:c r="H3" s="11" t="str">
        <x:v>High</x:v>
      </x:c>
      <x:c r="I3" s="14" t="str">
        <x:v>FR09; FR18; AC04</x:v>
      </x:c>
      <x:c r="J3" s="14" t="str">
        <x:v>GET /trips/{tripId}/tracking</x:v>
      </x:c>
      <x:c r="K3" s="14" t="str">
        <x:v>API</x:v>
      </x:c>
      <x:c r="L3" s="14" t="str">
        <x:v>DEFINED</x:v>
      </x:c>
      <x:c r="M3" s="33"/>
      <x:c r="N3" s="33" t="str">
        <x:v>NOT_RUN</x:v>
      </x:c>
      <x:c r="O3" s="14" t="str">
        <x:v>Hợp đồng tham chiếu: 04-trip-api.yaml. Chưa chạy kiểm thử. Đối chiếu bản API 1.2 trong cuộc trao đổi; không xác nhận trạng thái commit GitHub.</x:v>
      </x:c>
      <x:c r="P3" s="14" t="str">
        <x:v>R17</x:v>
      </x:c>
      <x:c r="Q3" s="14" t="str">
        <x:v>Request/response đã che token; dữ liệu trước/sau hoặc log kiểm tra có correlationId; môi trường, commit và thời gian chạy. Không ghi mật khẩu thật.</x:v>
      </x:c>
    </x:row>
    <x:row r="4" ht="104" customHeight="1">
      <x:c r="A4" s="11" t="str">
        <x:v>TC-TRACKING-003</x:v>
      </x:c>
      <x:c r="B4" s="11" t="str">
        <x:v>Theo dõi chuyến xe</x:v>
      </x:c>
      <x:c r="C4" s="11" t="str">
        <x:v>Khách hàng xem vị trí hiện tại của tài xế trong quá trình chuyến</x:v>
      </x:c>
      <x:c r="D4" s="11" t="str">
        <x:v>Chuyến đang ở trạng thái IN_PROGRESS, tài xế đang di chuyển</x:v>
      </x:c>
      <x:c r="E4" s="11" t="str">
        <x:v>1. Chuẩn bị dữ liệu và trạng thái trong Preconditions.
2. Gọi GET /trips/{tripId}/tracking với Test Data.
3. Đối chiếu HTTP, nội dung phản hồi và trạng thái lưu trữ với Expected Result.</x:v>
      </x:c>
      <x:c r="F4" s="11" t="str">
        <x:v>tripId: TRP0001</x:v>
      </x:c>
      <x:c r="G4" s="11" t="str">
        <x:v>Vị trí tài xế hiển thị cập nhật đúng với dữ liệu tài xế gửi lên gần nhất</x:v>
      </x:c>
      <x:c r="H4" s="11" t="str">
        <x:v>High</x:v>
      </x:c>
      <x:c r="I4" s="14" t="str">
        <x:v>FR09; FR18; AC04</x:v>
      </x:c>
      <x:c r="J4" s="14" t="str">
        <x:v>GET /trips/{tripId}/tracking</x:v>
      </x:c>
      <x:c r="K4" s="14" t="str">
        <x:v>API</x:v>
      </x:c>
      <x:c r="L4" s="14" t="str">
        <x:v>DEFINED</x:v>
      </x:c>
      <x:c r="M4" s="33"/>
      <x:c r="N4" s="33" t="str">
        <x:v>NOT_RUN</x:v>
      </x:c>
      <x:c r="O4" s="14" t="str">
        <x:v>Hợp đồng tham chiếu: 04-trip-api.yaml. Chưa chạy kiểm thử. Đối chiếu bản API 1.2 trong cuộc trao đổi; không xác nhận trạng thái commit GitHub.</x:v>
      </x:c>
      <x:c r="P4" s="14" t="str">
        <x:v>R17</x:v>
      </x:c>
      <x:c r="Q4" s="14" t="str">
        <x:v>Request/response đã che token; dữ liệu trước/sau hoặc log kiểm tra có correlationId; môi trường, commit và thời gian chạy. Không ghi mật khẩu thật.</x:v>
      </x:c>
    </x:row>
    <x:row r="5" ht="104" customHeight="1">
      <x:c r="A5" s="11" t="str">
        <x:v>TC-TRACKING-004</x:v>
      </x:c>
      <x:c r="B5" s="11" t="str">
        <x:v>Theo dõi chuyến xe</x:v>
      </x:c>
      <x:c r="C5" s="11" t="str">
        <x:v>ETA có đơn vị giây và điều kiện áp dụng</x:v>
      </x:c>
      <x:c r="D5" s="11" t="str">
        <x:v>T1 DRIVER_ASSIGNED; GPS mới; nguồn ETA thử nghiệm trả 120 giây.</x:v>
      </x:c>
      <x:c r="E5" s="11" t="str">
        <x:v>1. Chuẩn bị dữ liệu và trạng thái trong Preconditions.
2. Gọi GET /trips/{tripId}/tracking với Test Data.
3. Đối chiếu HTTP, nội dung phản hồi và trạng thái lưu trữ với Expected Result.</x:v>
      </x:c>
      <x:c r="F5" s="11" t="str">
        <x:v>tripId=T1; nguồn ETA giả lập 120 s.</x:v>
      </x:c>
      <x:c r="G5" s="11" t="str">
        <x:v>200; etaStatus=AVAILABLE, estimatedArrivalSeconds=120. Khi không có dữ liệu không được giả thành 0.</x:v>
      </x:c>
      <x:c r="H5" s="11" t="str">
        <x:v>Medium</x:v>
      </x:c>
      <x:c r="I5" s="14" t="str">
        <x:v>FR09; FR18; AC04</x:v>
      </x:c>
      <x:c r="J5" s="14" t="str">
        <x:v>GET /trips/{tripId}/tracking</x:v>
      </x:c>
      <x:c r="K5" s="14" t="str">
        <x:v>API</x:v>
      </x:c>
      <x:c r="L5" s="14" t="str">
        <x:v>DEFINED</x:v>
      </x:c>
      <x:c r="M5" s="33"/>
      <x:c r="N5" s="33" t="str">
        <x:v>NOT_RUN</x:v>
      </x:c>
      <x:c r="O5" s="14" t="str">
        <x:v>Hợp đồng tham chiếu: 04-trip-api.yaml. Chưa chạy kiểm thử. Đối chiếu bản API 1.2 trong cuộc trao đổi; không xác nhận trạng thái commit GitHub.</x:v>
      </x:c>
      <x:c r="P5" s="14" t="str">
        <x:v>R17</x:v>
      </x:c>
      <x:c r="Q5" s="14" t="str">
        <x:v>Request/response đã che token; dữ liệu trước/sau hoặc log kiểm tra có correlationId; môi trường, commit và thời gian chạy. Không ghi mật khẩu thật.</x:v>
      </x:c>
    </x:row>
    <x:row r="6" ht="104" customHeight="1">
      <x:c r="A6" s="11" t="str">
        <x:v>TC-TRACKING-005</x:v>
      </x:c>
      <x:c r="B6" s="11" t="str">
        <x:v>Theo dõi chuyến xe</x:v>
      </x:c>
      <x:c r="C6" s="11" t="str">
        <x:v>Nhân viên vận hành xem trạng thái chi tiết của một chuyến bất kỳ</x:v>
      </x:c>
      <x:c r="D6" s="11" t="str">
        <x:v>Nhân viên vận hành đã đăng nhập với quyền hợp lệ</x:v>
      </x:c>
      <x:c r="E6" s="11" t="str">
        <x:v>1. Chuẩn bị dữ liệu và trạng thái trong Preconditions.
2. Gọi GET /trips/{tripId}/tracking với Test Data.
3. Đối chiếu HTTP, nội dung phản hồi và trạng thái lưu trữ với Expected Result.</x:v>
      </x:c>
      <x:c r="F6" s="11" t="str">
        <x:v>tripId: TRP0001</x:v>
      </x:c>
      <x:c r="G6" s="11" t="str">
        <x:v>Hiển thị đầy đủ thông tin trạng thái, tài xế, vị trí của chuyến</x:v>
      </x:c>
      <x:c r="H6" s="11" t="str">
        <x:v>Medium</x:v>
      </x:c>
      <x:c r="I6" s="14" t="str">
        <x:v>FR09; FR18; AC04</x:v>
      </x:c>
      <x:c r="J6" s="14" t="str">
        <x:v>GET /trips/{tripId}/tracking</x:v>
      </x:c>
      <x:c r="K6" s="14" t="str">
        <x:v>API</x:v>
      </x:c>
      <x:c r="L6" s="14" t="str">
        <x:v>DEFINED</x:v>
      </x:c>
      <x:c r="M6" s="33"/>
      <x:c r="N6" s="33" t="str">
        <x:v>NOT_RUN</x:v>
      </x:c>
      <x:c r="O6" s="14" t="str">
        <x:v>Hợp đồng tham chiếu: 04-trip-api.yaml. Chưa chạy kiểm thử. Đối chiếu bản API 1.2 trong cuộc trao đổi; không xác nhận trạng thái commit GitHub.</x:v>
      </x:c>
      <x:c r="P6" s="14" t="str">
        <x:v>R17</x:v>
      </x:c>
      <x:c r="Q6" s="14" t="str">
        <x:v>Request/response đã che token; dữ liệu trước/sau hoặc log kiểm tra có correlationId; môi trường, commit và thời gian chạy. Không ghi mật khẩu thật.</x:v>
      </x:c>
    </x:row>
    <x:row r="7" ht="104" customHeight="1">
      <x:c r="A7" s="11" t="str">
        <x:v>TC-TRACKING-006</x:v>
      </x:c>
      <x:c r="B7" s="11" t="str">
        <x:v>Theo dõi chuyến xe</x:v>
      </x:c>
      <x:c r="C7" s="11" t="str">
        <x:v>Xem tracking với tripId không tồn tại</x:v>
      </x:c>
      <x:c r="D7" s="11" t="str">
        <x:v>Người dùng đã đăng nhập</x:v>
      </x:c>
      <x:c r="E7" s="11" t="str">
        <x:v>1. Chuẩn bị dữ liệu và trạng thái trong Preconditions.
2. Gọi GET /trips/{tripId}/tracking với Test Data.
3. Đối chiếu HTTP, nội dung phản hồi và trạng thái lưu trữ với Expected Result.</x:v>
      </x:c>
      <x:c r="F7" s="11" t="str">
        <x:v>tripId: TRP9999</x:v>
      </x:c>
      <x:c r="G7" s="11" t="str">
        <x:v>API trả lỗi 404 Not Found</x:v>
      </x:c>
      <x:c r="H7" s="11" t="str">
        <x:v>Medium</x:v>
      </x:c>
      <x:c r="I7" s="14" t="str">
        <x:v>FR09; FR18; AC04</x:v>
      </x:c>
      <x:c r="J7" s="14" t="str">
        <x:v>GET /trips/{tripId}/tracking</x:v>
      </x:c>
      <x:c r="K7" s="14" t="str">
        <x:v>API</x:v>
      </x:c>
      <x:c r="L7" s="14" t="str">
        <x:v>DEFINED</x:v>
      </x:c>
      <x:c r="M7" s="33"/>
      <x:c r="N7" s="33" t="str">
        <x:v>NOT_RUN</x:v>
      </x:c>
      <x:c r="O7" s="14" t="str">
        <x:v>Hợp đồng tham chiếu: 04-trip-api.yaml. Chưa chạy kiểm thử. Đối chiếu bản API 1.2 trong cuộc trao đổi; không xác nhận trạng thái commit GitHub.</x:v>
      </x:c>
      <x:c r="P7" s="14" t="str">
        <x:v>R17</x:v>
      </x:c>
      <x:c r="Q7" s="14" t="str">
        <x:v>Request/response đã che token; dữ liệu trước/sau hoặc log kiểm tra có correlationId; môi trường, commit và thời gian chạy. Không ghi mật khẩu thật.</x:v>
      </x:c>
    </x:row>
    <x:row r="8" ht="104" customHeight="1">
      <x:c r="A8" s="11" t="str">
        <x:v>TC-TRACKING-007</x:v>
      </x:c>
      <x:c r="B8" s="11" t="str">
        <x:v>Theo dõi chuyến xe</x:v>
      </x:c>
      <x:c r="C8" s="11" t="str">
        <x:v>Khách hàng khác cố xem tracking của chuyến không thuộc về mình</x:v>
      </x:c>
      <x:c r="D8" s="11" t="str">
        <x:v>Chuyến TRP0001 thuộc về khách hàng A; khách hàng B đã đăng nhập</x:v>
      </x:c>
      <x:c r="E8" s="11" t="str">
        <x:v>1. Chuẩn bị dữ liệu và trạng thái trong Preconditions.
2. Gọi GET /trips/{tripId}/tracking với Test Data.
3. Đối chiếu HTTP, nội dung phản hồi và trạng thái lưu trữ với Expected Result.</x:v>
      </x:c>
      <x:c r="F8" s="11" t="str">
        <x:v>Token của B; tripId: TRP0001 (thuộc A)</x:v>
      </x:c>
      <x:c r="G8" s="11" t="str">
        <x:v>404; đối tượng không thuộc phạm vi của người gọi. Không tiết lộ dữ liệu và không thay đổi đối tượng. Dùng cùng phản hồi với ID không tồn tại.</x:v>
      </x:c>
      <x:c r="H8" s="11" t="str">
        <x:v>High</x:v>
      </x:c>
      <x:c r="I8" s="14" t="str">
        <x:v>FR09; FR18; AC04</x:v>
      </x:c>
      <x:c r="J8" s="14" t="str">
        <x:v>GET /trips/{tripId}/tracking</x:v>
      </x:c>
      <x:c r="K8" s="14" t="str">
        <x:v>API</x:v>
      </x:c>
      <x:c r="L8" s="14" t="str">
        <x:v>DEFINED</x:v>
      </x:c>
      <x:c r="M8" s="33"/>
      <x:c r="N8" s="33" t="str">
        <x:v>NOT_RUN</x:v>
      </x:c>
      <x:c r="O8" s="14" t="str">
        <x:v>Hợp đồng tham chiếu: 04-trip-api.yaml. Chưa chạy kiểm thử. Đối chiếu bản API 1.2 trong cuộc trao đổi; không xác nhận trạng thái commit GitHub.</x:v>
      </x:c>
      <x:c r="P8" s="14" t="str">
        <x:v>R17</x:v>
      </x:c>
      <x:c r="Q8" s="14" t="str">
        <x:v>Request/response đã che token; dữ liệu trước/sau hoặc log kiểm tra có correlationId; môi trường, commit và thời gian chạy. Không ghi mật khẩu thật.</x:v>
      </x:c>
    </x:row>
    <x:row r="9" ht="90" customHeight="1">
      <x:c r="A9" s="11" t="str">
        <x:v>TC-TRACKING-008</x:v>
      </x:c>
      <x:c r="B9" s="11" t="str">
        <x:v>Theo dõi chuyến xe</x:v>
      </x:c>
      <x:c r="C9" s="11" t="str">
        <x:v>Theo dõi Booking khi chưa có Trip</x:v>
      </x:c>
      <x:c r="D9" s="11" t="str">
        <x:v>B1 FINDING_DRIVER; chưa được phân công.</x:v>
      </x:c>
      <x:c r="E9" s="11" t="str">
        <x:v>1. Chuẩn bị trạng thái và dữ liệu được nêu.
2. GET /bookings/{bookingId}/status.
3. Kiểm tra HTTP, phản hồi và dữ liệu sau thao tác.</x:v>
      </x:c>
      <x:c r="F9" s="11" t="str">
        <x:v>bookingId=B1.</x:v>
      </x:c>
      <x:c r="G9" s="11" t="str">
        <x:v>200; FINDING_DRIVER; chưa có tripId/driver được gán. Không dùng bookingId làm tripId.</x:v>
      </x:c>
      <x:c r="H9" s="11" t="str">
        <x:v>Medium</x:v>
      </x:c>
      <x:c r="I9" s="14" t="str">
        <x:v>FR09; FR18; AC04</x:v>
      </x:c>
      <x:c r="J9" s="14" t="str">
        <x:v>GET /bookings/{bookingId}/status</x:v>
      </x:c>
      <x:c r="K9" s="14" t="str">
        <x:v>API</x:v>
      </x:c>
      <x:c r="L9" s="14" t="str">
        <x:v>DEFINED</x:v>
      </x:c>
      <x:c r="M9" s="33"/>
      <x:c r="N9" s="33" t="str">
        <x:v>NOT_RUN</x:v>
      </x:c>
      <x:c r="O9" s="14" t="str">
        <x:v>Hợp đồng tham chiếu: 04-trip-api.yaml. Chưa chạy kiểm thử. Đối chiếu bản API 1.2 trong cuộc trao đổi; không xác nhận trạng thái commit GitHub.</x:v>
      </x:c>
      <x:c r="P9" s="14" t="str">
        <x:v>R17</x:v>
      </x:c>
      <x:c r="Q9" s="14" t="str">
        <x:v>Request/response đã che token; dữ liệu trước/sau hoặc log kiểm tra có correlationId; môi trường, commit và thời gian chạy. Không ghi mật khẩu thật.</x:v>
      </x:c>
    </x:row>
    <x:row r="10" ht="104" customHeight="1">
      <x:c r="A10" s="11" t="str">
        <x:v>TC-TRACKING-009</x:v>
      </x:c>
      <x:c r="B10" s="11" t="str">
        <x:v>Theo dõi chuyến xe</x:v>
      </x:c>
      <x:c r="C10" s="11" t="str">
        <x:v>Theo dõi chuyến ngay sau khi tài xế vừa được phân công</x:v>
      </x:c>
      <x:c r="D10" s="11" t="str">
        <x:v>Tài xế vừa chấp nhận chuyến</x:v>
      </x:c>
      <x:c r="E10" s="11" t="str">
        <x:v>1. Chuẩn bị dữ liệu và trạng thái trong Preconditions.
2. Gọi GET /trips/{tripId}/tracking với Test Data.
3. Đối chiếu HTTP, nội dung phản hồi và trạng thái lưu trữ với Expected Result.</x:v>
      </x:c>
      <x:c r="F10" s="11" t="str">
        <x:v>tripId: TRP0001</x:v>
      </x:c>
      <x:c r="G10" s="11" t="str">
        <x:v>Thông tin tài xế được cập nhật và hiển thị kịp thời cho khách hàng</x:v>
      </x:c>
      <x:c r="H10" s="11" t="str">
        <x:v>Medium</x:v>
      </x:c>
      <x:c r="I10" s="14" t="str">
        <x:v>FR09; FR18; AC04</x:v>
      </x:c>
      <x:c r="J10" s="14" t="str">
        <x:v>GET /trips/{tripId}/tracking</x:v>
      </x:c>
      <x:c r="K10" s="14" t="str">
        <x:v>API</x:v>
      </x:c>
      <x:c r="L10" s="14" t="str">
        <x:v>DEFINED</x:v>
      </x:c>
      <x:c r="M10" s="33"/>
      <x:c r="N10" s="33" t="str">
        <x:v>NOT_RUN</x:v>
      </x:c>
      <x:c r="O10" s="14" t="str">
        <x:v>Hợp đồng tham chiếu: 04-trip-api.yaml. Chưa chạy kiểm thử. Đối chiếu bản API 1.2 trong cuộc trao đổi; không xác nhận trạng thái commit GitHub.</x:v>
      </x:c>
      <x:c r="P10" s="14" t="str">
        <x:v>R17</x:v>
      </x:c>
      <x:c r="Q10" s="14" t="str">
        <x:v>Request/response đã che token; dữ liệu trước/sau hoặc log kiểm tra có correlationId; môi trường, commit và thời gian chạy. Không ghi mật khẩu thật.</x:v>
      </x:c>
    </x:row>
    <x:row r="11" ht="104" customHeight="1">
      <x:c r="A11" s="11" t="str">
        <x:v>TC-TRACKING-010</x:v>
      </x:c>
      <x:c r="B11" s="11" t="str">
        <x:v>Theo dõi chuyến xe</x:v>
      </x:c>
      <x:c r="C11" s="11" t="str">
        <x:v>Theo dõi chuyến phản ánh đúng khi tài xế cập nhật Đã đến điểm đón</x:v>
      </x:c>
      <x:c r="D11" s="11" t="str">
        <x:v>Tài xế vừa cập nhật trạng thái ARRIVED_PICKUP</x:v>
      </x:c>
      <x:c r="E11" s="11" t="str">
        <x:v>1. Chuẩn bị dữ liệu và trạng thái trong Preconditions.
2. Gọi GET /trips/{tripId}/tracking với Test Data.
3. Đối chiếu HTTP, nội dung phản hồi và trạng thái lưu trữ với Expected Result.</x:v>
      </x:c>
      <x:c r="F11" s="11" t="str">
        <x:v>tripId: TRP0001</x:v>
      </x:c>
      <x:c r="G11" s="11" t="str">
        <x:v>Tracking hiển thị đúng trạng thái mới nhất (ARRIVED_PICKUP)</x:v>
      </x:c>
      <x:c r="H11" s="11" t="str">
        <x:v>Medium</x:v>
      </x:c>
      <x:c r="I11" s="14" t="str">
        <x:v>FR09; FR18; AC04</x:v>
      </x:c>
      <x:c r="J11" s="14" t="str">
        <x:v>GET /trips/{tripId}/tracking</x:v>
      </x:c>
      <x:c r="K11" s="14" t="str">
        <x:v>API</x:v>
      </x:c>
      <x:c r="L11" s="14" t="str">
        <x:v>DEFINED</x:v>
      </x:c>
      <x:c r="M11" s="33"/>
      <x:c r="N11" s="33" t="str">
        <x:v>NOT_RUN</x:v>
      </x:c>
      <x:c r="O11" s="14" t="str">
        <x:v>Hợp đồng tham chiếu: 04-trip-api.yaml. Chưa chạy kiểm thử. Đối chiếu bản API 1.2 trong cuộc trao đổi; không xác nhận trạng thái commit GitHub.</x:v>
      </x:c>
      <x:c r="P11" s="14" t="str">
        <x:v>R17</x:v>
      </x:c>
      <x:c r="Q11" s="14" t="str">
        <x:v>Request/response đã che token; dữ liệu trước/sau hoặc log kiểm tra có correlationId; môi trường, commit và thời gian chạy. Không ghi mật khẩu thật.</x:v>
      </x:c>
    </x:row>
    <x:row r="12" ht="104" customHeight="1">
      <x:c r="A12" s="11" t="str">
        <x:v>TC-TRACKING-011</x:v>
      </x:c>
      <x:c r="B12" s="11" t="str">
        <x:v>Theo dõi chuyến xe</x:v>
      </x:c>
      <x:c r="C12" s="11" t="str">
        <x:v>Theo dõi chuyến đã hoàn thành</x:v>
      </x:c>
      <x:c r="D12" s="11" t="str">
        <x:v>T1 COMPLETED và có closedAt.</x:v>
      </x:c>
      <x:c r="E12" s="11" t="str">
        <x:v>1. Chuẩn bị dữ liệu và trạng thái trong Preconditions.
2. Gọi GET /trips/{tripId}/tracking với Test Data.
3. Đối chiếu HTTP, nội dung phản hồi và trạng thái lưu trữ với Expected Result.</x:v>
      </x:c>
      <x:c r="F12" s="11" t="str">
        <x:v>tripId=T1.</x:v>
      </x:c>
      <x:c r="G12" s="11" t="str">
        <x:v>200; COMPLETED, trackingStatus=STOPPED, location=null; không ETA hoạt động và không có driver.phone.</x:v>
      </x:c>
      <x:c r="H12" s="11" t="str">
        <x:v>Low</x:v>
      </x:c>
      <x:c r="I12" s="14" t="str">
        <x:v>FR09; FR18; AC04</x:v>
      </x:c>
      <x:c r="J12" s="14" t="str">
        <x:v>GET /trips/{tripId}/tracking</x:v>
      </x:c>
      <x:c r="K12" s="14" t="str">
        <x:v>API</x:v>
      </x:c>
      <x:c r="L12" s="14" t="str">
        <x:v>DEFINED</x:v>
      </x:c>
      <x:c r="M12" s="33"/>
      <x:c r="N12" s="33" t="str">
        <x:v>NOT_RUN</x:v>
      </x:c>
      <x:c r="O12" s="14" t="str">
        <x:v>Hợp đồng tham chiếu: 04-trip-api.yaml. Chưa chạy kiểm thử. Đối chiếu bản API 1.2 trong cuộc trao đổi; không xác nhận trạng thái commit GitHub.</x:v>
      </x:c>
      <x:c r="P12" s="14" t="str">
        <x:v>R17</x:v>
      </x:c>
      <x:c r="Q12" s="14" t="str">
        <x:v>Request/response đã che token; dữ liệu trước/sau hoặc log kiểm tra có correlationId; môi trường, commit và thời gian chạy. Không ghi mật khẩu thật.</x:v>
      </x:c>
    </x:row>
    <x:row r="13" ht="104" customHeight="1">
      <x:c r="A13" s="11" t="str">
        <x:v>TC-TRACKING-012</x:v>
      </x:c>
      <x:c r="B13" s="11" t="str">
        <x:v>Theo dõi chuyến xe</x:v>
      </x:c>
      <x:c r="C13" s="11" t="str">
        <x:v>Theo dõi Trip bị hủy sau khi đã phân công</x:v>
      </x:c>
      <x:c r="D13" s="11" t="str">
        <x:v>T1 CANCELLED và có closedAt; C1 sở hữu T1.</x:v>
      </x:c>
      <x:c r="E13" s="11" t="str">
        <x:v>1. Chuẩn bị dữ liệu và trạng thái trong Preconditions.
2. Gọi GET /trips/{tripId}/tracking với Test Data.
3. Đối chiếu HTTP, nội dung phản hồi và trạng thái lưu trữ với Expected Result.</x:v>
      </x:c>
      <x:c r="F13" s="11" t="str">
        <x:v>tripId=T1; không dùng bookingId thay tripId.</x:v>
      </x:c>
      <x:c r="G13" s="11" t="str">
        <x:v>200; CANCELLED, STOPPED, location=null; không ETA hoạt động hoặc driver.phone; không tiếp tục theo dõi tài xế.</x:v>
      </x:c>
      <x:c r="H13" s="11" t="str">
        <x:v>Low</x:v>
      </x:c>
      <x:c r="I13" s="14" t="str">
        <x:v>FR09; FR18; AC04</x:v>
      </x:c>
      <x:c r="J13" s="14" t="str">
        <x:v>GET /trips/{tripId}/tracking</x:v>
      </x:c>
      <x:c r="K13" s="14" t="str">
        <x:v>API</x:v>
      </x:c>
      <x:c r="L13" s="14" t="str">
        <x:v>DEFINED</x:v>
      </x:c>
      <x:c r="M13" s="33"/>
      <x:c r="N13" s="33" t="str">
        <x:v>NOT_RUN</x:v>
      </x:c>
      <x:c r="O13" s="14" t="str">
        <x:v>Hợp đồng tham chiếu: 04-trip-api.yaml. Chưa chạy kiểm thử. Đối chiếu bản API 1.2 trong cuộc trao đổi; không xác nhận trạng thái commit GitHub.</x:v>
      </x:c>
      <x:c r="P13" s="14" t="str">
        <x:v>R17</x:v>
      </x:c>
      <x:c r="Q13" s="14" t="str">
        <x:v>Request/response đã che token; dữ liệu trước/sau hoặc log kiểm tra có correlationId; môi trường, commit và thời gian chạy. Không ghi mật khẩu thật.</x:v>
      </x:c>
    </x:row>
    <x:row r="14" ht="90" customHeight="1">
      <x:c r="A14" s="11" t="str">
        <x:v>TC-TRACKING-013</x:v>
      </x:c>
      <x:c r="B14" s="11" t="str">
        <x:v>Theo dõi chuyến xe</x:v>
      </x:c>
      <x:c r="C14" s="11" t="str">
        <x:v>Lấy chi tiết Trip và Fare qua đúng API</x:v>
      </x:c>
      <x:c r="D14" s="11" t="str">
        <x:v>C1 sở hữu T1 COMPLETED, Fare đã sẵn sàng.</x:v>
      </x:c>
      <x:c r="E14" s="11" t="str">
        <x:v>1. Chuẩn bị trạng thái và dữ liệu được nêu.
2. GET /trips/{tripId}; GET /trips/{tripId}/fare.
3. Kiểm tra HTTP, phản hồi và dữ liệu sau thao tác.</x:v>
      </x:c>
      <x:c r="F14" s="11" t="str">
        <x:v>tripId=T1.</x:v>
      </x:c>
      <x:c r="G14" s="11" t="str">
        <x:v>Hai phản hồi 200; Trip chứa hành trình/trạng thái/thời gian; Fare chứa cước. Không bắt buộc response Trip có Fare.</x:v>
      </x:c>
      <x:c r="H14" s="11" t="str">
        <x:v>Medium</x:v>
      </x:c>
      <x:c r="I14" s="14" t="str">
        <x:v>FR09; FR18; AC04</x:v>
      </x:c>
      <x:c r="J14" s="14" t="str">
        <x:v>GET /trips/{tripId}; GET /trips/{tripId}/fare</x:v>
      </x:c>
      <x:c r="K14" s="14" t="str">
        <x:v>API</x:v>
      </x:c>
      <x:c r="L14" s="14" t="str">
        <x:v>DEFINED</x:v>
      </x:c>
      <x:c r="M14" s="33"/>
      <x:c r="N14" s="33" t="str">
        <x:v>NOT_RUN</x:v>
      </x:c>
      <x:c r="O14" s="14" t="str">
        <x:v>Hợp đồng tham chiếu: 04-trip-api.yaml. Chưa chạy kiểm thử. Đối chiếu bản API 1.2 trong cuộc trao đổi; không xác nhận trạng thái commit GitHub.</x:v>
      </x:c>
      <x:c r="P14" s="14" t="str">
        <x:v>R17</x:v>
      </x:c>
      <x:c r="Q14" s="14" t="str">
        <x:v>Request/response đã che token; dữ liệu trước/sau hoặc log kiểm tra có correlationId; môi trường, commit và thời gian chạy. Không ghi mật khẩu thật.</x:v>
      </x:c>
    </x:row>
    <x:row r="15" ht="90" customHeight="1">
      <x:c r="A15" s="11" t="str">
        <x:v>TC-TRACKING-014</x:v>
      </x:c>
      <x:c r="B15" s="11" t="str">
        <x:v>Theo dõi chuyến xe</x:v>
      </x:c>
      <x:c r="C15" s="11" t="str">
        <x:v>Xem chi tiết chuyến khi chưa đăng nhập</x:v>
      </x:c>
      <x:c r="D15" s="11" t="str">
        <x:v>Không có access token.</x:v>
      </x:c>
      <x:c r="E15" s="11" t="str">
        <x:v>1. Chuẩn bị trạng thái và dữ liệu được nêu.
2. GET /trips/{tripId}.
3. Kiểm tra HTTP, phản hồi và dữ liệu sau thao tác.</x:v>
      </x:c>
      <x:c r="F15" s="11" t="str">
        <x:v>tripId=T1.</x:v>
      </x:c>
      <x:c r="G15" s="11" t="str">
        <x:v>401; không trả thông tin Trip.</x:v>
      </x:c>
      <x:c r="H15" s="11" t="str">
        <x:v>High</x:v>
      </x:c>
      <x:c r="I15" s="14" t="str">
        <x:v>FR09; FR18; AC04</x:v>
      </x:c>
      <x:c r="J15" s="14" t="str">
        <x:v>GET /trips/{tripId}</x:v>
      </x:c>
      <x:c r="K15" s="14" t="str">
        <x:v>API</x:v>
      </x:c>
      <x:c r="L15" s="14" t="str">
        <x:v>DEFINED</x:v>
      </x:c>
      <x:c r="M15" s="33"/>
      <x:c r="N15" s="33" t="str">
        <x:v>NOT_RUN</x:v>
      </x:c>
      <x:c r="O15" s="14" t="str">
        <x:v>Hợp đồng tham chiếu: 04-trip-api.yaml. Chưa chạy kiểm thử. Đối chiếu bản API 1.2 trong cuộc trao đổi; không xác nhận trạng thái commit GitHub.</x:v>
      </x:c>
      <x:c r="P15" s="14" t="str">
        <x:v>R17</x:v>
      </x:c>
      <x:c r="Q15" s="14" t="str">
        <x:v>Request/response đã che token; dữ liệu trước/sau hoặc log kiểm tra có correlationId; môi trường, commit và thời gian chạy. Không ghi mật khẩu thật.</x:v>
      </x:c>
    </x:row>
    <x:row r="16" ht="104" customHeight="1">
      <x:c r="A16" s="11" t="str">
        <x:v>TC-TRACKING-015</x:v>
      </x:c>
      <x:c r="B16" s="11" t="str">
        <x:v>Theo dõi chuyến xe</x:v>
      </x:c>
      <x:c r="C16" s="11" t="str">
        <x:v>GPS mất cập nhật được nhận diện là STALE</x:v>
      </x:c>
      <x:c r="D16" s="11" t="str">
        <x:v>T1 đang hoạt động; vị trí gần nhất có recordedAt=t0; server hiện tại=t0+31 giây; receivedAt có thể mới hơn.</x:v>
      </x:c>
      <x:c r="E16" s="11" t="str">
        <x:v>1. Chuẩn bị dữ liệu và trạng thái trong Preconditions.
2. Gọi GET /trips/{tripId}/tracking với Test Data.
3. Đối chiếu HTTP, nội dung phản hồi và trạng thái lưu trữ với Expected Result.</x:v>
      </x:c>
      <x:c r="F16" s="11" t="str">
        <x:v>Điều khiển đồng hồ thử nghiệm vượt ngưỡng GPS.</x:v>
      </x:c>
      <x:c r="G16" s="11" t="str">
        <x:v>200; STALE tính từ recordedAt, không từ receivedAt. Không giả là LIVE, không tự đổi Trip sang ERROR.</x:v>
      </x:c>
      <x:c r="H16" s="11" t="str">
        <x:v>Medium</x:v>
      </x:c>
      <x:c r="I16" s="14" t="str">
        <x:v>FR09; FR18; AC04</x:v>
      </x:c>
      <x:c r="J16" s="14" t="str">
        <x:v>GET /trips/{tripId}/tracking</x:v>
      </x:c>
      <x:c r="K16" s="14" t="str">
        <x:v>API</x:v>
      </x:c>
      <x:c r="L16" s="14" t="str">
        <x:v>DEFINED</x:v>
      </x:c>
      <x:c r="M16" s="33"/>
      <x:c r="N16" s="33" t="str">
        <x:v>NOT_RUN</x:v>
      </x:c>
      <x:c r="O16" s="14" t="str">
        <x:v>Hợp đồng tham chiếu: 04-trip-api.yaml. Chưa chạy kiểm thử. Đối chiếu bản API 1.2 trong cuộc trao đổi; không xác nhận trạng thái commit GitHub.</x:v>
      </x:c>
      <x:c r="P16" s="14" t="str">
        <x:v>R17</x:v>
      </x:c>
      <x:c r="Q16" s="14" t="str">
        <x:v>Request/response đã che token; dữ liệu trước/sau hoặc log kiểm tra có correlationId; môi trường, commit và thời gian chạy. Không ghi mật khẩu thật.</x:v>
      </x:c>
    </x:row>
    <x:row r="17" ht="104" customHeight="1">
      <x:c r="A17" s="11" t="str">
        <x:v>TC-TRACKING-016</x:v>
      </x:c>
      <x:c r="B17" s="11" t="str">
        <x:v>Theo dõi chuyến xe</x:v>
      </x:c>
      <x:c r="C17" s="11" t="str">
        <x:v>Kiểm tra dữ liệu tracking trả về đúng định dạng tọa độ</x:v>
      </x:c>
      <x:c r="D17" s="11" t="str">
        <x:v>Chuyến đang thực hiện, tài xế đang gửi vị trí</x:v>
      </x:c>
      <x:c r="E17" s="11" t="str">
        <x:v>1. Chuẩn bị dữ liệu và trạng thái trong Preconditions.
2. Gọi GET /trips/{tripId}/tracking với Test Data.
3. Đối chiếu HTTP, nội dung phản hồi và trạng thái lưu trữ với Expected Result.</x:v>
      </x:c>
      <x:c r="F17" s="11" t="str">
        <x:v>tripId: TRP0001</x:v>
      </x:c>
      <x:c r="G17" s="11" t="str">
        <x:v>latitude trong khoảng [-90,90], longitude trong khoảng [-180,180]</x:v>
      </x:c>
      <x:c r="H17" s="11" t="str">
        <x:v>Low</x:v>
      </x:c>
      <x:c r="I17" s="14" t="str">
        <x:v>FR09; FR18; AC04</x:v>
      </x:c>
      <x:c r="J17" s="14" t="str">
        <x:v>GET /trips/{tripId}/tracking</x:v>
      </x:c>
      <x:c r="K17" s="14" t="str">
        <x:v>API</x:v>
      </x:c>
      <x:c r="L17" s="14" t="str">
        <x:v>DEFINED</x:v>
      </x:c>
      <x:c r="M17" s="33"/>
      <x:c r="N17" s="33" t="str">
        <x:v>NOT_RUN</x:v>
      </x:c>
      <x:c r="O17" s="14" t="str">
        <x:v>Hợp đồng tham chiếu: 04-trip-api.yaml. Chưa chạy kiểm thử. Đối chiếu bản API 1.2 trong cuộc trao đổi; không xác nhận trạng thái commit GitHub.</x:v>
      </x:c>
      <x:c r="P17" s="14" t="str">
        <x:v>R17</x:v>
      </x:c>
      <x:c r="Q17" s="14" t="str">
        <x:v>Request/response đã che token; dữ liệu trước/sau hoặc log kiểm tra có correlationId; môi trường, commit và thời gian chạy. Không ghi mật khẩu thật.</x:v>
      </x:c>
    </x:row>
    <x:row r="18" ht="104" customHeight="1">
      <x:c r="A18" s="11" t="str">
        <x:v>TC-TRACKING-017</x:v>
      </x:c>
      <x:c r="B18" s="11" t="str">
        <x:v>Theo dõi chuyến xe</x:v>
      </x:c>
      <x:c r="C18" s="11" t="str">
        <x:v>Nhân viên vận hành theo dõi nhiều chuyến đang diễn ra cùng lúc</x:v>
      </x:c>
      <x:c r="D18" s="11" t="str">
        <x:v>Có nhiều chuyến đang ở trạng thái IN_PROGRESS</x:v>
      </x:c>
      <x:c r="E18" s="11" t="str">
        <x:v>1. Chuẩn bị dữ liệu và trạng thái trong Preconditions.
2. Gọi GET /trips/{tripId}/tracking với Test Data.
3. Đối chiếu HTTP, nội dung phản hồi và trạng thái lưu trữ với Expected Result.</x:v>
      </x:c>
      <x:c r="F18" s="11" t="str">
        <x:v>tripId: TRP0001, TRP0002, TRP0003</x:v>
      </x:c>
      <x:c r="G18" s="11" t="str">
        <x:v>Mỗi chuyến hiển thị đúng thông tin, dữ liệu không bị lẫn giữa các chuyến</x:v>
      </x:c>
      <x:c r="H18" s="11" t="str">
        <x:v>Medium</x:v>
      </x:c>
      <x:c r="I18" s="14" t="str">
        <x:v>FR09; FR18; AC04</x:v>
      </x:c>
      <x:c r="J18" s="14" t="str">
        <x:v>GET /trips/{tripId}/tracking</x:v>
      </x:c>
      <x:c r="K18" s="14" t="str">
        <x:v>API</x:v>
      </x:c>
      <x:c r="L18" s="14" t="str">
        <x:v>DEFINED</x:v>
      </x:c>
      <x:c r="M18" s="33"/>
      <x:c r="N18" s="33" t="str">
        <x:v>NOT_RUN</x:v>
      </x:c>
      <x:c r="O18" s="14" t="str">
        <x:v>Hợp đồng tham chiếu: 04-trip-api.yaml. Chưa chạy kiểm thử. Đối chiếu bản API 1.2 trong cuộc trao đổi; không xác nhận trạng thái commit GitHub.</x:v>
      </x:c>
      <x:c r="P18" s="14" t="str">
        <x:v>R17</x:v>
      </x:c>
      <x:c r="Q18" s="14" t="str">
        <x:v>Request/response đã che token; dữ liệu trước/sau hoặc log kiểm tra có correlationId; môi trường, commit và thời gian chạy. Không ghi mật khẩu thật.</x:v>
      </x:c>
    </x:row>
    <x:row r="19" ht="104" customHeight="1">
      <x:c r="A19" s="11" t="str">
        <x:v>TC-TRACKING-018</x:v>
      </x:c>
      <x:c r="B19" s="11" t="str">
        <x:v>Theo dõi chuyến xe</x:v>
      </x:c>
      <x:c r="C19" s="11" t="str">
        <x:v>Theo dõi chuyến với vai trò không được phép truy cập</x:v>
      </x:c>
      <x:c r="D19" s="11" t="str">
        <x:v>Tài xế X không liên quan đến chuyến TRP0001</x:v>
      </x:c>
      <x:c r="E19" s="11" t="str">
        <x:v>1. Chuẩn bị dữ liệu và trạng thái trong Preconditions.
2. Gọi GET /trips/{tripId}/tracking với Test Data.
3. Đối chiếu HTTP, nội dung phản hồi và trạng thái lưu trữ với Expected Result.</x:v>
      </x:c>
      <x:c r="F19" s="11" t="str">
        <x:v>Token của tài xế X; tripId: TRP0001 (không liên quan)</x:v>
      </x:c>
      <x:c r="G19" s="11" t="str">
        <x:v>Hệ thống từ chối truy cập (403)</x:v>
      </x:c>
      <x:c r="H19" s="11" t="str">
        <x:v>Medium</x:v>
      </x:c>
      <x:c r="I19" s="14" t="str">
        <x:v>FR09; FR18; AC04</x:v>
      </x:c>
      <x:c r="J19" s="14" t="str">
        <x:v>GET /trips/{tripId}/tracking</x:v>
      </x:c>
      <x:c r="K19" s="14" t="str">
        <x:v>API</x:v>
      </x:c>
      <x:c r="L19" s="14" t="str">
        <x:v>DEFINED</x:v>
      </x:c>
      <x:c r="M19" s="33"/>
      <x:c r="N19" s="33" t="str">
        <x:v>NOT_RUN</x:v>
      </x:c>
      <x:c r="O19" s="14" t="str">
        <x:v>Hợp đồng tham chiếu: 04-trip-api.yaml. Chưa chạy kiểm thử. Đối chiếu bản API 1.2 trong cuộc trao đổi; không xác nhận trạng thái commit GitHub.</x:v>
      </x:c>
      <x:c r="P19" s="14" t="str">
        <x:v>R17</x:v>
      </x:c>
      <x:c r="Q19" s="14" t="str">
        <x:v>Request/response đã che token; dữ liệu trước/sau hoặc log kiểm tra có correlationId; môi trường, commit và thời gian chạy. Không ghi mật khẩu thật.</x:v>
      </x:c>
    </x:row>
    <x:row r="20" ht="104" customHeight="1">
      <x:c r="A20" s="11" t="str">
        <x:v>TC-TRACKING-019</x:v>
      </x:c>
      <x:c r="B20" s="11" t="str">
        <x:v>Theo dõi chuyến xe</x:v>
      </x:c>
      <x:c r="C20" s="11" t="str">
        <x:v>Tracking phản ánh đúng trạng thái ngay sau mỗi lần cập nhật liên tiếp</x:v>
      </x:c>
      <x:c r="D20" s="11" t="str">
        <x:v>Tài xế đang cập nhật lần lượt các trạng thái của chuyến</x:v>
      </x:c>
      <x:c r="E20" s="11" t="str">
        <x:v>1. Chuẩn bị dữ liệu và trạng thái trong Preconditions.
2. Gọi GET /trips/{tripId}/tracking với Test Data.
3. Đối chiếu HTTP, nội dung phản hồi và trạng thái lưu trữ với Expected Result.</x:v>
      </x:c>
      <x:c r="F20" s="11" t="str">
        <x:v>tripId: TRP0007</x:v>
      </x:c>
      <x:c r="G20" s="11" t="str">
        <x:v>Tracking luôn phản ánh đúng trạng thái mới nhất sau mỗi lần cập nhật</x:v>
      </x:c>
      <x:c r="H20" s="11" t="str">
        <x:v>Medium</x:v>
      </x:c>
      <x:c r="I20" s="14" t="str">
        <x:v>FR09; FR18; AC04</x:v>
      </x:c>
      <x:c r="J20" s="14" t="str">
        <x:v>GET /trips/{tripId}/tracking</x:v>
      </x:c>
      <x:c r="K20" s="14" t="str">
        <x:v>API</x:v>
      </x:c>
      <x:c r="L20" s="14" t="str">
        <x:v>DEFINED</x:v>
      </x:c>
      <x:c r="M20" s="33"/>
      <x:c r="N20" s="33" t="str">
        <x:v>NOT_RUN</x:v>
      </x:c>
      <x:c r="O20" s="14" t="str">
        <x:v>Hợp đồng tham chiếu: 04-trip-api.yaml. Chưa chạy kiểm thử. Đối chiếu bản API 1.2 trong cuộc trao đổi; không xác nhận trạng thái commit GitHub.</x:v>
      </x:c>
      <x:c r="P20" s="14" t="str">
        <x:v>R17</x:v>
      </x:c>
      <x:c r="Q20" s="14" t="str">
        <x:v>Request/response đã che token; dữ liệu trước/sau hoặc log kiểm tra có correlationId; môi trường, commit và thời gian chạy. Không ghi mật khẩu thật.</x:v>
      </x:c>
    </x:row>
    <x:row r="21" ht="90" customHeight="1">
      <x:c r="A21" s="11" t="str">
        <x:v>TC-TRACKING-020</x:v>
      </x:c>
      <x:c r="B21" s="11" t="str">
        <x:v>Theo dõi chuyến xe</x:v>
      </x:c>
      <x:c r="C21" s="11" t="str">
        <x:v>Đo hiệu năng API tracking theo kịch bản tải đề xuất</x:v>
      </x:c>
      <x:c r="D21" s="11" t="str">
        <x:v>Môi trường kiểm thử có 50 người dùng đồng thời, 10000 Trip; workload/thiết bị đo được ghi nhận.</x:v>
      </x:c>
      <x:c r="E21" s="11" t="str">
        <x:v>1. Chuẩn bị trạng thái và dữ liệu được nêu.
2. GET /trips/{tripId}/tracking dưới tải 10 phút.
3. Kiểm tra HTTP, phản hồi và dữ liệu sau thao tác.</x:v>
      </x:c>
      <x:c r="F21" s="11" t="str">
        <x:v>Các Trip hợp lệ, token hợp lệ; thu latency và lỗi máy chủ; không trộn negative test vào mẫu tải.</x:v>
      </x:c>
      <x:c r="G21" s="11" t="str">
        <x:v>Theo mục tiêu đề xuất SRS: p95 phản hồi &lt;1 s và tỷ lệ lỗi &lt;1%. Lưu báo cáo đo; đây không phải phép đo độ trễ realtime UI &lt;3 s.</x:v>
      </x:c>
      <x:c r="H21" s="11" t="str">
        <x:v>Low</x:v>
      </x:c>
      <x:c r="I21" s="14" t="str">
        <x:v>FR09; FR18; AC04</x:v>
      </x:c>
      <x:c r="J21" s="14" t="str">
        <x:v>GET /trips/{tripId}/tracking dưới tải 10 phút</x:v>
      </x:c>
      <x:c r="K21" s="14" t="str">
        <x:v>Performance</x:v>
      </x:c>
      <x:c r="L21" s="14" t="str">
        <x:v>DEFINED</x:v>
      </x:c>
      <x:c r="M21" s="33"/>
      <x:c r="N21" s="33" t="str">
        <x:v>NOT_RUN</x:v>
      </x:c>
      <x:c r="O21" s="14" t="str">
        <x:v>Hợp đồng tham chiếu: 04-trip-api.yaml. Chưa chạy kiểm thử. Đối chiếu bản API 1.2 trong cuộc trao đổi; không xác nhận trạng thái commit GitHub.</x:v>
      </x:c>
      <x:c r="P21" s="14" t="str">
        <x:v>R17</x:v>
      </x:c>
      <x:c r="Q21" s="14" t="str">
        <x:v>Request/response đã che token; dữ liệu trước/sau hoặc log kiểm tra có correlationId; môi trường, commit và thời gian chạy. Không ghi mật khẩu thật.</x:v>
      </x:c>
    </x:row>
    <x:row r="22" ht="90" customHeight="1">
      <x:c r="A22" s="14" t="str">
        <x:v>TC-TRACKING-021</x:v>
      </x:c>
      <x:c r="B22" s="14" t="str">
        <x:v>Theo dõi chuyến xe</x:v>
      </x:c>
      <x:c r="C22" s="14" t="str">
        <x:v>GPS cũ không ghi đè GPS mới</x:v>
      </x:c>
      <x:c r="D22" s="14" t="str">
        <x:v>D1 có currentLocation recordedAt=T2.</x:v>
      </x:c>
      <x:c r="E22" s="14" t="str">
        <x:v>1. Thiết lập fixture và trạng thái theo Preconditions.
2. PUT /drivers/me/location với Test Data.
3. Đối chiếu phản hồi và dữ liệu lưu trữ theo Expected Result.</x:v>
      </x:c>
      <x:c r="F22" s="14" t="str">
        <x:v>Tọa độ hợp lệ; recordedAt=T1&lt;T2.</x:v>
      </x:c>
      <x:c r="G22" s="14" t="str">
        <x:v>200; locationUpdated=false; currentLocation vẫn dữ liệu T2.</x:v>
      </x:c>
      <x:c r="H22" s="14" t="str">
        <x:v>High</x:v>
      </x:c>
      <x:c r="I22" s="14" t="str">
        <x:v>FR09; FR18; AC04</x:v>
      </x:c>
      <x:c r="J22" s="14" t="str">
        <x:v>PUT /drivers/me/location</x:v>
      </x:c>
      <x:c r="K22" s="14" t="str">
        <x:v>Integration</x:v>
      </x:c>
      <x:c r="L22" s="14" t="str">
        <x:v>DEFINED</x:v>
      </x:c>
      <x:c r="M22" s="33"/>
      <x:c r="N22" s="33" t="str">
        <x:v>NOT_RUN</x:v>
      </x:c>
      <x:c r="O22" s="14" t="str">
        <x:v>Bổ sung theo thiết kế đã duyệt; chưa chạy kiểm thử. Tham chiếu: 04-trip-api.yaml. Đối chiếu bản API 1.2 trong cuộc trao đổi; không xác nhận trạng thái commit GitHub.</x:v>
      </x:c>
      <x:c r="P22" s="14" t="str">
        <x:v>R17</x:v>
      </x:c>
      <x:c r="Q22" s="14" t="str">
        <x:v>Request/response đã che token; dữ liệu trước/sau hoặc log kiểm tra có correlationId; môi trường, commit và thời gian chạy. Không ghi mật khẩu thật.</x:v>
      </x:c>
    </x:row>
    <x:row r="23" ht="90" customHeight="1">
      <x:c r="A23" s="14" t="str">
        <x:v>TC-TRACKING-022</x:v>
      </x:c>
      <x:c r="B23" s="14" t="str">
        <x:v>Theo dõi chuyến xe</x:v>
      </x:c>
      <x:c r="C23" s="14" t="str">
        <x:v>Cùng thời điểm nhưng khác tọa độ</x:v>
      </x:c>
      <x:c r="D23" s="14" t="str">
        <x:v>D1 có vị trí L1 với recordedAt=t0.</x:v>
      </x:c>
      <x:c r="E23" s="14" t="str">
        <x:v>1. Thiết lập fixture và trạng thái theo Preconditions.
2. PUT /drivers/me/location với Test Data.
3. Đối chiếu phản hồi và dữ liệu lưu trữ theo Expected Result.</x:v>
      </x:c>
      <x:c r="F23" s="14" t="str">
        <x:v>recordedAt=t0, lat/lng khác L1.</x:v>
      </x:c>
      <x:c r="G23" s="14" t="str">
        <x:v>409; giữ nguyên vị trí L1 và thời điểm đã ghi.</x:v>
      </x:c>
      <x:c r="H23" s="14" t="str">
        <x:v>High</x:v>
      </x:c>
      <x:c r="I23" s="14" t="str">
        <x:v>FR09; FR18; AC04</x:v>
      </x:c>
      <x:c r="J23" s="14" t="str">
        <x:v>PUT /drivers/me/location</x:v>
      </x:c>
      <x:c r="K23" s="14" t="str">
        <x:v>Integration</x:v>
      </x:c>
      <x:c r="L23" s="14" t="str">
        <x:v>DEFINED</x:v>
      </x:c>
      <x:c r="M23" s="33"/>
      <x:c r="N23" s="33" t="str">
        <x:v>NOT_RUN</x:v>
      </x:c>
      <x:c r="O23" s="14" t="str">
        <x:v>Bổ sung theo thiết kế đã duyệt; chưa chạy kiểm thử. Tham chiếu: 04-trip-api.yaml. Đối chiếu bản API 1.2 trong cuộc trao đổi; không xác nhận trạng thái commit GitHub.</x:v>
      </x:c>
      <x:c r="P23" s="14" t="str">
        <x:v>R17</x:v>
      </x:c>
      <x:c r="Q23" s="14" t="str">
        <x:v>Request/response đã che token; dữ liệu trước/sau hoặc log kiểm tra có correlationId; môi trường, commit và thời gian chạy. Không ghi mật khẩu thật.</x:v>
      </x:c>
    </x:row>
    <x:row r="24" ht="104" customHeight="1">
      <x:c r="A24" s="14" t="str">
        <x:v>TC-TRACKING-023</x:v>
      </x:c>
      <x:c r="B24" s="14" t="str">
        <x:v>Theo dõi chuyến xe</x:v>
      </x:c>
      <x:c r="C24" s="14" t="str">
        <x:v>Không lộ GPS chuyến sau cho khách chuyến trước</x:v>
      </x:c>
      <x:c r="D24" s="14" t="str">
        <x:v>T1 đã đóng; D1 tiếp tục T2 của Customer khác và gửi GPS mới.</x:v>
      </x:c>
      <x:c r="E24" s="14" t="str">
        <x:v>1. Thiết lập fixture và trạng thái theo Preconditions.
2. GET /trips/T1/tracking bằng khách T1 với Test Data.
3. Đối chiếu phản hồi và dữ liệu lưu trữ theo Expected Result.</x:v>
      </x:c>
      <x:c r="F24" s="14" t="str">
        <x:v>GPS mới của D1 thuộc quá trình phục vụ T2.</x:v>
      </x:c>
      <x:c r="G24" s="14" t="str">
        <x:v>200; T1 STOPPED, location=null; không trả tọa độ trực tiếp của T2.</x:v>
      </x:c>
      <x:c r="H24" s="14" t="str">
        <x:v>High</x:v>
      </x:c>
      <x:c r="I24" s="14" t="str">
        <x:v>FR09; FR18; AC04</x:v>
      </x:c>
      <x:c r="J24" s="14" t="str">
        <x:v>GET /trips/T1/tracking bằng khách T1</x:v>
      </x:c>
      <x:c r="K24" s="14" t="str">
        <x:v>Integration</x:v>
      </x:c>
      <x:c r="L24" s="14" t="str">
        <x:v>DEFINED</x:v>
      </x:c>
      <x:c r="M24" s="33"/>
      <x:c r="N24" s="33" t="str">
        <x:v>NOT_RUN</x:v>
      </x:c>
      <x:c r="O24" s="14" t="str">
        <x:v>Bổ sung theo thiết kế đã duyệt; chưa chạy kiểm thử. Tham chiếu: 04-trip-api.yaml. Đối chiếu bản API 1.2 trong cuộc trao đổi; không xác nhận trạng thái commit GitHub.</x:v>
      </x:c>
      <x:c r="P24" s="14" t="str">
        <x:v>R17</x:v>
      </x:c>
      <x:c r="Q24" s="14" t="str">
        <x:v>Request/response đã che token; dữ liệu trước/sau hoặc log kiểm tra có correlationId; môi trường, commit và thời gian chạy. Không ghi mật khẩu thật.</x:v>
      </x:c>
    </x:row>
    <x:row r="25" ht="104" customHeight="1">
      <x:c r="A25" s="14" t="str">
        <x:v>TC-TRACKING-024</x:v>
      </x:c>
      <x:c r="B25" s="14" t="str">
        <x:v>Theo dõi chuyến xe</x:v>
      </x:c>
      <x:c r="C25" s="14" t="str">
        <x:v>GPS không làm tăng version trạng thái</x:v>
      </x:c>
      <x:c r="D25" s="14" t="str">
        <x:v>D1 đang phục vụ T1; ghi lại Driver.version và Trip.version.</x:v>
      </x:c>
      <x:c r="E25" s="14" t="str">
        <x:v>1. Thiết lập fixture và trạng thái theo Preconditions.
2. PUT /drivers/me/location; đọc lại version/lịch sử với Test Data.
3. Đối chiếu phản hồi và dữ liệu lưu trữ theo Expected Result.</x:v>
      </x:c>
      <x:c r="F25" s="14" t="str">
        <x:v>GPS mới, hợp lệ.</x:v>
      </x:c>
      <x:c r="G25" s="14" t="str">
        <x:v>Vị trí được cập nhật; hai version nghiệp vụ không tăng; không có TripStatusHistory mới.</x:v>
      </x:c>
      <x:c r="H25" s="14" t="str">
        <x:v>High</x:v>
      </x:c>
      <x:c r="I25" s="14" t="str">
        <x:v>FR09; FR18; AC04</x:v>
      </x:c>
      <x:c r="J25" s="14" t="str">
        <x:v>PUT /drivers/me/location; đọc lại version/lịch sử</x:v>
      </x:c>
      <x:c r="K25" s="14" t="str">
        <x:v>Integration</x:v>
      </x:c>
      <x:c r="L25" s="14" t="str">
        <x:v>DEFINED</x:v>
      </x:c>
      <x:c r="M25" s="33"/>
      <x:c r="N25" s="33" t="str">
        <x:v>NOT_RUN</x:v>
      </x:c>
      <x:c r="O25" s="14" t="str">
        <x:v>Bổ sung theo thiết kế đã duyệt; chưa chạy kiểm thử. Tham chiếu: 04-trip-api.yaml. Đối chiếu bản API 1.2 trong cuộc trao đổi; không xác nhận trạng thái commit GitHub.</x:v>
      </x:c>
      <x:c r="P25" s="14" t="str">
        <x:v>R17</x:v>
      </x:c>
      <x:c r="Q25" s="14" t="str">
        <x:v>Request/response đã che token; dữ liệu trước/sau hoặc log kiểm tra có correlationId; môi trường, commit và thời gian chạy. Không ghi mật khẩu thật.</x:v>
      </x:c>
    </x:row>
    <x:row r="26" ht="104" customHeight="1">
      <x:c r="A26" s="14" t="str">
        <x:v>TC-TRACKING-025</x:v>
      </x:c>
      <x:c r="B26" s="14" t="str">
        <x:v>Tracking</x:v>
      </x:c>
      <x:c r="C26" s="14" t="str">
        <x:v>Tuổi GPS ở biên 30 giây</x:v>
      </x:c>
      <x:c r="D26" s="14" t="str">
        <x:v>T1 hoạt động; recordedAt=t0; chưa có vị trí mới.</x:v>
      </x:c>
      <x:c r="E26" s="14" t="str">
        <x:v>1. Chuẩn bị fixture độc lập theo Preconditions.
2. GET /trips/T1/tracking với Test Data; lưu phản hồi và correlationId.
3. Đối chiếu từng điều kiện Expected Result với dữ liệu sau thao tác.</x:v>
      </x:c>
      <x:c r="F26" s="14" t="str">
        <x:v>Đọc tại t0+30s rồi t0+30.001s</x:v>
      </x:c>
      <x:c r="G26" s="14" t="str">
        <x:v>Lần đầu LIVE, lần sau STALE; tuổi dựa recordedAt; không dùng receivedAt.</x:v>
      </x:c>
      <x:c r="H26" s="14" t="str">
        <x:v>High</x:v>
      </x:c>
      <x:c r="I26" s="14" t="str">
        <x:v>API 1.2; rubric liên kết</x:v>
      </x:c>
      <x:c r="J26" s="14" t="str">
        <x:v>GET /trips/T1/tracking</x:v>
      </x:c>
      <x:c r="K26" s="14" t="str">
        <x:v>Integration</x:v>
      </x:c>
      <x:c r="L26" s="14" t="str">
        <x:v>DEFINED</x:v>
      </x:c>
      <x:c r="M26" s="33"/>
      <x:c r="N26" s="33" t="str">
        <x:v>NOT_RUN</x:v>
      </x:c>
      <x:c r="O26" s="14" t="str">
        <x:v>Chưa chạy. Fixture giả trong môi trường kiểm thử cô lập.</x:v>
      </x:c>
      <x:c r="P26" s="14" t="str">
        <x:v>R17</x:v>
      </x:c>
      <x:c r="Q26" s="14" t="str">
        <x:v>Request/response đã che token; dữ liệu trước/sau hoặc log kiểm tra có correlationId; môi trường, commit và thời gian chạy. Không ghi mật khẩu thật.</x:v>
      </x:c>
    </x:row>
    <x:row r="27" ht="104" customHeight="1">
      <x:c r="A27" s="14" t="str">
        <x:v>TC-TRACKING-026</x:v>
      </x:c>
      <x:c r="B27" s="14" t="str">
        <x:v>Tracking</x:v>
      </x:c>
      <x:c r="C27" s="14" t="str">
        <x:v>GPS timestamp tương lai bị từ chối</x:v>
      </x:c>
      <x:c r="D27" s="14" t="str">
        <x:v>D1 ACTIVE; serverTime=t0.</x:v>
      </x:c>
      <x:c r="E27" s="14" t="str">
        <x:v>1. Chuẩn bị fixture độc lập theo Preconditions.
2. PUT /drivers/me/location với Test Data; lưu phản hồi và correlationId.
3. Đối chiếu từng điều kiện Expected Result với dữ liệu sau thao tác.</x:v>
      </x:c>
      <x:c r="F27" s="14" t="str">
        <x:v>recordedAt=t0+1s; tọa độ hợp lệ</x:v>
      </x:c>
      <x:c r="G27" s="14" t="str">
        <x:v>400; không thay currentLocation hoặc gán mẫu GPS vào Trip.</x:v>
      </x:c>
      <x:c r="H27" s="14" t="str">
        <x:v>High</x:v>
      </x:c>
      <x:c r="I27" s="14" t="str">
        <x:v>API 1.2; rubric liên kết</x:v>
      </x:c>
      <x:c r="J27" s="14" t="str">
        <x:v>PUT /drivers/me/location</x:v>
      </x:c>
      <x:c r="K27" s="14" t="str">
        <x:v>Integration</x:v>
      </x:c>
      <x:c r="L27" s="14" t="str">
        <x:v>DEFINED</x:v>
      </x:c>
      <x:c r="M27" s="33"/>
      <x:c r="N27" s="33" t="str">
        <x:v>NOT_RUN</x:v>
      </x:c>
      <x:c r="O27" s="14" t="str">
        <x:v>Chưa chạy. Fixture giả trong môi trường kiểm thử cô lập.</x:v>
      </x:c>
      <x:c r="P27" s="14" t="str">
        <x:v>R17</x:v>
      </x:c>
      <x:c r="Q27" s="14" t="str">
        <x:v>Request/response đã che token; dữ liệu trước/sau hoặc log kiểm tra có correlationId; môi trường, commit và thời gian chạy. Không ghi mật khẩu thật.</x:v>
      </x:c>
    </x:row>
    <x:row r="28" ht="104" customHeight="1">
      <x:c r="A28" s="14" t="str">
        <x:v>TC-TRACKING-027</x:v>
      </x:c>
      <x:c r="B28" s="14" t="str">
        <x:v>Tracking</x:v>
      </x:c>
      <x:c r="C28" s="14" t="str">
        <x:v>GPS trùng không làm mới receivedAt</x:v>
      </x:c>
      <x:c r="D28" s="14" t="str">
        <x:v>Có vị trí với recordedAt=t0 và tọa độ L1.</x:v>
      </x:c>
      <x:c r="E28" s="14" t="str">
        <x:v>1. Chuẩn bị fixture độc lập theo Preconditions.
2. PUT /drivers/me/location với Test Data; lưu phản hồi và correlationId.
3. Đối chiếu từng điều kiện Expected Result với dữ liệu sau thao tác.</x:v>
      </x:c>
      <x:c r="F28" s="14" t="str">
        <x:v>Gửi lại đúng t0/L1 ở thời điểm muộn hơn</x:v>
      </x:c>
      <x:c r="G28" s="14" t="str">
        <x:v>200 locationUpdated=false; giữ currentLocation và receivedAt cũ; không gia hạn điều kiện GPS.</x:v>
      </x:c>
      <x:c r="H28" s="14" t="str">
        <x:v>High</x:v>
      </x:c>
      <x:c r="I28" s="14" t="str">
        <x:v>API 1.2; rubric liên kết</x:v>
      </x:c>
      <x:c r="J28" s="14" t="str">
        <x:v>PUT /drivers/me/location</x:v>
      </x:c>
      <x:c r="K28" s="14" t="str">
        <x:v>Integration</x:v>
      </x:c>
      <x:c r="L28" s="14" t="str">
        <x:v>DEFINED</x:v>
      </x:c>
      <x:c r="M28" s="33"/>
      <x:c r="N28" s="33" t="str">
        <x:v>NOT_RUN</x:v>
      </x:c>
      <x:c r="O28" s="14" t="str">
        <x:v>Chưa chạy. Fixture giả trong môi trường kiểm thử cô lập.</x:v>
      </x:c>
      <x:c r="P28" s="14" t="str">
        <x:v>R17</x:v>
      </x:c>
      <x:c r="Q28" s="14" t="str">
        <x:v>Request/response đã che token; dữ liệu trước/sau hoặc log kiểm tra có correlationId; môi trường, commit và thời gian chạy. Không ghi mật khẩu thật.</x:v>
      </x:c>
    </x:row>
    <x:row r="29" ht="104" customHeight="1">
      <x:c r="A29" s="14" t="str">
        <x:v>TC-TRACKING-028</x:v>
      </x:c>
      <x:c r="B29" s="14" t="str">
        <x:v>Tracking</x:v>
      </x:c>
      <x:c r="C29" s="14" t="str">
        <x:v>Tracking đã đóng không lộ phone hay GPS chuyến mới</x:v>
      </x:c>
      <x:c r="D29" s="14" t="str">
        <x:v>T1 đóng; D1 đang T2 với vị trí mới.</x:v>
      </x:c>
      <x:c r="E29" s="14" t="str">
        <x:v>1. Chuẩn bị fixture độc lập theo Preconditions.
2. GET /trips/T1/tracking với Test Data; lưu phản hồi và correlationId.
3. Đối chiếu từng điều kiện Expected Result với dữ liệu sau thao tác.</x:v>
      </x:c>
      <x:c r="F29" s="14" t="str">
        <x:v>JWT Customer của T1</x:v>
      </x:c>
      <x:c r="G29" s="14" t="str">
        <x:v>STOPPED, location=null; không driver.phone; không lộ vị trí hoặc ETA T2.</x:v>
      </x:c>
      <x:c r="H29" s="14" t="str">
        <x:v>High</x:v>
      </x:c>
      <x:c r="I29" s="14" t="str">
        <x:v>API 1.2; rubric liên kết</x:v>
      </x:c>
      <x:c r="J29" s="14" t="str">
        <x:v>GET /trips/T1/tracking</x:v>
      </x:c>
      <x:c r="K29" s="14" t="str">
        <x:v>Integration</x:v>
      </x:c>
      <x:c r="L29" s="14" t="str">
        <x:v>DEFINED</x:v>
      </x:c>
      <x:c r="M29" s="33"/>
      <x:c r="N29" s="33" t="str">
        <x:v>NOT_RUN</x:v>
      </x:c>
      <x:c r="O29" s="14" t="str">
        <x:v>Chưa chạy. Fixture giả trong môi trường kiểm thử cô lập.</x:v>
      </x:c>
      <x:c r="P29" s="14" t="str">
        <x:v>R17</x:v>
      </x:c>
      <x:c r="Q29" s="14" t="str">
        <x:v>Request/response đã che token; dữ liệu trước/sau hoặc log kiểm tra có correlationId; môi trường, commit và thời gian chạy. Không ghi mật khẩu thật.</x:v>
      </x:c>
    </x:row>
  </x:sheetData>
  <x:conditionalFormatting sqref="L2:L25">
    <x:cfRule type="containsText" dxfId="18" priority="1" operator="containsText" text="NEEDS_DECISION"/>
  </x:conditionalFormatting>
  <x:conditionalFormatting sqref="N2:N25">
    <x:cfRule type="containsText" dxfId="19" priority="2" operator="containsText" text="FAIL"/>
    <x:cfRule type="containsText" dxfId="20" priority="3" operator="containsText" text="BLOCKED"/>
  </x:conditionalFormatting>
  <x:conditionalFormatting sqref="L2:L29">
    <x:cfRule type="containsText" dxfId="63" priority="4" operator="containsText" text="NEEDS_DECISION"/>
    <x:cfRule type="containsText" dxfId="64" priority="5" operator="containsText" text="OUT_OF_SCOPE"/>
    <x:cfRule type="containsText" dxfId="65" priority="6" operator="containsText" text="SUPERSEDED"/>
  </x:conditionalFormatting>
  <x:conditionalFormatting sqref="N2:N29">
    <x:cfRule type="containsText" dxfId="66" priority="7" operator="containsText" text="FAIL"/>
    <x:cfRule type="containsText" dxfId="67" priority="8" operator="containsText" text="BLOCKED"/>
  </x:conditionalFormatting>
  <x:dataValidations count="3">
    <x:dataValidation type="list" sqref="L2:L29">
      <x:formula1>"DEFINED,NEEDS_DECISION,OUT_OF_SCOPE,SUPERSEDED"</x:formula1>
    </x:dataValidation>
    <x:dataValidation type="list" sqref="N2:N29">
      <x:formula1>"NOT_RUN,PASS,FAIL,BLOCKED"</x:formula1>
    </x:dataValidation>
    <x:dataValidation type="list" sqref="K2:K29">
      <x:formula1>"API,Integration,UI,Performance,Review,Security"</x:formula1>
    </x:dataValidation>
  </x:dataValidations>
  <x:pageMargins left="0.7" right="0.7" top="0.75" bottom="0.75" header="0.3" footer="0.3"/>
  <x:tableParts count="1">
    <x:tablePart xmlns:r="http://schemas.openxmlformats.org/officeDocument/2006/relationships" r:id="R63a4c634d7cc4fc2"/>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04" customHeight="1">
      <x:c r="A2" s="11" t="str">
        <x:v>TC-PAYMENT-001</x:v>
      </x:c>
      <x:c r="B2" s="11" t="str">
        <x:v>Tính cước và thanh toán</x:v>
      </x:c>
      <x:c r="C2" s="11" t="str">
        <x:v>Lấy thông tin cước của chuyến đã hoàn thành</x:v>
      </x:c>
      <x:c r="D2" s="11" t="str">
        <x:v>T1 COMPLETED; Fare đã tính từ dữ liệu hành trình xác nhận và giá snapshot.</x:v>
      </x:c>
      <x:c r="E2" s="11" t="str">
        <x:v>1. Chuẩn bị dữ liệu và trạng thái trong Preconditions.
2. Gọi GET /trips/{tripId}/fare với Test Data.
3. Đối chiếu HTTP, nội dung phản hồi và trạng thái lưu trữ với Expected Result.</x:v>
      </x:c>
      <x:c r="F2" s="11" t="str">
        <x:v>tripId=T1; có fixture tính cước độc lập.</x:v>
      </x:c>
      <x:c r="G2" s="11" t="str">
        <x:v>200; Fare bất biến đúng distanceKm, durationMinutes, pricingVersionId và totalAmount; GET không tạo hoặc tính lại Fare.</x:v>
      </x:c>
      <x:c r="H2" s="11" t="str">
        <x:v>High</x:v>
      </x:c>
      <x:c r="I2" s="14" t="str">
        <x:v>FR10–FR12; AC06</x:v>
      </x:c>
      <x:c r="J2" s="14" t="str">
        <x:v>GET /trips/{tripId}/fare</x:v>
      </x:c>
      <x:c r="K2" s="14" t="str">
        <x:v>Integration</x:v>
      </x:c>
      <x:c r="L2" s="14" t="str">
        <x:v>DEFINED</x:v>
      </x:c>
      <x:c r="M2" s="33"/>
      <x:c r="N2" s="33" t="str">
        <x:v>NOT_RUN</x:v>
      </x:c>
      <x:c r="O2" s="14" t="str">
        <x:v>Hợp đồng tham chiếu: 05-payment-api.yaml. Chưa chạy kiểm thử. Đối chiếu bản API 1.2 trong cuộc trao đổi; không xác nhận trạng thái commit GitHub.</x:v>
      </x:c>
      <x:c r="P2" s="14" t="str">
        <x:v>R19</x:v>
      </x:c>
      <x:c r="Q2" s="14" t="str">
        <x:v>Request/response đã che token; dữ liệu trước/sau hoặc log kiểm tra có correlationId; môi trường, commit và thời gian chạy. Không ghi mật khẩu thật.</x:v>
      </x:c>
    </x:row>
    <x:row r="3" ht="104" customHeight="1">
      <x:c r="A3" s="11" t="str">
        <x:v>TC-PAYMENT-002</x:v>
      </x:c>
      <x:c r="B3" s="11" t="str">
        <x:v>Tính cước và thanh toán</x:v>
      </x:c>
      <x:c r="C3" s="11" t="str">
        <x:v>Lấy thông tin cước của chuyến chưa hoàn thành</x:v>
      </x:c>
      <x:c r="D3" s="11" t="str">
        <x:v>Chuyến đang ở trạng thái IN_PROGRESS</x:v>
      </x:c>
      <x:c r="E3" s="11" t="str">
        <x:v>1. Chuẩn bị dữ liệu và trạng thái trong Preconditions.
2. Gọi GET /trips/{tripId}/fare với Test Data.
3. Đối chiếu HTTP, nội dung phản hồi và trạng thái lưu trữ với Expected Result.</x:v>
      </x:c>
      <x:c r="F3" s="11" t="str">
        <x:v>tripId: TRP0002</x:v>
      </x:c>
      <x:c r="G3" s="11" t="str">
        <x:v>Hệ thống từ chối (409); chuyến chưa hoàn thành, chưa thể tính cước</x:v>
      </x:c>
      <x:c r="H3" s="11" t="str">
        <x:v>High</x:v>
      </x:c>
      <x:c r="I3" s="14" t="str">
        <x:v>FR10–FR12; AC06</x:v>
      </x:c>
      <x:c r="J3" s="14" t="str">
        <x:v>GET /trips/{tripId}/fare</x:v>
      </x:c>
      <x:c r="K3" s="14" t="str">
        <x:v>Integration</x:v>
      </x:c>
      <x:c r="L3" s="14" t="str">
        <x:v>DEFINED</x:v>
      </x:c>
      <x:c r="M3" s="33"/>
      <x:c r="N3" s="33" t="str">
        <x:v>NOT_RUN</x:v>
      </x:c>
      <x:c r="O3" s="14" t="str">
        <x:v>Hợp đồng tham chiếu: 05-payment-api.yaml. Chưa chạy kiểm thử. Đối chiếu bản API 1.2 trong cuộc trao đổi; không xác nhận trạng thái commit GitHub.</x:v>
      </x:c>
      <x:c r="P3" s="14" t="str">
        <x:v>R19</x:v>
      </x:c>
      <x:c r="Q3" s="14" t="str">
        <x:v>Request/response đã che token; dữ liệu trước/sau hoặc log kiểm tra có correlationId; môi trường, commit và thời gian chạy. Không ghi mật khẩu thật.</x:v>
      </x:c>
    </x:row>
    <x:row r="4" ht="104" customHeight="1">
      <x:c r="A4" s="11" t="str">
        <x:v>TC-PAYMENT-003</x:v>
      </x:c>
      <x:c r="B4" s="11" t="str">
        <x:v>Tính cước và thanh toán</x:v>
      </x:c>
      <x:c r="C4" s="11" t="str">
        <x:v>Tạo thanh toán tiền mặt chưa xác nhận thu tiền</x:v>
      </x:c>
      <x:c r="D4" s="11" t="str">
        <x:v>C1 đăng nhập; T1 thuộc C1 và COMPLETED; Fare F1 đã chốt 55000 VND; chưa có Payment.</x:v>
      </x:c>
      <x:c r="E4" s="11" t="str">
        <x:v>1. Chuẩn bị dữ liệu và trạng thái trong Preconditions.
2. Gọi POST /trips/{tripId}/payments với Test Data.
3. Đối chiếu HTTP, nội dung phản hồi và trạng thái lưu trữ với Expected Result.</x:v>
      </x:c>
      <x:c r="F4" s="11" t="str">
        <x:v>{"paymentMethod":"CASH"}; Idempotency-Key=cash-T1-001.</x:v>
      </x:c>
      <x:c r="G4" s="11" t="str">
        <x:v>201; đúng một Payment và một PaymentAttempt PENDING; amount=55000, currency=VND; không có paidAt/confirmedByAccountId; Trip vẫn COMPLETED.</x:v>
      </x:c>
      <x:c r="H4" s="11" t="str">
        <x:v>High</x:v>
      </x:c>
      <x:c r="I4" s="14" t="str">
        <x:v>FR11; AC06</x:v>
      </x:c>
      <x:c r="J4" s="14" t="str">
        <x:v>POST /trips/{tripId}/payments</x:v>
      </x:c>
      <x:c r="K4" s="14" t="str">
        <x:v>Integration</x:v>
      </x:c>
      <x:c r="L4" s="14" t="str">
        <x:v>DEFINED</x:v>
      </x:c>
      <x:c r="M4" s="33"/>
      <x:c r="N4" s="33" t="str">
        <x:v>NOT_RUN</x:v>
      </x:c>
      <x:c r="O4" s="14" t="str">
        <x:v>Hợp đồng tham chiếu: 05-payment-api.yaml. Chưa chạy kiểm thử. Đối chiếu bản API 1.2 trong cuộc trao đổi; không xác nhận trạng thái commit GitHub.</x:v>
      </x:c>
      <x:c r="P4" s="14" t="str">
        <x:v>—</x:v>
      </x:c>
      <x:c r="Q4" s="14" t="str">
        <x:v>Request/response đã che token; dữ liệu trước/sau hoặc log kiểm tra có correlationId; môi trường, commit và thời gian chạy. Không ghi mật khẩu thật.</x:v>
      </x:c>
    </x:row>
    <x:row r="5" ht="90" customHeight="1">
      <x:c r="A5" s="11" t="str">
        <x:v>TC-PAYMENT-004</x:v>
      </x:c>
      <x:c r="B5" s="11" t="str">
        <x:v>Tính cước và thanh toán</x:v>
      </x:c>
      <x:c r="C5" s="11" t="str">
        <x:v>Tiếp nhận thanh toán điện tử và lấy checkout sau đó</x:v>
      </x:c>
      <x:c r="D5" s="11" t="str">
        <x:v>C1 đăng nhập; T1 thuộc C1 và COMPLETED; Fare F1 đã chốt 55000 VND; chưa có Payment. Provider sandbox hỗ trợ E_WALLET, returnUrl đã được phép.</x:v>
      </x:c>
      <x:c r="E5" s="11" t="str">
        <x:v>1. Chuẩn bị trạng thái và dữ liệu được nêu.
2. POST /trips/{tripId}/payments; GET /payments/{paymentId}.
3. Kiểm tra HTTP, phản hồi và dữ liệu sau thao tác.</x:v>
      </x:c>
      <x:c r="F5" s="11" t="str">
        <x:v>{"paymentMethod":"E_WALLET","returnUrl":"https://app.example.test/payments/return"}; khóa mới.</x:v>
      </x:c>
      <x:c r="G5" s="11" t="str">
        <x:v>201 ghi nhận Payment/Attempt và công việc xử lý; chưa SUCCESS. Checkout có thể chưa sẵn sàng; khi có thì chỉ Customer sở hữu được nhận URL phù hợp.</x:v>
      </x:c>
      <x:c r="H5" s="11" t="str">
        <x:v>High</x:v>
      </x:c>
      <x:c r="I5" s="14" t="str">
        <x:v>FR10–FR12; AC06</x:v>
      </x:c>
      <x:c r="J5" s="14" t="str">
        <x:v>POST /trips/{tripId}/payments; GET /payments/{paymentId}</x:v>
      </x:c>
      <x:c r="K5" s="14" t="str">
        <x:v>Integration</x:v>
      </x:c>
      <x:c r="L5" s="14" t="str">
        <x:v>NEEDS_DECISION</x:v>
      </x:c>
      <x:c r="M5" s="33"/>
      <x:c r="N5" s="33" t="str">
        <x:v>NOT_RUN</x:v>
      </x:c>
      <x:c r="O5" s="14" t="str">
        <x:v>Cần chọn provider sandbox, cấu hình phương thức và returnUrl trước khi chạy. Tham chiếu: 05-payment-api.yaml. Đối chiếu bản API 1.2 trong cuộc trao đổi; không xác nhận trạng thái commit GitHub.</x:v>
      </x:c>
      <x:c r="P5" s="14" t="str">
        <x:v>R19</x:v>
      </x:c>
      <x:c r="Q5" s="14" t="str">
        <x:v>Payload và chữ ký sandbox đúng hợp đồng provider; merchantReference, mã giao dịch, số tiền và currency đã che dữ liệu nhạy cảm; audit/counter chống trùng; ACK thực tế. Chờ chọn provider.</x:v>
      </x:c>
    </x:row>
    <x:row r="6" ht="104" customHeight="1">
      <x:c r="A6" s="11" t="str">
        <x:v>TC-PAYMENT-005</x:v>
      </x:c>
      <x:c r="B6" s="11" t="str">
        <x:v>Tính cước và thanh toán</x:v>
      </x:c>
      <x:c r="C6" s="11" t="str">
        <x:v>Khởi tạo thanh toán với phương thức không hợp lệ</x:v>
      </x:c>
      <x:c r="D6" s="11" t="str">
        <x:v>Chuyến đã hoàn thành</x:v>
      </x:c>
      <x:c r="E6" s="11" t="str">
        <x:v>1. Chuẩn bị dữ liệu và trạng thái trong Preconditions.
2. Gọi POST /trips/{tripId}/payments với Test Data.
3. Đối chiếu HTTP, nội dung phản hồi và trạng thái lưu trữ với Expected Result.</x:v>
      </x:c>
      <x:c r="F6" s="11" t="str">
        <x:v>paymentMethod: BANK_TRANSFER
Idempotency-Key mới; Trip COMPLETED và Fare sẵn sàng, trừ điều kiện đang kiểm tra.</x:v>
      </x:c>
      <x:c r="G6" s="11" t="str">
        <x:v>API trả lỗi validation (400)</x:v>
      </x:c>
      <x:c r="H6" s="11" t="str">
        <x:v>Medium</x:v>
      </x:c>
      <x:c r="I6" s="14" t="str">
        <x:v>FR10–FR12; AC06</x:v>
      </x:c>
      <x:c r="J6" s="14" t="str">
        <x:v>POST /trips/{tripId}/payments</x:v>
      </x:c>
      <x:c r="K6" s="14" t="str">
        <x:v>Integration</x:v>
      </x:c>
      <x:c r="L6" s="14" t="str">
        <x:v>DEFINED</x:v>
      </x:c>
      <x:c r="M6" s="33"/>
      <x:c r="N6" s="33" t="str">
        <x:v>NOT_RUN</x:v>
      </x:c>
      <x:c r="O6" s="14" t="str">
        <x:v>Hợp đồng tham chiếu: 05-payment-api.yaml. Chưa chạy kiểm thử. Đối chiếu bản API 1.2 trong cuộc trao đổi; không xác nhận trạng thái commit GitHub.</x:v>
      </x:c>
      <x:c r="P6" s="14" t="str">
        <x:v>R19</x:v>
      </x:c>
      <x:c r="Q6" s="14" t="str">
        <x:v>Request/response đã che token; dữ liệu trước/sau hoặc log kiểm tra có correlationId; môi trường, commit và thời gian chạy. Không ghi mật khẩu thật.</x:v>
      </x:c>
    </x:row>
    <x:row r="7" ht="104" customHeight="1">
      <x:c r="A7" s="11" t="str">
        <x:v>TC-PAYMENT-006</x:v>
      </x:c>
      <x:c r="B7" s="11" t="str">
        <x:v>Tính cước và thanh toán</x:v>
      </x:c>
      <x:c r="C7" s="11" t="str">
        <x:v>Khởi tạo thanh toán điện tử thiếu returnUrl bắt buộc</x:v>
      </x:c>
      <x:c r="D7" s="11" t="str">
        <x:v>Chuyến đã hoàn thành</x:v>
      </x:c>
      <x:c r="E7" s="11" t="str">
        <x:v>1. Chuẩn bị dữ liệu và trạng thái trong Preconditions.
2. Gọi POST /trips/{tripId}/payments với Test Data.
3. Đối chiếu HTTP, nội dung phản hồi và trạng thái lưu trữ với Expected Result.</x:v>
      </x:c>
      <x:c r="F7" s="11" t="str">
        <x:v>paymentMethod: E_WALLET
returnUrl: (trống)
Idempotency-Key mới; Trip COMPLETED và Fare sẵn sàng, trừ điều kiện đang kiểm tra.</x:v>
      </x:c>
      <x:c r="G7" s="11" t="str">
        <x:v>API trả lỗi validation (400)</x:v>
      </x:c>
      <x:c r="H7" s="11" t="str">
        <x:v>Medium</x:v>
      </x:c>
      <x:c r="I7" s="14" t="str">
        <x:v>FR10–FR12; AC06</x:v>
      </x:c>
      <x:c r="J7" s="14" t="str">
        <x:v>POST /trips/{tripId}/payments</x:v>
      </x:c>
      <x:c r="K7" s="14" t="str">
        <x:v>Integration</x:v>
      </x:c>
      <x:c r="L7" s="14" t="str">
        <x:v>DEFINED</x:v>
      </x:c>
      <x:c r="M7" s="33"/>
      <x:c r="N7" s="33" t="str">
        <x:v>NOT_RUN</x:v>
      </x:c>
      <x:c r="O7" s="14" t="str">
        <x:v>Hợp đồng tham chiếu: 05-payment-api.yaml. Chưa chạy kiểm thử. Đối chiếu bản API 1.2 trong cuộc trao đổi; không xác nhận trạng thái commit GitHub.</x:v>
      </x:c>
      <x:c r="P7" s="14" t="str">
        <x:v>R19</x:v>
      </x:c>
      <x:c r="Q7" s="14" t="str">
        <x:v>Request/response đã che token; dữ liệu trước/sau hoặc log kiểm tra có correlationId; môi trường, commit và thời gian chạy. Không ghi mật khẩu thật.</x:v>
      </x:c>
    </x:row>
    <x:row r="8" ht="104" customHeight="1">
      <x:c r="A8" s="11" t="str">
        <x:v>TC-PAYMENT-007</x:v>
      </x:c>
      <x:c r="B8" s="11" t="str">
        <x:v>Tính cước và thanh toán</x:v>
      </x:c>
      <x:c r="C8" s="11" t="str">
        <x:v>Webhook nhận kết quả giao dịch thành công từ nhà cung cấp</x:v>
      </x:c>
      <x:c r="D8" s="11" t="str">
        <x:v>Có Payment/Attempt điện tử đang chờ; nguồn sự kiện có thẩm quyền.</x:v>
      </x:c>
      <x:c r="E8" s="11" t="str">
        <x:v>1. Chuẩn bị dữ liệu và trạng thái trong Preconditions.
2. Gọi POST /payments/webhooks/{provider} với Test Data.
3. Đối chiếu HTTP, nội dung phản hồi và trạng thái lưu trữ với Expected Result.</x:v>
      </x:c>
      <x:c r="F8" s="11" t="str">
        <x:v>Sự kiện sandbox có chữ ký hợp lệ; merchantReference và providerTransactionId đúng; amount/currency khớp; kết quả cuối cùng SUCCESS.</x:v>
      </x:c>
      <x:c r="G8" s="11" t="str">
        <x:v>Trạng thái thanh toán cập nhật thành SUCCESS</x:v>
      </x:c>
      <x:c r="H8" s="11" t="str">
        <x:v>High</x:v>
      </x:c>
      <x:c r="I8" s="14" t="str">
        <x:v>FR10–FR12; AC06</x:v>
      </x:c>
      <x:c r="J8" s="14" t="str">
        <x:v>POST /payments/webhooks/{provider}</x:v>
      </x:c>
      <x:c r="K8" s="14" t="str">
        <x:v>Integration</x:v>
      </x:c>
      <x:c r="L8" s="14" t="str">
        <x:v>NEEDS_DECISION</x:v>
      </x:c>
      <x:c r="M8" s="33"/>
      <x:c r="N8" s="33" t="str">
        <x:v>NOT_RUN</x:v>
      </x:c>
      <x:c r="O8" s="14" t="str">
        <x:v>Quy tắc nghiệp vụ đã rõ; payload, chữ ký và ACK cụ thể chờ hợp đồng provider. Không dùng JSON status tùy ý. Tham chiếu: 05-payment-api.yaml. Đối chiếu bản API 1.2 trong cuộc trao đổi; không xác nhận trạng thái commit GitHub.</x:v>
      </x:c>
      <x:c r="P8" s="14" t="str">
        <x:v>R19</x:v>
      </x:c>
      <x:c r="Q8" s="14" t="str">
        <x:v>Payload và chữ ký sandbox đúng hợp đồng provider; merchantReference, mã giao dịch, số tiền và currency đã che dữ liệu nhạy cảm; audit/counter chống trùng; ACK thực tế. Chờ chọn provider.</x:v>
      </x:c>
    </x:row>
    <x:row r="9" ht="104" customHeight="1">
      <x:c r="A9" s="11" t="str">
        <x:v>TC-PAYMENT-008</x:v>
      </x:c>
      <x:c r="B9" s="11" t="str">
        <x:v>Tính cước và thanh toán</x:v>
      </x:c>
      <x:c r="C9" s="11" t="str">
        <x:v>Webhook nhận kết quả giao dịch thất bại từ nhà cung cấp</x:v>
      </x:c>
      <x:c r="D9" s="11" t="str">
        <x:v>Có Payment/Attempt điện tử đang chờ; nguồn sự kiện có thẩm quyền.</x:v>
      </x:c>
      <x:c r="E9" s="11" t="str">
        <x:v>1. Chuẩn bị dữ liệu và trạng thái trong Preconditions.
2. Gọi POST /payments/webhooks/{provider} với Test Data.
3. Đối chiếu HTTP, nội dung phản hồi và trạng thái lưu trữ với Expected Result.</x:v>
      </x:c>
      <x:c r="F9" s="11" t="str">
        <x:v>Sự kiện sandbox có chữ ký hợp lệ; merchantReference và providerTransactionId đúng; amount/currency khớp; kết quả cuối cùng FAILED.</x:v>
      </x:c>
      <x:c r="G9" s="11" t="str">
        <x:v>Trạng thái thanh toán cập nhật thành FAILED; khách hàng được thông báo</x:v>
      </x:c>
      <x:c r="H9" s="11" t="str">
        <x:v>High</x:v>
      </x:c>
      <x:c r="I9" s="14" t="str">
        <x:v>FR10–FR12; AC06</x:v>
      </x:c>
      <x:c r="J9" s="14" t="str">
        <x:v>POST /payments/webhooks/{provider}</x:v>
      </x:c>
      <x:c r="K9" s="14" t="str">
        <x:v>Integration</x:v>
      </x:c>
      <x:c r="L9" s="14" t="str">
        <x:v>NEEDS_DECISION</x:v>
      </x:c>
      <x:c r="M9" s="33"/>
      <x:c r="N9" s="33" t="str">
        <x:v>NOT_RUN</x:v>
      </x:c>
      <x:c r="O9" s="14" t="str">
        <x:v>Quy tắc nghiệp vụ đã rõ; payload, chữ ký và ACK cụ thể chờ hợp đồng provider. Không dùng JSON status tùy ý. Tham chiếu: 05-payment-api.yaml. Đối chiếu bản API 1.2 trong cuộc trao đổi; không xác nhận trạng thái commit GitHub.</x:v>
      </x:c>
      <x:c r="P9" s="14" t="str">
        <x:v>R19</x:v>
      </x:c>
      <x:c r="Q9" s="14" t="str">
        <x:v>Payload và chữ ký sandbox đúng hợp đồng provider; merchantReference, mã giao dịch, số tiền và currency đã che dữ liệu nhạy cảm; audit/counter chống trùng; ACK thực tế. Chờ chọn provider.</x:v>
      </x:c>
    </x:row>
    <x:row r="10" ht="90" customHeight="1">
      <x:c r="A10" s="11" t="str">
        <x:v>TC-PAYMENT-009</x:v>
      </x:c>
      <x:c r="B10" s="11" t="str">
        <x:v>Tính cước và thanh toán</x:v>
      </x:c>
      <x:c r="C10" s="11" t="str">
        <x:v>Retry sau FAILED tạo Attempt mới trong cùng Payment</x:v>
      </x:c>
      <x:c r="D10" s="11" t="str">
        <x:v>Payment P1 và Attempt hiện tại FAILED có xác nhận cuối cùng; requiresReview=false; Customer sở hữu.</x:v>
      </x:c>
      <x:c r="E10" s="11" t="str">
        <x:v>1. Chuẩn bị trạng thái và dữ liệu được nêu.
2. POST /payments/{paymentId}/retry.
3. Kiểm tra HTTP, phản hồi và dữ liệu sau thao tác.</x:v>
      </x:c>
      <x:c r="F10" s="11" t="str">
        <x:v>{"expectedVersion":2,"paymentMethod":"CASH"}; Idempotency-Key=retry-P1-001.</x:v>
      </x:c>
      <x:c r="G10" s="11" t="str">
        <x:v>202; giữ paymentId/fareId/amount; thêm một Attempt PENDING và tăng attemptNumber/version; không tạo Payment thứ hai.</x:v>
      </x:c>
      <x:c r="H10" s="11" t="str">
        <x:v>High</x:v>
      </x:c>
      <x:c r="I10" s="14" t="str">
        <x:v>FR10–FR12; AC06</x:v>
      </x:c>
      <x:c r="J10" s="14" t="str">
        <x:v>POST /payments/{paymentId}/retry</x:v>
      </x:c>
      <x:c r="K10" s="14" t="str">
        <x:v>Integration</x:v>
      </x:c>
      <x:c r="L10" s="14" t="str">
        <x:v>DEFINED</x:v>
      </x:c>
      <x:c r="M10" s="33"/>
      <x:c r="N10" s="33" t="str">
        <x:v>NOT_RUN</x:v>
      </x:c>
      <x:c r="O10" s="14" t="str">
        <x:v>Hợp đồng tham chiếu: 05-payment-api.yaml. Chưa chạy kiểm thử. Đối chiếu bản API 1.2 trong cuộc trao đổi; không xác nhận trạng thái commit GitHub.</x:v>
      </x:c>
      <x:c r="P10" s="14" t="str">
        <x:v>R19; R30</x:v>
      </x:c>
      <x:c r="Q10" s="14" t="str">
        <x:v>Request/response đã che token; dữ liệu trước/sau hoặc log kiểm tra có correlationId; môi trường, commit và thời gian chạy. Không ghi mật khẩu thật.</x:v>
      </x:c>
    </x:row>
    <x:row r="11" ht="104" customHeight="1">
      <x:c r="A11" s="11" t="str">
        <x:v>TC-PAYMENT-010</x:v>
      </x:c>
      <x:c r="B11" s="11" t="str">
        <x:v>Tính cước và thanh toán</x:v>
      </x:c>
      <x:c r="C11" s="11" t="str">
        <x:v>Thử lại thanh toán khi giao dịch đã ở trạng thái SUCCESS</x:v>
      </x:c>
      <x:c r="D11" s="11" t="str">
        <x:v>P1 SUCCESS; C1 sở hữu.</x:v>
      </x:c>
      <x:c r="E11" s="11" t="str">
        <x:v>1. Chuẩn bị dữ liệu và trạng thái trong Preconditions.
2. Gọi POST /payments/{paymentId}/retry với Test Data.
3. Đối chiếu HTTP, nội dung phản hồi và trạng thái lưu trữ với Expected Result.</x:v>
      </x:c>
      <x:c r="F11" s="11" t="str">
        <x:v>{"expectedVersion":3,"paymentMethod":"CASH"}; khóa mới.</x:v>
      </x:c>
      <x:c r="G11" s="11" t="str">
        <x:v>409; không có Attempt mới; không đổi paidAt hoặc SUCCESS.</x:v>
      </x:c>
      <x:c r="H11" s="11" t="str">
        <x:v>Medium</x:v>
      </x:c>
      <x:c r="I11" s="14" t="str">
        <x:v>FR10–FR12; AC06</x:v>
      </x:c>
      <x:c r="J11" s="14" t="str">
        <x:v>POST /payments/{paymentId}/retry</x:v>
      </x:c>
      <x:c r="K11" s="14" t="str">
        <x:v>Integration</x:v>
      </x:c>
      <x:c r="L11" s="14" t="str">
        <x:v>DEFINED</x:v>
      </x:c>
      <x:c r="M11" s="33"/>
      <x:c r="N11" s="33" t="str">
        <x:v>NOT_RUN</x:v>
      </x:c>
      <x:c r="O11" s="14" t="str">
        <x:v>Hợp đồng tham chiếu: 05-payment-api.yaml. Chưa chạy kiểm thử. Đối chiếu bản API 1.2 trong cuộc trao đổi; không xác nhận trạng thái commit GitHub.</x:v>
      </x:c>
      <x:c r="P11" s="14" t="str">
        <x:v>R19; R30</x:v>
      </x:c>
      <x:c r="Q11" s="14" t="str">
        <x:v>Request/response đã che token; dữ liệu trước/sau hoặc log kiểm tra có correlationId; môi trường, commit và thời gian chạy. Không ghi mật khẩu thật.</x:v>
      </x:c>
    </x:row>
    <x:row r="12" ht="90" customHeight="1">
      <x:c r="A12" s="11" t="str">
        <x:v>TC-PAYMENT-011</x:v>
      </x:c>
      <x:c r="B12" s="11" t="str">
        <x:v>Tính cước và thanh toán</x:v>
      </x:c>
      <x:c r="C12" s="11" t="str">
        <x:v>Kiểm tra hệ thống không lưu trực tiếp thông tin thẻ/tài khoản thanh toán nhạy cảm</x:v>
      </x:c>
      <x:c r="D12" s="11" t="str">
        <x:v>Đã thực hiện luồng thanh toán sandbox.</x:v>
      </x:c>
      <x:c r="E12" s="11" t="str">
        <x:v>1. Chuẩn bị trạng thái và dữ liệu được nêu.
2. Kiểm tra response, log và dữ liệu lưu trữ của Payment/Attempt.
3. Kiểm tra HTTP, phản hồi và dữ liệu sau thao tác.</x:v>
      </x:c>
      <x:c r="F12" s="11" t="str">
        <x:v>Sử dụng dữ liệu kiểm thử; không dùng thẻ thật.</x:v>
      </x:c>
      <x:c r="G12" s="11" t="str">
        <x:v>Không lưu/trả PAN đầy đủ, CVV, secret hoặc chữ ký thô; chỉ lưu tham chiếu và thông tin nghiệp vụ cần thiết.</x:v>
      </x:c>
      <x:c r="H12" s="11" t="str">
        <x:v>High</x:v>
      </x:c>
      <x:c r="I12" s="14" t="str">
        <x:v>FR10–FR12; AC06</x:v>
      </x:c>
      <x:c r="J12" s="14" t="str">
        <x:v>Kiểm tra response, log và dữ liệu lưu trữ của Payment/Attempt</x:v>
      </x:c>
      <x:c r="K12" s="14" t="str">
        <x:v>Integration</x:v>
      </x:c>
      <x:c r="L12" s="14" t="str">
        <x:v>DEFINED</x:v>
      </x:c>
      <x:c r="M12" s="33"/>
      <x:c r="N12" s="33" t="str">
        <x:v>NOT_RUN</x:v>
      </x:c>
      <x:c r="O12" s="14" t="str">
        <x:v>Hợp đồng tham chiếu: 05-payment-api.yaml. Chưa chạy kiểm thử. Đối chiếu bản API 1.2 trong cuộc trao đổi; không xác nhận trạng thái commit GitHub.</x:v>
      </x:c>
      <x:c r="P12" s="14" t="str">
        <x:v>R19</x:v>
      </x:c>
      <x:c r="Q12" s="14" t="str">
        <x:v>Request/response đã che token; dữ liệu trước/sau hoặc log kiểm tra có correlationId; môi trường, commit và thời gian chạy. Không ghi mật khẩu thật.</x:v>
      </x:c>
    </x:row>
    <x:row r="13" ht="104" customHeight="1">
      <x:c r="A13" s="11" t="str">
        <x:v>TC-PAYMENT-012</x:v>
      </x:c>
      <x:c r="B13" s="11" t="str">
        <x:v>Tính cước và thanh toán</x:v>
      </x:c>
      <x:c r="C13" s="11" t="str">
        <x:v>Xem trạng thái thanh toán theo paymentId hợp lệ</x:v>
      </x:c>
      <x:c r="D13" s="11" t="str">
        <x:v>Giao dịch thanh toán đã tồn tại</x:v>
      </x:c>
      <x:c r="E13" s="11" t="str">
        <x:v>1. Chuẩn bị dữ liệu và trạng thái trong Preconditions.
2. Gọi GET /payments/{paymentId} với Test Data.
3. Đối chiếu HTTP, nội dung phản hồi và trạng thái lưu trữ với Expected Result.</x:v>
      </x:c>
      <x:c r="F13" s="11" t="str">
        <x:v>paymentId: PAY0001</x:v>
      </x:c>
      <x:c r="G13" s="11" t="str">
        <x:v>Trả về đúng thông tin, trạng thái của giao dịch thanh toán (200)</x:v>
      </x:c>
      <x:c r="H13" s="11" t="str">
        <x:v>Medium</x:v>
      </x:c>
      <x:c r="I13" s="14" t="str">
        <x:v>FR10–FR12; AC06</x:v>
      </x:c>
      <x:c r="J13" s="14" t="str">
        <x:v>GET /payments/{paymentId}</x:v>
      </x:c>
      <x:c r="K13" s="14" t="str">
        <x:v>Integration</x:v>
      </x:c>
      <x:c r="L13" s="14" t="str">
        <x:v>DEFINED</x:v>
      </x:c>
      <x:c r="M13" s="33"/>
      <x:c r="N13" s="33" t="str">
        <x:v>NOT_RUN</x:v>
      </x:c>
      <x:c r="O13" s="14" t="str">
        <x:v>Hợp đồng tham chiếu: 05-payment-api.yaml. Chưa chạy kiểm thử. Đối chiếu bản API 1.2 trong cuộc trao đổi; không xác nhận trạng thái commit GitHub.</x:v>
      </x:c>
      <x:c r="P13" s="14" t="str">
        <x:v>R19</x:v>
      </x:c>
      <x:c r="Q13" s="14" t="str">
        <x:v>Request/response đã che token; dữ liệu trước/sau hoặc log kiểm tra có correlationId; môi trường, commit và thời gian chạy. Không ghi mật khẩu thật.</x:v>
      </x:c>
    </x:row>
    <x:row r="14" ht="104" customHeight="1">
      <x:c r="A14" s="11" t="str">
        <x:v>TC-PAYMENT-013</x:v>
      </x:c>
      <x:c r="B14" s="11" t="str">
        <x:v>Tính cước và thanh toán</x:v>
      </x:c>
      <x:c r="C14" s="11" t="str">
        <x:v>Xem trạng thái thanh toán với paymentId không tồn tại</x:v>
      </x:c>
      <x:c r="D14" s="11" t="str">
        <x:v>Khách hàng đã đăng nhập</x:v>
      </x:c>
      <x:c r="E14" s="11" t="str">
        <x:v>1. Chuẩn bị dữ liệu và trạng thái trong Preconditions.
2. Gọi GET /payments/{paymentId} với Test Data.
3. Đối chiếu HTTP, nội dung phản hồi và trạng thái lưu trữ với Expected Result.</x:v>
      </x:c>
      <x:c r="F14" s="11" t="str">
        <x:v>paymentId: PAY9999</x:v>
      </x:c>
      <x:c r="G14" s="11" t="str">
        <x:v>API trả lỗi 404 Not Found</x:v>
      </x:c>
      <x:c r="H14" s="11" t="str">
        <x:v>Medium</x:v>
      </x:c>
      <x:c r="I14" s="14" t="str">
        <x:v>FR10–FR12; AC06</x:v>
      </x:c>
      <x:c r="J14" s="14" t="str">
        <x:v>GET /payments/{paymentId}</x:v>
      </x:c>
      <x:c r="K14" s="14" t="str">
        <x:v>Integration</x:v>
      </x:c>
      <x:c r="L14" s="14" t="str">
        <x:v>DEFINED</x:v>
      </x:c>
      <x:c r="M14" s="33"/>
      <x:c r="N14" s="33" t="str">
        <x:v>NOT_RUN</x:v>
      </x:c>
      <x:c r="O14" s="14" t="str">
        <x:v>Hợp đồng tham chiếu: 05-payment-api.yaml. Chưa chạy kiểm thử. Đối chiếu bản API 1.2 trong cuộc trao đổi; không xác nhận trạng thái commit GitHub.</x:v>
      </x:c>
      <x:c r="P14" s="14" t="str">
        <x:v>R19</x:v>
      </x:c>
      <x:c r="Q14" s="14" t="str">
        <x:v>Request/response đã che token; dữ liệu trước/sau hoặc log kiểm tra có correlationId; môi trường, commit và thời gian chạy. Không ghi mật khẩu thật.</x:v>
      </x:c>
    </x:row>
    <x:row r="15" ht="90" customHeight="1">
      <x:c r="A15" s="11" t="str">
        <x:v>TC-PAYMENT-014</x:v>
      </x:c>
      <x:c r="B15" s="11" t="str">
        <x:v>Tính cước và thanh toán</x:v>
      </x:c>
      <x:c r="C15" s="11" t="str">
        <x:v>Timeout chưa rõ kết quả chuyển UNKNOWN</x:v>
      </x:c>
      <x:c r="D15" s="11" t="str">
        <x:v>Provider đã có thể tiếp nhận giao dịch nhưng phản hồi bị mất.</x:v>
      </x:c>
      <x:c r="E15" s="11" t="str">
        <x:v>1. Chuẩn bị trạng thái và dữ liệu được nêu.
2. Mô phỏng mất phản hồi provider; GET /payments/{paymentId}.
3. Kiểm tra HTTP, phản hồi và dữ liệu sau thao tác.</x:v>
      </x:c>
      <x:c r="F15" s="11" t="str">
        <x:v>Payment P1, merchantReference đã ghi bền vững.</x:v>
      </x:c>
      <x:c r="G15" s="11" t="str">
        <x:v>Payment/Attempt chuyển UNKNOWN; không tự FAILED/SUCCESS; không tạo lần thu tiền khác; chờ đối soát có thẩm quyền.</x:v>
      </x:c>
      <x:c r="H15" s="11" t="str">
        <x:v>High</x:v>
      </x:c>
      <x:c r="I15" s="14" t="str">
        <x:v>FR10–FR12; AC06</x:v>
      </x:c>
      <x:c r="J15" s="14" t="str">
        <x:v>Mô phỏng mất phản hồi provider; GET /payments/{paymentId}</x:v>
      </x:c>
      <x:c r="K15" s="14" t="str">
        <x:v>Integration</x:v>
      </x:c>
      <x:c r="L15" s="14" t="str">
        <x:v>DEFINED</x:v>
      </x:c>
      <x:c r="M15" s="33"/>
      <x:c r="N15" s="33" t="str">
        <x:v>NOT_RUN</x:v>
      </x:c>
      <x:c r="O15" s="14" t="str">
        <x:v>Hợp đồng tham chiếu: 05-payment-api.yaml. Chưa chạy kiểm thử. Đối chiếu bản API 1.2 trong cuộc trao đổi; không xác nhận trạng thái commit GitHub.</x:v>
      </x:c>
      <x:c r="P15" s="14" t="str">
        <x:v>R19</x:v>
      </x:c>
      <x:c r="Q15" s="14" t="str">
        <x:v>Request/response đã che token; dữ liệu trước/sau hoặc log kiểm tra có correlationId; môi trường, commit và thời gian chạy. Không ghi mật khẩu thật.</x:v>
      </x:c>
    </x:row>
    <x:row r="16" ht="104" customHeight="1">
      <x:c r="A16" s="11" t="str">
        <x:v>TC-PAYMENT-015</x:v>
      </x:c>
      <x:c r="B16" s="11" t="str">
        <x:v>Tính cước và thanh toán</x:v>
      </x:c>
      <x:c r="C16" s="11" t="str">
        <x:v>Webhook gửi payload không hợp lệ</x:v>
      </x:c>
      <x:c r="D16" s="11" t="str">
        <x:v>Giao dịch thanh toán đang ở trạng thái PENDING</x:v>
      </x:c>
      <x:c r="E16" s="11" t="str">
        <x:v>1. Chuẩn bị dữ liệu và trạng thái trong Preconditions.
2. Gọi POST /payments/webhooks/{provider} với Test Data.
3. Đối chiếu HTTP, nội dung phản hồi và trạng thái lưu trữ với Expected Result.</x:v>
      </x:c>
      <x:c r="F16" s="11" t="str">
        <x:v>Body: { status: SUCCESS }</x:v>
      </x:c>
      <x:c r="G16" s="11" t="str">
        <x:v>API trả lỗi validation (400); không cập nhật trạng thái giao dịch</x:v>
      </x:c>
      <x:c r="H16" s="11" t="str">
        <x:v>Medium</x:v>
      </x:c>
      <x:c r="I16" s="14" t="str">
        <x:v>FR10–FR12; AC06</x:v>
      </x:c>
      <x:c r="J16" s="14" t="str">
        <x:v>POST /payments/webhooks/{provider}</x:v>
      </x:c>
      <x:c r="K16" s="14" t="str">
        <x:v>Integration</x:v>
      </x:c>
      <x:c r="L16" s="14" t="str">
        <x:v>NEEDS_DECISION</x:v>
      </x:c>
      <x:c r="M16" s="33"/>
      <x:c r="N16" s="33" t="str">
        <x:v>NOT_RUN</x:v>
      </x:c>
      <x:c r="O16" s="14" t="str">
        <x:v>Cần hợp đồng provider để xác định payload sai cấu trúc và thứ tự kiểm tra chữ ký. Không tự gán payload chung cho mọi cổng thanh toán. Tham chiếu: 05-payment-api.yaml. Đối chiếu bản API 1.2 trong cuộc trao đổi; không xác nhận trạng thái commit GitHub.</x:v>
      </x:c>
      <x:c r="P16" s="14" t="str">
        <x:v>R19</x:v>
      </x:c>
      <x:c r="Q16" s="14" t="str">
        <x:v>Payload và chữ ký sandbox đúng hợp đồng provider; merchantReference, mã giao dịch, số tiền và currency đã che dữ liệu nhạy cảm; audit/counter chống trùng; ACK thực tế. Chờ chọn provider.</x:v>
      </x:c>
    </x:row>
    <x:row r="17" ht="90" customHeight="1">
      <x:c r="A17" s="11" t="str">
        <x:v>TC-PAYMENT-016</x:v>
      </x:c>
      <x:c r="B17" s="11" t="str">
        <x:v>Tính cước và thanh toán</x:v>
      </x:c>
      <x:c r="C17" s="11" t="str">
        <x:v>Được đánh giá khi Trip COMPLETED dù Payment chưa SUCCESS</x:v>
      </x:c>
      <x:c r="D17" s="11" t="str">
        <x:v>C1 sở hữu T1 COMPLETED; Payment CASH PENDING; chưa có Rating.</x:v>
      </x:c>
      <x:c r="E17" s="11" t="str">
        <x:v>1. Chuẩn bị trạng thái và dữ liệu được nêu.
2. POST /trips/{tripId}/rating.
3. Kiểm tra HTTP, phản hồi và dữ liệu sau thao tác.</x:v>
      </x:c>
      <x:c r="F17" s="11" t="str">
        <x:v>{"score":5}; Idempotency-Key=rate-unpaid-T1.</x:v>
      </x:c>
      <x:c r="G17" s="11" t="str">
        <x:v>201; Rating được tạo; Payment vẫn PENDING; không xác nhận thu tiền.</x:v>
      </x:c>
      <x:c r="H17" s="11" t="str">
        <x:v>Medium</x:v>
      </x:c>
      <x:c r="I17" s="14" t="str">
        <x:v>FR16; AC07</x:v>
      </x:c>
      <x:c r="J17" s="14" t="str">
        <x:v>POST /trips/{tripId}/rating</x:v>
      </x:c>
      <x:c r="K17" s="14" t="str">
        <x:v>Integration</x:v>
      </x:c>
      <x:c r="L17" s="14" t="str">
        <x:v>DEFINED</x:v>
      </x:c>
      <x:c r="M17" s="33"/>
      <x:c r="N17" s="33" t="str">
        <x:v>NOT_RUN</x:v>
      </x:c>
      <x:c r="O17" s="14" t="str">
        <x:v>Hợp đồng tham chiếu: 05-payment-api.yaml. Chưa chạy kiểm thử. Đối chiếu bản API 1.2 trong cuộc trao đổi; không xác nhận trạng thái commit GitHub.</x:v>
      </x:c>
      <x:c r="P17" s="14" t="str">
        <x:v>R20</x:v>
      </x:c>
      <x:c r="Q17" s="14" t="str">
        <x:v>Request/response đã che token; dữ liệu trước/sau hoặc log kiểm tra có correlationId; môi trường, commit và thời gian chạy. Không ghi mật khẩu thật.</x:v>
      </x:c>
    </x:row>
    <x:row r="18" ht="104" customHeight="1">
      <x:c r="A18" s="11" t="str">
        <x:v>TC-PAYMENT-017</x:v>
      </x:c>
      <x:c r="B18" s="11" t="str">
        <x:v>Tính cước và thanh toán</x:v>
      </x:c>
      <x:c r="C18" s="11" t="str">
        <x:v>Khách hàng nhận thông báo kết quả sau khi thanh toán điện tử thành công</x:v>
      </x:c>
      <x:c r="D18" s="11" t="str">
        <x:v>Thanh toán điện tử vừa hoàn tất thành công</x:v>
      </x:c>
      <x:c r="E18" s="11" t="str">
        <x:v>1. Chuẩn bị dữ liệu và trạng thái trong Preconditions.
2. Gọi POST /payments/webhooks/{provider} với Test Data.
3. Đối chiếu HTTP, nội dung phản hồi và trạng thái lưu trữ với Expected Result.</x:v>
      </x:c>
      <x:c r="F18" s="11" t="str">
        <x:v>paymentId: PAY0001</x:v>
      </x:c>
      <x:c r="G18" s="11" t="str">
        <x:v>Khách hàng nhận được thông báo thanh toán thành công</x:v>
      </x:c>
      <x:c r="H18" s="11" t="str">
        <x:v>Medium</x:v>
      </x:c>
      <x:c r="I18" s="14" t="str">
        <x:v>FR10–FR12; AC06</x:v>
      </x:c>
      <x:c r="J18" s="14" t="str">
        <x:v>POST /payments/webhooks/{provider}</x:v>
      </x:c>
      <x:c r="K18" s="14" t="str">
        <x:v>Integration</x:v>
      </x:c>
      <x:c r="L18" s="14" t="str">
        <x:v>NEEDS_DECISION</x:v>
      </x:c>
      <x:c r="M18" s="33"/>
      <x:c r="N18" s="33" t="str">
        <x:v>NOT_RUN</x:v>
      </x:c>
      <x:c r="O18" s="14" t="str">
        <x:v>Thông báo dựa trên Payment SUCCESS có thẩm quyền; dữ liệu callback cụ thể chờ provider. Tham chiếu: 05-payment-api.yaml. Đối chiếu bản API 1.2 trong cuộc trao đổi; không xác nhận trạng thái commit GitHub.</x:v>
      </x:c>
      <x:c r="P18" s="14" t="str">
        <x:v>R19</x:v>
      </x:c>
      <x:c r="Q18" s="14" t="str">
        <x:v>Payload và chữ ký sandbox đúng hợp đồng provider; merchantReference, mã giao dịch, số tiền và currency đã che dữ liệu nhạy cảm; audit/counter chống trùng; ACK thực tế. Chờ chọn provider.</x:v>
      </x:c>
    </x:row>
    <x:row r="19" ht="90" customHeight="1">
      <x:c r="A19" s="11" t="str">
        <x:v>TC-PAYMENT-018</x:v>
      </x:c>
      <x:c r="B19" s="11" t="str">
        <x:v>Tính cước và thanh toán</x:v>
      </x:c>
      <x:c r="C19" s="11" t="str">
        <x:v>Cước theo hai phiên bản giá cụ thể</x:v>
      </x:c>
      <x:c r="D19" s="11" t="str">
        <x:v>Hai Trip COMPLETED: distance=5 km, duration=10 phút; giá snapshot xác định.</x:v>
      </x:c>
      <x:c r="E19" s="11" t="str">
        <x:v>1. Chuẩn bị trạng thái và dữ liệu được nêu.
2. GET /trips/{tripId}/fare cho hai Trip.
3. Kiểm tra HTTP, phản hồi và dữ liệu sau thao tác.</x:v>
      </x:c>
      <x:c r="F19" s="11" t="str">
        <x:v>STANDARD: base=10000, km=8000, phút=500. PREMIUM: base=15000, km=10000, phút=700.</x:v>
      </x:c>
      <x:c r="G19" s="11" t="str">
        <x:v>STANDARD=55000 VND; PREMIUM=72000 VND. Kết quả dựa vào cấu hình cụ thể, không suy ra chỉ từ tên loại xe.</x:v>
      </x:c>
      <x:c r="H19" s="11" t="str">
        <x:v>Medium</x:v>
      </x:c>
      <x:c r="I19" s="14" t="str">
        <x:v>FR10–FR12; AC06</x:v>
      </x:c>
      <x:c r="J19" s="14" t="str">
        <x:v>GET /trips/{tripId}/fare cho hai Trip</x:v>
      </x:c>
      <x:c r="K19" s="14" t="str">
        <x:v>Integration</x:v>
      </x:c>
      <x:c r="L19" s="14" t="str">
        <x:v>DEFINED</x:v>
      </x:c>
      <x:c r="M19" s="33"/>
      <x:c r="N19" s="33" t="str">
        <x:v>NOT_RUN</x:v>
      </x:c>
      <x:c r="O19" s="14" t="str">
        <x:v>Hợp đồng tham chiếu: 05-payment-api.yaml. Chưa chạy kiểm thử. Đối chiếu bản API 1.2 trong cuộc trao đổi; không xác nhận trạng thái commit GitHub.</x:v>
      </x:c>
      <x:c r="P19" s="14" t="str">
        <x:v>R19</x:v>
      </x:c>
      <x:c r="Q19" s="14" t="str">
        <x:v>Request/response đã che token; dữ liệu trước/sau hoặc log kiểm tra có correlationId; môi trường, commit và thời gian chạy. Không ghi mật khẩu thật.</x:v>
      </x:c>
    </x:row>
    <x:row r="20" ht="104" customHeight="1">
      <x:c r="A20" s="11" t="str">
        <x:v>TC-PAYMENT-019</x:v>
      </x:c>
      <x:c r="B20" s="11" t="str">
        <x:v>Tính cước và thanh toán</x:v>
      </x:c>
      <x:c r="C20" s="11" t="str">
        <x:v>Khởi tạo thanh toán khi chưa đăng nhập</x:v>
      </x:c>
      <x:c r="D20" s="11" t="str">
        <x:v>Không có access token hợp lệ</x:v>
      </x:c>
      <x:c r="E20" s="11" t="str">
        <x:v>1. Chuẩn bị dữ liệu và trạng thái trong Preconditions.
2. Gọi POST /trips/{tripId}/payments với Test Data.
3. Đối chiếu HTTP, nội dung phản hồi và trạng thái lưu trữ với Expected Result.</x:v>
      </x:c>
      <x:c r="F20" s="11" t="str">
        <x:v>Header Authorization: (không có)
Idempotency-Key mới; Trip COMPLETED và Fare sẵn sàng, trừ điều kiện đang kiểm tra.</x:v>
      </x:c>
      <x:c r="G20" s="11" t="str">
        <x:v>API trả lỗi 401 Unauthorized</x:v>
      </x:c>
      <x:c r="H20" s="11" t="str">
        <x:v>High</x:v>
      </x:c>
      <x:c r="I20" s="14" t="str">
        <x:v>FR10–FR12; AC06</x:v>
      </x:c>
      <x:c r="J20" s="14" t="str">
        <x:v>POST /trips/{tripId}/payments</x:v>
      </x:c>
      <x:c r="K20" s="14" t="str">
        <x:v>Integration</x:v>
      </x:c>
      <x:c r="L20" s="14" t="str">
        <x:v>DEFINED</x:v>
      </x:c>
      <x:c r="M20" s="33"/>
      <x:c r="N20" s="33" t="str">
        <x:v>NOT_RUN</x:v>
      </x:c>
      <x:c r="O20" s="14" t="str">
        <x:v>Hợp đồng tham chiếu: 05-payment-api.yaml. Chưa chạy kiểm thử. Đối chiếu bản API 1.2 trong cuộc trao đổi; không xác nhận trạng thái commit GitHub.</x:v>
      </x:c>
      <x:c r="P20" s="14" t="str">
        <x:v>R19</x:v>
      </x:c>
      <x:c r="Q20" s="14" t="str">
        <x:v>Request/response đã che token; dữ liệu trước/sau hoặc log kiểm tra có correlationId; môi trường, commit và thời gian chạy. Không ghi mật khẩu thật.</x:v>
      </x:c>
    </x:row>
    <x:row r="21" ht="104" customHeight="1">
      <x:c r="A21" s="11" t="str">
        <x:v>TC-PAYMENT-020</x:v>
      </x:c>
      <x:c r="B21" s="11" t="str">
        <x:v>Tính cước và thanh toán</x:v>
      </x:c>
      <x:c r="C21" s="11" t="str">
        <x:v>Khởi tạo thanh toán cho chuyến không thuộc về khách hàng hiện tại</x:v>
      </x:c>
      <x:c r="D21" s="11" t="str">
        <x:v>Chuyến TRP0001 thuộc về khách hàng A; khách hàng B đã đăng nhập</x:v>
      </x:c>
      <x:c r="E21" s="11" t="str">
        <x:v>1. Chuẩn bị dữ liệu và trạng thái trong Preconditions.
2. Gọi POST /trips/{tripId}/payments với Test Data.
3. Đối chiếu HTTP, nội dung phản hồi và trạng thái lưu trữ với Expected Result.</x:v>
      </x:c>
      <x:c r="F21" s="11" t="str">
        <x:v>Token của B; tripId: TRP0001 (thuộc A)
Idempotency-Key mới; Trip COMPLETED và Fare sẵn sàng, trừ điều kiện đang kiểm tra.</x:v>
      </x:c>
      <x:c r="G21" s="11" t="str">
        <x:v>404; đối tượng không thuộc phạm vi của người gọi. Không tiết lộ dữ liệu và không thay đổi đối tượng. Dùng cùng phản hồi với ID không tồn tại.</x:v>
      </x:c>
      <x:c r="H21" s="11" t="str">
        <x:v>High</x:v>
      </x:c>
      <x:c r="I21" s="14" t="str">
        <x:v>FR10–FR12; AC06</x:v>
      </x:c>
      <x:c r="J21" s="14" t="str">
        <x:v>POST /trips/{tripId}/payments</x:v>
      </x:c>
      <x:c r="K21" s="14" t="str">
        <x:v>Integration</x:v>
      </x:c>
      <x:c r="L21" s="14" t="str">
        <x:v>DEFINED</x:v>
      </x:c>
      <x:c r="M21" s="33"/>
      <x:c r="N21" s="33" t="str">
        <x:v>NOT_RUN</x:v>
      </x:c>
      <x:c r="O21" s="14" t="str">
        <x:v>Hợp đồng tham chiếu: 05-payment-api.yaml. Chưa chạy kiểm thử. Đối chiếu bản API 1.2 trong cuộc trao đổi; không xác nhận trạng thái commit GitHub.</x:v>
      </x:c>
      <x:c r="P21" s="14" t="str">
        <x:v>R19</x:v>
      </x:c>
      <x:c r="Q21" s="14" t="str">
        <x:v>Request/response đã che token; dữ liệu trước/sau hoặc log kiểm tra có correlationId; môi trường, commit và thời gian chạy. Không ghi mật khẩu thật.</x:v>
      </x:c>
    </x:row>
    <x:row r="22" ht="104" customHeight="1">
      <x:c r="A22" s="14" t="str">
        <x:v>TC-PAYMENT-021</x:v>
      </x:c>
      <x:c r="B22" s="14" t="str">
        <x:v>Tính cước và thanh toán</x:v>
      </x:c>
      <x:c r="C22" s="14" t="str">
        <x:v>Tài xế xác nhận đã thu tiền mặt</x:v>
      </x:c>
      <x:c r="D22" s="14" t="str">
        <x:v>P1 CASH PENDING, Attempt PENDING, version=1; T1 COMPLETED; D1 được gán; requiresReview=false.</x:v>
      </x:c>
      <x:c r="E22" s="14" t="str">
        <x:v>1. Thiết lập fixture và trạng thái theo Preconditions.
2. POST /payments/P1/confirm-cash với Test Data.
3. Đối chiếu phản hồi và dữ liệu lưu trữ theo Expected Result.</x:v>
      </x:c>
      <x:c r="F22" s="14" t="str">
        <x:v>{"expectedVersion":1}; Idempotency-Key=confirm-cash-P1.</x:v>
      </x:c>
      <x:c r="G22" s="14" t="str">
        <x:v>200; Payment và Attempt SUCCESS; paidAt/confirmedByAccountId do máy chủ đặt; amount không đổi; không sửa trạng thái Trip/Driver.</x:v>
      </x:c>
      <x:c r="H22" s="14" t="str">
        <x:v>High</x:v>
      </x:c>
      <x:c r="I22" s="14" t="str">
        <x:v>FR10–FR12; AC06</x:v>
      </x:c>
      <x:c r="J22" s="14" t="str">
        <x:v>POST /payments/P1/confirm-cash</x:v>
      </x:c>
      <x:c r="K22" s="14" t="str">
        <x:v>Integration</x:v>
      </x:c>
      <x:c r="L22" s="14" t="str">
        <x:v>DEFINED</x:v>
      </x:c>
      <x:c r="M22" s="33"/>
      <x:c r="N22" s="33" t="str">
        <x:v>NOT_RUN</x:v>
      </x:c>
      <x:c r="O22" s="14" t="str">
        <x:v>Bổ sung theo thiết kế đã duyệt; chưa chạy kiểm thử. Tham chiếu: 05-payment-api.yaml. Đối chiếu bản API 1.2 trong cuộc trao đổi; không xác nhận trạng thái commit GitHub.</x:v>
      </x:c>
      <x:c r="P22" s="14" t="str">
        <x:v>—</x:v>
      </x:c>
      <x:c r="Q22" s="14" t="str">
        <x:v>Request/response đã che token; dữ liệu trước/sau hoặc log kiểm tra có correlationId; môi trường, commit và thời gian chạy. Không ghi mật khẩu thật.</x:v>
      </x:c>
    </x:row>
    <x:row r="23" ht="104" customHeight="1">
      <x:c r="A23" s="14" t="str">
        <x:v>TC-PAYMENT-022</x:v>
      </x:c>
      <x:c r="B23" s="14" t="str">
        <x:v>Tính cước và thanh toán</x:v>
      </x:c>
      <x:c r="C23" s="14" t="str">
        <x:v>Không cho người khác xác nhận thu tiền</x:v>
      </x:c>
      <x:c r="D23" s="14" t="str">
        <x:v>P1 CASH PENDING; D1 được gán cho Trip.</x:v>
      </x:c>
      <x:c r="E23" s="14" t="str">
        <x:v>1. Thiết lập fixture và trạng thái theo Preconditions.
2. POST /payments/P1/confirm-cash bằng Customer hoặc D2 với Test Data.
3. Đối chiếu phản hồi và dữ liệu lưu trữ theo Expected Result.</x:v>
      </x:c>
      <x:c r="F23" s="14" t="str">
        <x:v>Body/version/khóa hợp lệ; chạy từng bộ dữ liệu với fixture độc lập.</x:v>
      </x:c>
      <x:c r="G23" s="14" t="str">
        <x:v>Chạy riêng từng vai trò: CUSTOMER và OPERATOR trả 403; DRIVER khác được giao Trip trả 404. Payment còn PENDING; không paidAt hoặc confirmedByAccountId.</x:v>
      </x:c>
      <x:c r="H23" s="14" t="str">
        <x:v>High</x:v>
      </x:c>
      <x:c r="I23" s="14" t="str">
        <x:v>FR10–FR12; AC06</x:v>
      </x:c>
      <x:c r="J23" s="14" t="str">
        <x:v>POST /payments/P1/confirm-cash bằng Customer hoặc D2</x:v>
      </x:c>
      <x:c r="K23" s="14" t="str">
        <x:v>Integration</x:v>
      </x:c>
      <x:c r="L23" s="14" t="str">
        <x:v>DEFINED</x:v>
      </x:c>
      <x:c r="M23" s="33"/>
      <x:c r="N23" s="33" t="str">
        <x:v>NOT_RUN</x:v>
      </x:c>
      <x:c r="O23" s="14" t="str">
        <x:v>Bổ sung theo thiết kế đã duyệt; chưa chạy kiểm thử. Tham chiếu: 05-payment-api.yaml. Đối chiếu bản API 1.2 trong cuộc trao đổi; không xác nhận trạng thái commit GitHub.</x:v>
      </x:c>
      <x:c r="P23" s="14" t="str">
        <x:v>—</x:v>
      </x:c>
      <x:c r="Q23" s="14" t="str">
        <x:v>Request/response đã che token; dữ liệu trước/sau hoặc log kiểm tra có correlationId; môi trường, commit và thời gian chạy. Không ghi mật khẩu thật.</x:v>
      </x:c>
    </x:row>
    <x:row r="24" ht="90" customHeight="1">
      <x:c r="A24" s="14" t="str">
        <x:v>TC-PAYMENT-023</x:v>
      </x:c>
      <x:c r="B24" s="14" t="str">
        <x:v>Tính cước và thanh toán</x:v>
      </x:c>
      <x:c r="C24" s="14" t="str">
        <x:v>UNKNOWN chặn retry và đổi sang CASH</x:v>
      </x:c>
      <x:c r="D24" s="14" t="str">
        <x:v>P1 UNKNOWN; C1 sở hữu, requiresReview=false.</x:v>
      </x:c>
      <x:c r="E24" s="14" t="str">
        <x:v>1. Thiết lập fixture và trạng thái theo Preconditions.
2. POST /payments/P1/retry với Test Data.
3. Đối chiếu phản hồi và dữ liệu lưu trữ theo Expected Result.</x:v>
      </x:c>
      <x:c r="F24" s="14" t="str">
        <x:v>{"expectedVersion":2,"paymentMethod":"CASH"}; khóa mới.</x:v>
      </x:c>
      <x:c r="G24" s="14" t="str">
        <x:v>409; không tạo Attempt hoặc khoản thu mới; amount/method chưa bị đổi.</x:v>
      </x:c>
      <x:c r="H24" s="14" t="str">
        <x:v>High</x:v>
      </x:c>
      <x:c r="I24" s="14" t="str">
        <x:v>FR10–FR12; AC06</x:v>
      </x:c>
      <x:c r="J24" s="14" t="str">
        <x:v>POST /payments/P1/retry</x:v>
      </x:c>
      <x:c r="K24" s="14" t="str">
        <x:v>Integration</x:v>
      </x:c>
      <x:c r="L24" s="14" t="str">
        <x:v>DEFINED</x:v>
      </x:c>
      <x:c r="M24" s="33"/>
      <x:c r="N24" s="33" t="str">
        <x:v>NOT_RUN</x:v>
      </x:c>
      <x:c r="O24" s="14" t="str">
        <x:v>Bổ sung theo thiết kế đã duyệt; chưa chạy kiểm thử. Tham chiếu: 05-payment-api.yaml. Đối chiếu bản API 1.2 trong cuộc trao đổi; không xác nhận trạng thái commit GitHub.</x:v>
      </x:c>
      <x:c r="P24" s="14" t="str">
        <x:v>R19; R30</x:v>
      </x:c>
      <x:c r="Q24" s="14" t="str">
        <x:v>Request/response đã che token; dữ liệu trước/sau hoặc log kiểm tra có correlationId; môi trường, commit và thời gian chạy. Không ghi mật khẩu thật.</x:v>
      </x:c>
    </x:row>
    <x:row r="25" ht="104" customHeight="1">
      <x:c r="A25" s="14" t="str">
        <x:v>TC-PAYMENT-024</x:v>
      </x:c>
      <x:c r="B25" s="14" t="str">
        <x:v>Tính cước và thanh toán</x:v>
      </x:c>
      <x:c r="C25" s="14" t="str">
        <x:v>Webhook sai chữ ký không đổi Payment</x:v>
      </x:c>
      <x:c r="D25" s="14" t="str">
        <x:v>Có P1/Attempt điện tử hợp lệ, chưa SUCCESS.</x:v>
      </x:c>
      <x:c r="E25" s="14" t="str">
        <x:v>1. Thiết lập fixture và trạng thái theo Preconditions.
2. POST /payments/webhooks/{provider} với Test Data.
3. Đối chiếu phản hồi và dữ liệu lưu trữ theo Expected Result.</x:v>
      </x:c>
      <x:c r="F25" s="14" t="str">
        <x:v>Payload hợp lệ về cấu trúc nhưng chữ ký bị sửa.</x:v>
      </x:c>
      <x:c r="G25" s="14" t="str">
        <x:v>Từ chối xác thực; Payment/Attempt không đổi; không phát PAYMENT_SUCCESS.</x:v>
      </x:c>
      <x:c r="H25" s="14" t="str">
        <x:v>High</x:v>
      </x:c>
      <x:c r="I25" s="14" t="str">
        <x:v>FR10–FR12; AC06</x:v>
      </x:c>
      <x:c r="J25" s="14" t="str">
        <x:v>POST /payments/webhooks/{provider}</x:v>
      </x:c>
      <x:c r="K25" s="14" t="str">
        <x:v>Integration</x:v>
      </x:c>
      <x:c r="L25" s="14" t="str">
        <x:v>NEEDS_DECISION</x:v>
      </x:c>
      <x:c r="M25" s="33"/>
      <x:c r="N25" s="33" t="str">
        <x:v>NOT_RUN</x:v>
      </x:c>
      <x:c r="O25" s="14" t="str">
        <x:v>Cần chọn provider và cố định cách ký raw payload, header và ACK trước khi chạy. Tham chiếu: 05-payment-api.yaml. Đối chiếu bản API 1.2 trong cuộc trao đổi; không xác nhận trạng thái commit GitHub.</x:v>
      </x:c>
      <x:c r="P25" s="14" t="str">
        <x:v>R19</x:v>
      </x:c>
      <x:c r="Q25" s="14" t="str">
        <x:v>Payload và chữ ký sandbox đúng hợp đồng provider; merchantReference, mã giao dịch, số tiền và currency đã che dữ liệu nhạy cảm; audit/counter chống trùng; ACK thực tế. Chờ chọn provider.</x:v>
      </x:c>
    </x:row>
    <x:row r="26" ht="90" customHeight="1">
      <x:c r="A26" s="14" t="str">
        <x:v>TC-PAYMENT-025</x:v>
      </x:c>
      <x:c r="B26" s="14" t="str">
        <x:v>Tính cước và thanh toán</x:v>
      </x:c>
      <x:c r="C26" s="14" t="str">
        <x:v>Webhook SUCCESS lặp không nhân đôi kết quả</x:v>
      </x:c>
      <x:c r="D26" s="14" t="str">
        <x:v>P1 đang chờ; một sự kiện SUCCESS có thẩm quyền và đúng số tiền.</x:v>
      </x:c>
      <x:c r="E26" s="14" t="str">
        <x:v>1. Thiết lập fixture và trạng thái theo Preconditions.
2. Gửi cùng webhook nhiều lần với Test Data.
3. Đối chiếu phản hồi và dữ liệu lưu trữ theo Expected Result.</x:v>
      </x:c>
      <x:c r="F26" s="14" t="str">
        <x:v>Cùng providerEventId, merchantReference, amount/currency.</x:v>
      </x:c>
      <x:c r="G26" s="14" t="str">
        <x:v>Callback thành công hợp lệ lặp tuần tự và đồng thời được ACK theo provider; đúng một lần chuyển SUCCESS, paidAt giữ nguyên, một sự kiện Payment thành công và một thông báo mỗi người nhận. Doanh thu chỉ cộng một Payment.</x:v>
      </x:c>
      <x:c r="H26" s="14" t="str">
        <x:v>High</x:v>
      </x:c>
      <x:c r="I26" s="14" t="str">
        <x:v>FR10–FR12; AC06</x:v>
      </x:c>
      <x:c r="J26" s="14" t="str">
        <x:v>Gửi cùng webhook nhiều lần</x:v>
      </x:c>
      <x:c r="K26" s="14" t="str">
        <x:v>Integration</x:v>
      </x:c>
      <x:c r="L26" s="14" t="str">
        <x:v>NEEDS_DECISION</x:v>
      </x:c>
      <x:c r="M26" s="33"/>
      <x:c r="N26" s="33" t="str">
        <x:v>NOT_RUN</x:v>
      </x:c>
      <x:c r="O26" s="14" t="str">
        <x:v>Quy tắc dedupe đã xác định; payload/chữ ký/ACK cần adapter provider. Tham chiếu: 05-payment-api.yaml. Đối chiếu bản API 1.2 trong cuộc trao đổi; không xác nhận trạng thái commit GitHub.</x:v>
      </x:c>
      <x:c r="P26" s="14" t="str">
        <x:v>R19; R30</x:v>
      </x:c>
      <x:c r="Q26" s="14" t="str">
        <x:v>Payload và chữ ký sandbox đúng hợp đồng provider; merchantReference, mã giao dịch, số tiền và currency đã che dữ liệu nhạy cảm; audit/counter chống trùng; ACK thực tế. Chờ chọn provider.</x:v>
      </x:c>
    </x:row>
    <x:row r="27" ht="104" customHeight="1">
      <x:c r="A27" s="14" t="str">
        <x:v>TC-PAYMENT-026</x:v>
      </x:c>
      <x:c r="B27" s="14" t="str">
        <x:v>Tính cước và thanh toán</x:v>
      </x:c>
      <x:c r="C27" s="14" t="str">
        <x:v>SUCCESS muộn của Attempt cũ cần rà soát</x:v>
      </x:c>
      <x:c r="D27" s="14" t="str">
        <x:v>Attempt A1 từng được xác nhận FAILED, sau đó đã có A2; nhận bằng chứng SUCCESS mâu thuẫn của A1.</x:v>
      </x:c>
      <x:c r="E27" s="14" t="str">
        <x:v>1. Thiết lập fixture và trạng thái theo Preconditions.
2. POST /payments/webhooks/{provider} với Test Data.
3. Đối chiếu phản hồi và dữ liệu lưu trữ theo Expected Result.</x:v>
      </x:c>
      <x:c r="F27" s="14" t="str">
        <x:v>Sự kiện có thẩm quyền, tham chiếu A1; dữ liệu provider khớp.</x:v>
      </x:c>
      <x:c r="G27" s="14" t="str">
        <x:v>Lưu bằng chứng SUCCESS của attempt cũ và requiresReview=true. Payment đã SUCCESS giữ nguyên; nếu chưa thành công và chưa kết luận được tổng hợp thì UNKNOWN. Dừng job thu chưa phát đi, đối soát yêu cầu đã gửi; không tự thu thêm/hoàn tiền.</x:v>
      </x:c>
      <x:c r="H27" s="14" t="str">
        <x:v>High</x:v>
      </x:c>
      <x:c r="I27" s="14" t="str">
        <x:v>FR10–FR12; AC06</x:v>
      </x:c>
      <x:c r="J27" s="14" t="str">
        <x:v>POST /payments/webhooks/{provider}</x:v>
      </x:c>
      <x:c r="K27" s="14" t="str">
        <x:v>Integration</x:v>
      </x:c>
      <x:c r="L27" s="14" t="str">
        <x:v>NEEDS_DECISION</x:v>
      </x:c>
      <x:c r="M27" s="33"/>
      <x:c r="N27" s="33" t="str">
        <x:v>NOT_RUN</x:v>
      </x:c>
      <x:c r="O27" s="14" t="str">
        <x:v>Cần provider để dựng sự kiện đối nghịch thực tế; giữ nguyên quy tắc cần kiểm tra. Tham chiếu: 05-payment-api.yaml. Đối chiếu bản API 1.2 trong cuộc trao đổi; không xác nhận trạng thái commit GitHub.</x:v>
      </x:c>
      <x:c r="P27" s="14" t="str">
        <x:v>R19; R30</x:v>
      </x:c>
      <x:c r="Q27" s="14" t="str">
        <x:v>Payload và chữ ký sandbox đúng hợp đồng provider; merchantReference, mã giao dịch, số tiền và currency đã che dữ liệu nhạy cảm; audit/counter chống trùng; ACK thực tế. Chờ chọn provider.</x:v>
      </x:c>
    </x:row>
    <x:row r="28" ht="104" customHeight="1">
      <x:c r="A28" s="14" t="str">
        <x:v>TC-PAYMENT-027</x:v>
      </x:c>
      <x:c r="B28" s="14" t="str">
        <x:v>Tính cước và thanh toán</x:v>
      </x:c>
      <x:c r="C28" s="14" t="str">
        <x:v>Làm tròn tổng cước cuối cùng nửa lên</x:v>
      </x:c>
      <x:c r="D28" s="14" t="str">
        <x:v>T1 COMPLETED; dữ liệu hành trình và giá đã xác nhận.</x:v>
      </x:c>
      <x:c r="E28" s="14" t="str">
        <x:v>1. Thiết lập fixture và trạng thái theo Preconditions.
2. Kích hoạt tính Fare; GET /trips/T1/fare với Test Data.
3. Đối chiếu phản hồi và dữ liệu lưu trữ theo Expected Result.</x:v>
      </x:c>
      <x:c r="F28" s="14" t="str">
        <x:v>baseFare=10000; distanceKm=0.0005; pricePerKm=1000; durationMinutes=1; pricePerMinute=0.</x:v>
      </x:c>
      <x:c r="G28" s="14" t="str">
        <x:v>Tổng chính xác 10000.5 VND; totalAmount=10001; không làm tròn từng thành phần trước khi cộng.</x:v>
      </x:c>
      <x:c r="H28" s="14" t="str">
        <x:v>High</x:v>
      </x:c>
      <x:c r="I28" s="14" t="str">
        <x:v>FR10–FR12; AC06</x:v>
      </x:c>
      <x:c r="J28" s="14" t="str">
        <x:v>Kích hoạt tính Fare; GET /trips/T1/fare</x:v>
      </x:c>
      <x:c r="K28" s="14" t="str">
        <x:v>Integration</x:v>
      </x:c>
      <x:c r="L28" s="14" t="str">
        <x:v>DEFINED</x:v>
      </x:c>
      <x:c r="M28" s="33"/>
      <x:c r="N28" s="33" t="str">
        <x:v>NOT_RUN</x:v>
      </x:c>
      <x:c r="O28" s="14" t="str">
        <x:v>Bổ sung theo thiết kế đã duyệt; chưa chạy kiểm thử. Tham chiếu: 05-payment-api.yaml. Đối chiếu bản API 1.2 trong cuộc trao đổi; không xác nhận trạng thái commit GitHub.</x:v>
      </x:c>
      <x:c r="P28" s="14" t="str">
        <x:v>R19</x:v>
      </x:c>
      <x:c r="Q28" s="14" t="str">
        <x:v>Request/response đã che token; dữ liệu trước/sau hoặc log kiểm tra có correlationId; môi trường, commit và thời gian chạy. Không ghi mật khẩu thật.</x:v>
      </x:c>
    </x:row>
    <x:row r="29" ht="90" customHeight="1">
      <x:c r="A29" s="14" t="str">
        <x:v>TC-PAYMENT-028</x:v>
      </x:c>
      <x:c r="B29" s="14" t="str">
        <x:v>Tính cước và thanh toán</x:v>
      </x:c>
      <x:c r="C29" s="14" t="str">
        <x:v>Thiếu dữ liệu hành trình không tạo Fare giả</x:v>
      </x:c>
      <x:c r="D29" s="14" t="str">
        <x:v>T1 COMPLETED, công việc tính cước đang chờ dữ liệu quãng đường; chưa chuyển sang yêu cầu rà soát.</x:v>
      </x:c>
      <x:c r="E29" s="14" t="str">
        <x:v>1. Chuẩn bị trạng thái và dữ liệu được nêu.
2. GET /trips/T1/fare; POST /trips/T1/payments.
3. Kiểm tra HTTP, phản hồi và dữ liệu sau thao tác.</x:v>
      </x:c>
      <x:c r="F29" s="14" t="str">
        <x:v>CASH; khóa mới; Customer C1 sở hữu T1.</x:v>
      </x:c>
      <x:c r="G29" s="14" t="str">
        <x:v>GET trả 409 FARE_NOT_READY; POST trả 409 vì chưa có Fare đã chốt; không tạo Fare=0 hoặc Payment; Trip vẫn COMPLETED.</x:v>
      </x:c>
      <x:c r="H29" s="14" t="str">
        <x:v>High</x:v>
      </x:c>
      <x:c r="I29" s="14" t="str">
        <x:v>FR10–FR12; AC06</x:v>
      </x:c>
      <x:c r="J29" s="14" t="str">
        <x:v>GET /trips/T1/fare; POST /trips/T1/payments</x:v>
      </x:c>
      <x:c r="K29" s="14" t="str">
        <x:v>Integration</x:v>
      </x:c>
      <x:c r="L29" s="14" t="str">
        <x:v>DEFINED</x:v>
      </x:c>
      <x:c r="M29" s="33"/>
      <x:c r="N29" s="33" t="str">
        <x:v>NOT_RUN</x:v>
      </x:c>
      <x:c r="O29" s="14" t="str">
        <x:v>Khi triển khai fixture phải chọn rõ đang chờ dữ liệu hay đã yêu cầu rà soát, rồi assert một errorCode duy nhất cho từng nhánh. Tham chiếu: 05-payment-api.yaml. Đối chiếu bản API 1.2 trong cuộc trao đổi; không xác nhận trạng thái commit GitHub.</x:v>
      </x:c>
      <x:c r="P29" s="14" t="str">
        <x:v>R19</x:v>
      </x:c>
      <x:c r="Q29" s="14" t="str">
        <x:v>Request/response đã che token; dữ liệu trước/sau hoặc log kiểm tra có correlationId; môi trường, commit và thời gian chạy. Không ghi mật khẩu thật.</x:v>
      </x:c>
    </x:row>
    <x:row r="30" ht="104" customHeight="1">
      <x:c r="A30" s="14" t="str">
        <x:v>TC-PAYMENT-029</x:v>
      </x:c>
      <x:c r="B30" s="14" t="str">
        <x:v>Payment</x:v>
      </x:c>
      <x:c r="C30" s="14" t="str">
        <x:v>Replay tạo thanh toán CASH giữ kết quả 201 ban đầu</x:v>
      </x:c>
      <x:c r="D30" s="14" t="str">
        <x:v>T1 COMPLETED, Fare 55000 VND, chưa Payment.</x:v>
      </x:c>
      <x:c r="E30" s="14" t="str">
        <x:v>1. Chuẩn bị fixture độc lập theo Preconditions.
2. POST /trips/T1/payments hai lần với Test Data; lưu phản hồi và correlationId.
3. Đối chiếu từng điều kiện Expected Result với dữ liệu sau thao tác.</x:v>
      </x:c>
      <x:c r="F30" s="14" t="str">
        <x:v>CASH; key K1; lần hai sau khi D1 đã confirm-cash</x:v>
      </x:c>
      <x:c r="G30" s="14" t="str">
        <x:v>Cùng response 201 PENDING ban đầu và paymentId; GET hiện tại SUCCESS; một Payment/attempt; không thu hoặc tạo job lần hai.</x:v>
      </x:c>
      <x:c r="H30" s="14" t="str">
        <x:v>High</x:v>
      </x:c>
      <x:c r="I30" s="14" t="str">
        <x:v>API 1.2; rubric liên kết</x:v>
      </x:c>
      <x:c r="J30" s="14" t="str">
        <x:v>POST /trips/T1/payments hai lần</x:v>
      </x:c>
      <x:c r="K30" s="14" t="str">
        <x:v>Integration</x:v>
      </x:c>
      <x:c r="L30" s="14" t="str">
        <x:v>DEFINED</x:v>
      </x:c>
      <x:c r="M30" s="33"/>
      <x:c r="N30" s="33" t="str">
        <x:v>NOT_RUN</x:v>
      </x:c>
      <x:c r="O30" s="14" t="str">
        <x:v>Chưa chạy. Fixture giả trong môi trường kiểm thử cô lập.</x:v>
      </x:c>
      <x:c r="P30" s="14" t="str">
        <x:v>R30</x:v>
      </x:c>
      <x:c r="Q30" s="14" t="str">
        <x:v>Request/response đã che token; dữ liệu trước/sau hoặc log kiểm tra có correlationId; môi trường, commit và thời gian chạy. Không ghi mật khẩu thật.</x:v>
      </x:c>
    </x:row>
    <x:row r="31" ht="104" customHeight="1">
      <x:c r="A31" s="14" t="str">
        <x:v>TC-PAYMENT-030</x:v>
      </x:c>
      <x:c r="B31" s="14" t="str">
        <x:v>Payment</x:v>
      </x:c>
      <x:c r="C31" s="14" t="str">
        <x:v>Key mới không tạo Payment thứ hai</x:v>
      </x:c>
      <x:c r="D31" s="14" t="str">
        <x:v>T1 đã có Payment P1.</x:v>
      </x:c>
      <x:c r="E31" s="14" t="str">
        <x:v>1. Chuẩn bị fixture độc lập theo Preconditions.
2. POST /trips/T1/payments với Test Data; lưu phản hồi và correlationId.
3. Đối chiếu từng điều kiện Expected Result với dữ liệu sau thao tác.</x:v>
      </x:c>
      <x:c r="F31" s="14" t="str">
        <x:v>CASH; key K2 mới</x:v>
      </x:c>
      <x:c r="G31" s="14" t="str">
        <x:v>409 PAYMENT_ALREADY_EXISTS; chỉ một Payment trên Fare.</x:v>
      </x:c>
      <x:c r="H31" s="14" t="str">
        <x:v>High</x:v>
      </x:c>
      <x:c r="I31" s="14" t="str">
        <x:v>API 1.2; rubric liên kết</x:v>
      </x:c>
      <x:c r="J31" s="14" t="str">
        <x:v>POST /trips/T1/payments</x:v>
      </x:c>
      <x:c r="K31" s="14" t="str">
        <x:v>Integration</x:v>
      </x:c>
      <x:c r="L31" s="14" t="str">
        <x:v>DEFINED</x:v>
      </x:c>
      <x:c r="M31" s="33"/>
      <x:c r="N31" s="33" t="str">
        <x:v>NOT_RUN</x:v>
      </x:c>
      <x:c r="O31" s="14" t="str">
        <x:v>Chưa chạy. Fixture giả trong môi trường kiểm thử cô lập.</x:v>
      </x:c>
      <x:c r="P31" s="14" t="str">
        <x:v>R30</x:v>
      </x:c>
      <x:c r="Q31" s="14" t="str">
        <x:v>Request/response đã che token; dữ liệu trước/sau hoặc log kiểm tra có correlationId; môi trường, commit và thời gian chạy. Không ghi mật khẩu thật.</x:v>
      </x:c>
    </x:row>
    <x:row r="32" ht="104" customHeight="1">
      <x:c r="A32" s="14" t="str">
        <x:v>TC-PAYMENT-031</x:v>
      </x:c>
      <x:c r="B32" s="14" t="str">
        <x:v>Payment</x:v>
      </x:c>
      <x:c r="C32" s="14" t="str">
        <x:v>Replay confirm-cash không thay paidAt hoặc thu thêm</x:v>
      </x:c>
      <x:c r="D32" s="14" t="str">
        <x:v>P1 CASH/PENDING; D1 được giao Trip; version v1.</x:v>
      </x:c>
      <x:c r="E32" s="14" t="str">
        <x:v>1. Chuẩn bị fixture độc lập theo Preconditions.
2. POST /payments/P1/confirm-cash hai lần với Test Data; lưu phản hồi và correlationId.
3. Đối chiếu từng điều kiện Expected Result với dữ liệu sau thao tác.</x:v>
      </x:c>
      <x:c r="F32" s="14" t="str">
        <x:v>Cùng expectedVersion=v1 và key K1</x:v>
      </x:c>
      <x:c r="G32" s="14" t="str">
        <x:v>Hai response 200 cùng snapshot; paidAt/confirmedByAccountId giữ nguyên, version tăng một lần, một outbox thành công.</x:v>
      </x:c>
      <x:c r="H32" s="14" t="str">
        <x:v>High</x:v>
      </x:c>
      <x:c r="I32" s="14" t="str">
        <x:v>API 1.2; rubric liên kết</x:v>
      </x:c>
      <x:c r="J32" s="14" t="str">
        <x:v>POST /payments/P1/confirm-cash hai lần</x:v>
      </x:c>
      <x:c r="K32" s="14" t="str">
        <x:v>Integration</x:v>
      </x:c>
      <x:c r="L32" s="14" t="str">
        <x:v>DEFINED</x:v>
      </x:c>
      <x:c r="M32" s="33"/>
      <x:c r="N32" s="33" t="str">
        <x:v>NOT_RUN</x:v>
      </x:c>
      <x:c r="O32" s="14" t="str">
        <x:v>Chưa chạy. Fixture giả trong môi trường kiểm thử cô lập.</x:v>
      </x:c>
      <x:c r="P32" s="14" t="str">
        <x:v>R30</x:v>
      </x:c>
      <x:c r="Q32" s="14" t="str">
        <x:v>Request/response đã che token; dữ liệu trước/sau hoặc log kiểm tra có correlationId; môi trường, commit và thời gian chạy. Không ghi mật khẩu thật.</x:v>
      </x:c>
    </x:row>
    <x:row r="33" ht="104" customHeight="1">
      <x:c r="A33" s="14" t="str">
        <x:v>TC-PAYMENT-032</x:v>
      </x:c>
      <x:c r="B33" s="14" t="str">
        <x:v>Payment</x:v>
      </x:c>
      <x:c r="C33" s="14" t="str">
        <x:v>Body đổi khi dùng lại key bị từ chối</x:v>
      </x:c>
      <x:c r="D33" s="14" t="str">
        <x:v>P1 đã tạo bằng K1/CASH.</x:v>
      </x:c>
      <x:c r="E33" s="14" t="str">
        <x:v>1. Chuẩn bị fixture độc lập theo Preconditions.
2. POST /trips/T1/payments với Test Data; lưu phản hồi và correlationId.
3. Đối chiếu từng điều kiện Expected Result với dữ liệu sau thao tác.</x:v>
      </x:c>
      <x:c r="F33" s="14" t="str">
        <x:v>K1 nhưng đổi paymentMethod và returnUrl hợp lệ</x:v>
      </x:c>
      <x:c r="G33" s="14" t="str">
        <x:v>409 IDEMPOTENCY_CONFLICT; Payment đầu không đổi, không thêm attempt.</x:v>
      </x:c>
      <x:c r="H33" s="14" t="str">
        <x:v>High</x:v>
      </x:c>
      <x:c r="I33" s="14" t="str">
        <x:v>API 1.2; rubric liên kết</x:v>
      </x:c>
      <x:c r="J33" s="14" t="str">
        <x:v>POST /trips/T1/payments</x:v>
      </x:c>
      <x:c r="K33" s="14" t="str">
        <x:v>Integration</x:v>
      </x:c>
      <x:c r="L33" s="14" t="str">
        <x:v>DEFINED</x:v>
      </x:c>
      <x:c r="M33" s="33"/>
      <x:c r="N33" s="33" t="str">
        <x:v>NOT_RUN</x:v>
      </x:c>
      <x:c r="O33" s="14" t="str">
        <x:v>Chưa chạy. Fixture giả trong môi trường kiểm thử cô lập.</x:v>
      </x:c>
      <x:c r="P33" s="14" t="str">
        <x:v>R30</x:v>
      </x:c>
      <x:c r="Q33" s="14" t="str">
        <x:v>Request/response đã che token; dữ liệu trước/sau hoặc log kiểm tra có correlationId; môi trường, commit và thời gian chạy. Không ghi mật khẩu thật.</x:v>
      </x:c>
    </x:row>
    <x:row r="34" ht="104" customHeight="1">
      <x:c r="A34" s="14" t="str">
        <x:v>TC-PAYMENT-033</x:v>
      </x:c>
      <x:c r="B34" s="14" t="str">
        <x:v>Payment</x:v>
      </x:c>
      <x:c r="C34" s="14" t="str">
        <x:v>Hai key tạo Payment đồng thời</x:v>
      </x:c>
      <x:c r="D34" s="14" t="str">
        <x:v>T1 COMPLETED, Fare đã chốt, chưa Payment.</x:v>
      </x:c>
      <x:c r="E34" s="14" t="str">
        <x:v>1. Chuẩn bị fixture độc lập theo Preconditions.
2. Gửi đồng thời POST /trips/T1/payments với Test Data; lưu phản hồi và correlationId.
3. Đối chiếu từng điều kiện Expected Result với dữ liệu sau thao tác.</x:v>
      </x:c>
      <x:c r="F34" s="14" t="str">
        <x:v>Hai key khác nhau, cùng CUSTOMER, CASH</x:v>
      </x:c>
      <x:c r="G34" s="14" t="str">
        <x:v>Một 201, một 409 PAYMENT_ALREADY_EXISTS; một Payment và một attempt.</x:v>
      </x:c>
      <x:c r="H34" s="14" t="str">
        <x:v>High</x:v>
      </x:c>
      <x:c r="I34" s="14" t="str">
        <x:v>API 1.2; rubric liên kết</x:v>
      </x:c>
      <x:c r="J34" s="14" t="str">
        <x:v>Gửi đồng thời POST /trips/T1/payments</x:v>
      </x:c>
      <x:c r="K34" s="14" t="str">
        <x:v>Integration</x:v>
      </x:c>
      <x:c r="L34" s="14" t="str">
        <x:v>DEFINED</x:v>
      </x:c>
      <x:c r="M34" s="33"/>
      <x:c r="N34" s="33" t="str">
        <x:v>NOT_RUN</x:v>
      </x:c>
      <x:c r="O34" s="14" t="str">
        <x:v>Chưa chạy. Fixture giả trong môi trường kiểm thử cô lập.</x:v>
      </x:c>
      <x:c r="P34" s="14" t="str">
        <x:v>R30</x:v>
      </x:c>
      <x:c r="Q34" s="14" t="str">
        <x:v>Request/response đã che token; dữ liệu trước/sau hoặc log kiểm tra có correlationId; môi trường, commit và thời gian chạy. Không ghi mật khẩu thật.</x:v>
      </x:c>
    </x:row>
    <x:row r="35" ht="119" customHeight="1">
      <x:c r="A35" s="14" t="str">
        <x:v>TC-PAYMENT-034</x:v>
      </x:c>
      <x:c r="B35" s="14" t="str">
        <x:v>Payment</x:v>
      </x:c>
      <x:c r="C35" s="14" t="str">
        <x:v>Reconcile nội bộ không tạo giao dịch thu tiền</x:v>
      </x:c>
      <x:c r="D35" s="14" t="str">
        <x:v>P1 online UNKNOWN; adapter giả kiểm soát trả kết quả chưa xác định.</x:v>
      </x:c>
      <x:c r="E35" s="14" t="str">
        <x:v>1. Chuẩn bị fixture độc lập theo Preconditions.
2. POST /payments/P1/reconcile trong mạng nội bộ với Test Data; lưu phản hồi và correlationId.
3. Đối chiếu từng điều kiện Expected Result với dữ liệu sau thao tác.</x:v>
      </x:c>
      <x:c r="F35" s="14" t="str">
        <x:v>Service JWT scope payment:reconcile</x:v>
      </x:c>
      <x:c r="G35" s="14" t="str">
        <x:v>200 còn UNKNOWN; không tạo attempt hoặc gọi charge; không có checkout trong response.</x:v>
      </x:c>
      <x:c r="H35" s="14" t="str">
        <x:v>High</x:v>
      </x:c>
      <x:c r="I35" s="14" t="str">
        <x:v>API 1.2; rubric liên kết</x:v>
      </x:c>
      <x:c r="J35" s="14" t="str">
        <x:v>POST /payments/P1/reconcile trong mạng nội bộ</x:v>
      </x:c>
      <x:c r="K35" s="14" t="str">
        <x:v>Integration</x:v>
      </x:c>
      <x:c r="L35" s="14" t="str">
        <x:v>DEFINED</x:v>
      </x:c>
      <x:c r="M35" s="33"/>
      <x:c r="N35" s="33" t="str">
        <x:v>NOT_RUN</x:v>
      </x:c>
      <x:c r="O35" s="14" t="str">
        <x:v>Integration bằng adapter kiểm soát; không thay minh chứng sandbox thanh toán.</x:v>
      </x:c>
      <x:c r="P35" s="14" t="str">
        <x:v>R19; R30</x:v>
      </x:c>
      <x:c r="Q35" s="14" t="str">
        <x:v>Request/response đã che token; dữ liệu trước/sau hoặc log kiểm tra có correlationId; môi trường, commit và thời gian chạy. Không ghi mật khẩu thật.</x:v>
      </x:c>
    </x:row>
    <x:row r="36" ht="104" customHeight="1">
      <x:c r="A36" s="14" t="str">
        <x:v>TC-PAYMENT-035</x:v>
      </x:c>
      <x:c r="B36" s="14" t="str">
        <x:v>Payment</x:v>
      </x:c>
      <x:c r="C36" s="14" t="str">
        <x:v>Không lộ checkout cho Driver hoặc Operator</x:v>
      </x:c>
      <x:c r="D36" s="14" t="str">
        <x:v>P1 online PROCESSING có checkout hợp lệ; fixture adapter kiểm soát.</x:v>
      </x:c>
      <x:c r="E36" s="14" t="str">
        <x:v>1. Chuẩn bị fixture độc lập theo Preconditions.
2. GET /payments/P1 với Test Data; lưu phản hồi và correlationId.
3. Đối chiếu từng điều kiện Expected Result với dữ liệu sau thao tác.</x:v>
      </x:c>
      <x:c r="F36" s="14" t="str">
        <x:v>C1, D1 được giao Trip, O1; từng lượt</x:v>
      </x:c>
      <x:c r="G36" s="14" t="str">
        <x:v>Chỉ C1 nhận checkout; D1/O1 không nhận. CUSTOMER khác trả 404.</x:v>
      </x:c>
      <x:c r="H36" s="14" t="str">
        <x:v>High</x:v>
      </x:c>
      <x:c r="I36" s="14" t="str">
        <x:v>API 1.2; rubric liên kết</x:v>
      </x:c>
      <x:c r="J36" s="14" t="str">
        <x:v>GET /payments/P1</x:v>
      </x:c>
      <x:c r="K36" s="14" t="str">
        <x:v>Integration</x:v>
      </x:c>
      <x:c r="L36" s="14" t="str">
        <x:v>DEFINED</x:v>
      </x:c>
      <x:c r="M36" s="33"/>
      <x:c r="N36" s="33" t="str">
        <x:v>NOT_RUN</x:v>
      </x:c>
      <x:c r="O36" s="14" t="str">
        <x:v>Chưa chạy. Fixture giả trong môi trường kiểm thử cô lập.</x:v>
      </x:c>
      <x:c r="P36" s="14" t="str">
        <x:v>R19</x:v>
      </x:c>
      <x:c r="Q36" s="14" t="str">
        <x:v>Request/response đã che token; dữ liệu trước/sau hoặc log kiểm tra có correlationId; môi trường, commit và thời gian chạy. Không ghi mật khẩu thật.</x:v>
      </x:c>
    </x:row>
    <x:row r="37" ht="104" customHeight="1">
      <x:c r="A37" s="14" t="str">
        <x:v>TC-PAYMENT-036</x:v>
      </x:c>
      <x:c r="B37" s="14" t="str">
        <x:v>Payment</x:v>
      </x:c>
      <x:c r="C37" s="14" t="str">
        <x:v>Provider crash sau gửi yêu cầu không bị gửi charge mù quáng</x:v>
      </x:c>
      <x:c r="D37" s="14" t="str">
        <x:v>Adapter mô phỏng đã nhận charge nhưng Core worker chết trước khi lưu kết quả.</x:v>
      </x:c>
      <x:c r="E37" s="14" t="str">
        <x:v>1. Chuẩn bị fixture độc lập theo Preconditions.
2. Khởi động lại worker; chạy job phục hồi với Test Data; lưu phản hồi và correlationId.
3. Đối chiếu từng điều kiện Expected Result với dữ liệu sau thao tác.</x:v>
      </x:c>
      <x:c r="F37" s="14" t="str">
        <x:v>Cùng merchantReference; lưu bộ đếm charge phía adapter độc lập</x:v>
      </x:c>
      <x:c r="G37" s="14" t="str">
        <x:v>Không gửi giao dịch thu mới với reference khác; giữ UNKNOWN/đối soát theo hợp đồng adapter; một khoản thu thực tế tối đa.</x:v>
      </x:c>
      <x:c r="H37" s="14" t="str">
        <x:v>High</x:v>
      </x:c>
      <x:c r="I37" s="14" t="str">
        <x:v>API 1.2; rubric liên kết</x:v>
      </x:c>
      <x:c r="J37" s="14" t="str">
        <x:v>Khởi động lại worker; chạy job phục hồi</x:v>
      </x:c>
      <x:c r="K37" s="14" t="str">
        <x:v>Integration</x:v>
      </x:c>
      <x:c r="L37" s="14" t="str">
        <x:v>DEFINED</x:v>
      </x:c>
      <x:c r="M37" s="33"/>
      <x:c r="N37" s="33" t="str">
        <x:v>NOT_RUN</x:v>
      </x:c>
      <x:c r="O37" s="14" t="str">
        <x:v>Kiểm tra logic với adapter có kiểm soát. Khẳng định chống trùng end-to-end vẫn cần provider sandbox.</x:v>
      </x:c>
      <x:c r="P37" s="14" t="str">
        <x:v>R30</x:v>
      </x:c>
      <x:c r="Q37" s="14" t="str">
        <x:v>Request/response đã che token; dữ liệu trước/sau hoặc log kiểm tra có correlationId; môi trường, commit và thời gian chạy. Không ghi mật khẩu thật.</x:v>
      </x:c>
    </x:row>
    <x:row r="38" ht="104" customHeight="1">
      <x:c r="A38" s="14" t="str">
        <x:v>TC-PAYMENT-037</x:v>
      </x:c>
      <x:c r="B38" s="14" t="str">
        <x:v>Payment</x:v>
      </x:c>
      <x:c r="C38" s="14" t="str">
        <x:v>Sai amount/currency không xác nhận thành công</x:v>
      </x:c>
      <x:c r="D38" s="14" t="str">
        <x:v>Provider đã chọn; P1 có amount/currency cố định.</x:v>
      </x:c>
      <x:c r="E38" s="14" t="str">
        <x:v>1. Chuẩn bị fixture độc lập theo Preconditions.
2. POST /payments/webhooks/{provider} với Test Data; lưu phản hồi và correlationId.
3. Đối chiếu từng điều kiện Expected Result với dữ liệu sau thao tác.</x:v>
      </x:c>
      <x:c r="F38" s="14" t="str">
        <x:v>Callback có chữ ký hợp lệ nhưng amount hoặc currency khác; từng lượt</x:v>
      </x:c>
      <x:c r="G38" s="14" t="str">
        <x:v>Không chuyển SUCCESS; lưu bằng chứng kiểm tra; không outbox PAYMENT_SUCCESS. ACK/mã HTTP theo hợp đồng provider.</x:v>
      </x:c>
      <x:c r="H38" s="14" t="str">
        <x:v>High</x:v>
      </x:c>
      <x:c r="I38" s="14" t="str">
        <x:v>API 1.2; rubric liên kết</x:v>
      </x:c>
      <x:c r="J38" s="14" t="str">
        <x:v>POST /payments/webhooks/{provider}</x:v>
      </x:c>
      <x:c r="K38" s="14" t="str">
        <x:v>Integration</x:v>
      </x:c>
      <x:c r="L38" s="14" t="str">
        <x:v>NEEDS_DECISION</x:v>
      </x:c>
      <x:c r="M38" s="33"/>
      <x:c r="N38" s="33" t="str">
        <x:v>NOT_RUN</x:v>
      </x:c>
      <x:c r="O38" s="14" t="str">
        <x:v>Chờ chọn provider, chữ ký và ACK sandbox.</x:v>
      </x:c>
      <x:c r="P38" s="14" t="str">
        <x:v>R19; R30</x:v>
      </x:c>
      <x:c r="Q38" s="14" t="str">
        <x:v>Callback đã xác minh chữ ký, dữ liệu expected/received, DB Payment và audit đã che thông tin nhạy cảm.</x:v>
      </x:c>
    </x:row>
  </x:sheetData>
  <x:conditionalFormatting sqref="L2:L29">
    <x:cfRule type="containsText" dxfId="21" priority="1" operator="containsText" text="NEEDS_DECISION"/>
  </x:conditionalFormatting>
  <x:conditionalFormatting sqref="N2:N29">
    <x:cfRule type="containsText" dxfId="22" priority="2" operator="containsText" text="FAIL"/>
    <x:cfRule type="containsText" dxfId="23" priority="3" operator="containsText" text="BLOCKED"/>
  </x:conditionalFormatting>
  <x:conditionalFormatting sqref="L2:L38">
    <x:cfRule type="containsText" dxfId="68" priority="4" operator="containsText" text="NEEDS_DECISION"/>
    <x:cfRule type="containsText" dxfId="69" priority="5" operator="containsText" text="OUT_OF_SCOPE"/>
    <x:cfRule type="containsText" dxfId="70" priority="6" operator="containsText" text="SUPERSEDED"/>
  </x:conditionalFormatting>
  <x:conditionalFormatting sqref="N2:N38">
    <x:cfRule type="containsText" dxfId="71" priority="7" operator="containsText" text="FAIL"/>
    <x:cfRule type="containsText" dxfId="72" priority="8" operator="containsText" text="BLOCKED"/>
  </x:conditionalFormatting>
  <x:dataValidations count="3">
    <x:dataValidation type="list" sqref="L2:L38">
      <x:formula1>"DEFINED,NEEDS_DECISION,OUT_OF_SCOPE,SUPERSEDED"</x:formula1>
    </x:dataValidation>
    <x:dataValidation type="list" sqref="N2:N38">
      <x:formula1>"NOT_RUN,PASS,FAIL,BLOCKED"</x:formula1>
    </x:dataValidation>
    <x:dataValidation type="list" sqref="K2:K38">
      <x:formula1>"API,Integration,UI,Performance,Review,Security"</x:formula1>
    </x:dataValidation>
  </x:dataValidations>
  <x:pageMargins left="0.7" right="0.7" top="0.75" bottom="0.75" header="0.3" footer="0.3"/>
  <x:tableParts count="1">
    <x:tablePart xmlns:r="http://schemas.openxmlformats.org/officeDocument/2006/relationships" r:id="Rdf4a9599713d42ba"/>
  </x:tableParts>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19" customHeight="1">
      <x:c r="A2" s="11" t="str">
        <x:v>TC-RATING-001</x:v>
      </x:c>
      <x:c r="B2" s="11" t="str">
        <x:v>Đánh giá tài xế</x:v>
      </x:c>
      <x:c r="C2" s="11" t="str">
        <x:v>Đánh giá tài xế với điểm số hợp lệ và có nhận xét</x:v>
      </x:c>
      <x:c r="D2" s="11" t="str">
        <x:v>Chuyến đã hoàn thành và chưa được đánh giá Rating Service dùng cab_rating; CAB Core xác minh user và Trip qua HTTP nội bộ khi cần; service token hợp lệ trừ ca kiểm tra lỗi.</x:v>
      </x:c>
      <x:c r="E2" s="11" t="str">
        <x:v>1. Chuẩn bị dữ liệu và trạng thái trong Preconditions.
2. Gọi POST /trips/{tripId}/rating với Test Data.
3. Đối chiếu HTTP, nội dung phản hồi và trạng thái lưu trữ với Expected Result.</x:v>
      </x:c>
      <x:c r="F2" s="11" t="str">
        <x:v>tripId: TRP0001
score: 5
comment: Tài xế thân thiện, lái xe an toàn
Idempotency-Key mới, trừ case phát lại. Customer sở hữu Trip, trừ case kiểm tra quyền.</x:v>
      </x:c>
      <x:c r="G2" s="11" t="str">
        <x:v>Đánh giá được lưu thành công (201)</x:v>
      </x:c>
      <x:c r="H2" s="11" t="str">
        <x:v>High</x:v>
      </x:c>
      <x:c r="I2" s="14" t="str">
        <x:v>FR16; AC07</x:v>
      </x:c>
      <x:c r="J2" s="14" t="str">
        <x:v>POST /trips/{tripId}/rating</x:v>
      </x:c>
      <x:c r="K2" s="14" t="str">
        <x:v>API</x:v>
      </x:c>
      <x:c r="L2" s="14" t="str">
        <x:v>DEFINED</x:v>
      </x:c>
      <x:c r="M2" s="33"/>
      <x:c r="N2" s="33" t="str">
        <x:v>NOT_RUN</x:v>
      </x:c>
      <x:c r="O2" s="14" t="str">
        <x:v>Hợp đồng tham chiếu: 08-rating-api.yaml. Chưa chạy kiểm thử. Đối chiếu bản API 1.2 trong cuộc trao đổi; không xác nhận trạng thái commit GitHub.</x:v>
      </x:c>
      <x:c r="P2" s="14" t="str">
        <x:v>R20</x:v>
      </x:c>
      <x:c r="Q2"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3" ht="104" customHeight="1">
      <x:c r="A3" s="11" t="str">
        <x:v>TC-RATING-002</x:v>
      </x:c>
      <x:c r="B3" s="11" t="str">
        <x:v>Đánh giá tài xế</x:v>
      </x:c>
      <x:c r="C3" s="11" t="str">
        <x:v>Đánh giá tài xế chỉ với điểm số, không có nhận xét</x:v>
      </x:c>
      <x:c r="D3" s="11" t="str">
        <x:v>Chuyến đã hoàn thành và chưa được đánh giá Rating Service dùng cab_rating; CAB Core xác minh user và Trip qua HTTP nội bộ khi cần; service token hợp lệ trừ ca kiểm tra lỗi.</x:v>
      </x:c>
      <x:c r="E3" s="11" t="str">
        <x:v>1. Chuẩn bị dữ liệu và trạng thái trong Preconditions.
2. Gọi POST /trips/{tripId}/rating với Test Data.
3. Đối chiếu HTTP, nội dung phản hồi và trạng thái lưu trữ với Expected Result.</x:v>
      </x:c>
      <x:c r="F3" s="11" t="str">
        <x:v>tripId: TRP0002
score: 4
Idempotency-Key mới, trừ case phát lại. Customer sở hữu Trip, trừ case kiểm tra quyền.</x:v>
      </x:c>
      <x:c r="G3" s="11" t="str">
        <x:v>Đánh giá được lưu thành công; comment không bắt buộc</x:v>
      </x:c>
      <x:c r="H3" s="11" t="str">
        <x:v>Medium</x:v>
      </x:c>
      <x:c r="I3" s="14" t="str">
        <x:v>FR16; AC07</x:v>
      </x:c>
      <x:c r="J3" s="14" t="str">
        <x:v>POST /trips/{tripId}/rating</x:v>
      </x:c>
      <x:c r="K3" s="14" t="str">
        <x:v>API</x:v>
      </x:c>
      <x:c r="L3" s="14" t="str">
        <x:v>DEFINED</x:v>
      </x:c>
      <x:c r="M3" s="33"/>
      <x:c r="N3" s="33" t="str">
        <x:v>NOT_RUN</x:v>
      </x:c>
      <x:c r="O3" s="14" t="str">
        <x:v>Hợp đồng tham chiếu: 08-rating-api.yaml. Chưa chạy kiểm thử. Đối chiếu bản API 1.2 trong cuộc trao đổi; không xác nhận trạng thái commit GitHub.</x:v>
      </x:c>
      <x:c r="P3" s="14" t="str">
        <x:v>R20</x:v>
      </x:c>
      <x:c r="Q3"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4" ht="104" customHeight="1">
      <x:c r="A4" s="11" t="str">
        <x:v>TC-RATING-003</x:v>
      </x:c>
      <x:c r="B4" s="11" t="str">
        <x:v>Đánh giá tài xế</x:v>
      </x:c>
      <x:c r="C4" s="11" t="str">
        <x:v>Đánh giá thất bại khi điểm số ngoài phạm vi cho phép</x:v>
      </x:c>
      <x:c r="D4" s="11" t="str">
        <x:v>Chuyến đã hoàn thành Rating Service dùng cab_rating; CAB Core xác minh user và Trip qua HTTP nội bộ khi cần; service token hợp lệ trừ ca kiểm tra lỗi.</x:v>
      </x:c>
      <x:c r="E4" s="11" t="str">
        <x:v>1. Chuẩn bị dữ liệu và trạng thái trong Preconditions.
2. Gọi POST /trips/{tripId}/rating với Test Data.
3. Đối chiếu HTTP, nội dung phản hồi và trạng thái lưu trữ với Expected Result.</x:v>
      </x:c>
      <x:c r="F4" s="11" t="str">
        <x:v>score: 0
Idempotency-Key mới, trừ case phát lại. Customer sở hữu Trip, trừ case kiểm tra quyền.</x:v>
      </x:c>
      <x:c r="G4" s="11" t="str">
        <x:v>Hệ thống từ chối; báo lỗi validation điểm đánh giá không hợp lệ (400)</x:v>
      </x:c>
      <x:c r="H4" s="11" t="str">
        <x:v>Medium</x:v>
      </x:c>
      <x:c r="I4" s="14" t="str">
        <x:v>FR16; AC07</x:v>
      </x:c>
      <x:c r="J4" s="14" t="str">
        <x:v>POST /trips/{tripId}/rating</x:v>
      </x:c>
      <x:c r="K4" s="14" t="str">
        <x:v>API</x:v>
      </x:c>
      <x:c r="L4" s="14" t="str">
        <x:v>DEFINED</x:v>
      </x:c>
      <x:c r="M4" s="33"/>
      <x:c r="N4" s="33" t="str">
        <x:v>NOT_RUN</x:v>
      </x:c>
      <x:c r="O4" s="14" t="str">
        <x:v>Hợp đồng tham chiếu: 08-rating-api.yaml. Chưa chạy kiểm thử. Đối chiếu bản API 1.2 trong cuộc trao đổi; không xác nhận trạng thái commit GitHub.</x:v>
      </x:c>
      <x:c r="P4" s="14" t="str">
        <x:v>R20</x:v>
      </x:c>
      <x:c r="Q4"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5" ht="104" customHeight="1">
      <x:c r="A5" s="11" t="str">
        <x:v>TC-RATING-004</x:v>
      </x:c>
      <x:c r="B5" s="11" t="str">
        <x:v>Đánh giá tài xế</x:v>
      </x:c>
      <x:c r="C5" s="11" t="str">
        <x:v>Đánh giá thất bại khi thiếu điểm số bắt buộc</x:v>
      </x:c>
      <x:c r="D5" s="11" t="str">
        <x:v>Chuyến đã hoàn thành Rating Service dùng cab_rating; CAB Core xác minh user và Trip qua HTTP nội bộ khi cần; service token hợp lệ trừ ca kiểm tra lỗi.</x:v>
      </x:c>
      <x:c r="E5" s="11" t="str">
        <x:v>1. Chuẩn bị dữ liệu và trạng thái trong Preconditions.
2. Gọi POST /trips/{tripId}/rating với Test Data.
3. Đối chiếu HTTP, nội dung phản hồi và trạng thái lưu trữ với Expected Result.</x:v>
      </x:c>
      <x:c r="F5" s="11" t="str">
        <x:v>score: (trống)
comment: Tài xế lịch sự
Idempotency-Key mới, trừ case phát lại. Customer sở hữu Trip, trừ case kiểm tra quyền.</x:v>
      </x:c>
      <x:c r="G5" s="11" t="str">
        <x:v>Hệ thống từ chối; báo lỗi thiếu điểm đánh giá (400)</x:v>
      </x:c>
      <x:c r="H5" s="11" t="str">
        <x:v>Medium</x:v>
      </x:c>
      <x:c r="I5" s="14" t="str">
        <x:v>FR16; AC07</x:v>
      </x:c>
      <x:c r="J5" s="14" t="str">
        <x:v>POST /trips/{tripId}/rating</x:v>
      </x:c>
      <x:c r="K5" s="14" t="str">
        <x:v>API</x:v>
      </x:c>
      <x:c r="L5" s="14" t="str">
        <x:v>DEFINED</x:v>
      </x:c>
      <x:c r="M5" s="33"/>
      <x:c r="N5" s="33" t="str">
        <x:v>NOT_RUN</x:v>
      </x:c>
      <x:c r="O5" s="14" t="str">
        <x:v>Hợp đồng tham chiếu: 08-rating-api.yaml. Chưa chạy kiểm thử. Đối chiếu bản API 1.2 trong cuộc trao đổi; không xác nhận trạng thái commit GitHub.</x:v>
      </x:c>
      <x:c r="P5" s="14" t="str">
        <x:v>R20</x:v>
      </x:c>
      <x:c r="Q5"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6" ht="104" customHeight="1">
      <x:c r="A6" s="11" t="str">
        <x:v>TC-RATING-005</x:v>
      </x:c>
      <x:c r="B6" s="11" t="str">
        <x:v>Đánh giá tài xế</x:v>
      </x:c>
      <x:c r="C6" s="11" t="str">
        <x:v>Đánh giá thất bại khi chuyến chưa hoàn thành</x:v>
      </x:c>
      <x:c r="D6" s="11" t="str">
        <x:v>Chuyến đang ở trạng thái IN_PROGRESS Rating Service dùng cab_rating; CAB Core xác minh user và Trip qua HTTP nội bộ khi cần; service token hợp lệ trừ ca kiểm tra lỗi.</x:v>
      </x:c>
      <x:c r="E6" s="11" t="str">
        <x:v>1. Chuẩn bị dữ liệu và trạng thái trong Preconditions.
2. Gọi POST /trips/{tripId}/rating với Test Data.
3. Đối chiếu HTTP, nội dung phản hồi và trạng thái lưu trữ với Expected Result.</x:v>
      </x:c>
      <x:c r="F6" s="11" t="str">
        <x:v>tripId: TRP0003
Idempotency-Key mới, trừ case phát lại. Customer sở hữu Trip, trừ case kiểm tra quyền.</x:v>
      </x:c>
      <x:c r="G6" s="11" t="str">
        <x:v>Hệ thống từ chối (409); chuyến chưa hoàn thành</x:v>
      </x:c>
      <x:c r="H6" s="11" t="str">
        <x:v>High</x:v>
      </x:c>
      <x:c r="I6" s="14" t="str">
        <x:v>FR16; AC07</x:v>
      </x:c>
      <x:c r="J6" s="14" t="str">
        <x:v>POST /trips/{tripId}/rating</x:v>
      </x:c>
      <x:c r="K6" s="14" t="str">
        <x:v>API</x:v>
      </x:c>
      <x:c r="L6" s="14" t="str">
        <x:v>DEFINED</x:v>
      </x:c>
      <x:c r="M6" s="33"/>
      <x:c r="N6" s="33" t="str">
        <x:v>NOT_RUN</x:v>
      </x:c>
      <x:c r="O6" s="14" t="str">
        <x:v>Hợp đồng tham chiếu: 08-rating-api.yaml. Chưa chạy kiểm thử. Đối chiếu bản API 1.2 trong cuộc trao đổi; không xác nhận trạng thái commit GitHub.</x:v>
      </x:c>
      <x:c r="P6" s="14" t="str">
        <x:v>R20</x:v>
      </x:c>
      <x:c r="Q6"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7" ht="104" customHeight="1">
      <x:c r="A7" s="11" t="str">
        <x:v>TC-RATING-006</x:v>
      </x:c>
      <x:c r="B7" s="11" t="str">
        <x:v>Đánh giá tài xế</x:v>
      </x:c>
      <x:c r="C7" s="11" t="str">
        <x:v>Đánh giá thất bại khi chuyến đã được đánh giá trước đó</x:v>
      </x:c>
      <x:c r="D7" s="11" t="str">
        <x:v>T1 đã có Rating; C1 sở hữu. Rating Service dùng cab_rating; CAB Core xác minh user và Trip qua HTTP nội bộ khi cần; service token hợp lệ trừ ca kiểm tra lỗi.</x:v>
      </x:c>
      <x:c r="E7" s="11" t="str">
        <x:v>1. Chuẩn bị trạng thái và dữ liệu được nêu.
2. POST /trips/{tripId}/rating.
3. Kiểm tra HTTP, phản hồi và dữ liệu sau thao tác.</x:v>
      </x:c>
      <x:c r="F7" s="11" t="str">
        <x:v>{"score":4}; dùng khóa mới khác lần tạo đầu.</x:v>
      </x:c>
      <x:c r="G7" s="11" t="str">
        <x:v>409 RATING_ALREADY_EXISTS; Rating cũ không đổi.</x:v>
      </x:c>
      <x:c r="H7" s="11" t="str">
        <x:v>High</x:v>
      </x:c>
      <x:c r="I7" s="14" t="str">
        <x:v>FR16; AC07</x:v>
      </x:c>
      <x:c r="J7" s="14" t="str">
        <x:v>POST /trips/{tripId}/rating</x:v>
      </x:c>
      <x:c r="K7" s="14" t="str">
        <x:v>API</x:v>
      </x:c>
      <x:c r="L7" s="14" t="str">
        <x:v>DEFINED</x:v>
      </x:c>
      <x:c r="M7" s="33"/>
      <x:c r="N7" s="33" t="str">
        <x:v>NOT_RUN</x:v>
      </x:c>
      <x:c r="O7" s="14" t="str">
        <x:v>Hợp đồng tham chiếu: 08-rating-api.yaml. Chưa chạy kiểm thử. Đối chiếu bản API 1.2 trong cuộc trao đổi; không xác nhận trạng thái commit GitHub.</x:v>
      </x:c>
      <x:c r="P7" s="14" t="str">
        <x:v>R20</x:v>
      </x:c>
      <x:c r="Q7"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8" ht="104" customHeight="1">
      <x:c r="A8" s="11" t="str">
        <x:v>TC-RATING-007</x:v>
      </x:c>
      <x:c r="B8" s="11" t="str">
        <x:v>Đánh giá tài xế</x:v>
      </x:c>
      <x:c r="C8" s="11" t="str">
        <x:v>Khách hàng không phải người sử dụng chuyến cố gắng đánh giá</x:v>
      </x:c>
      <x:c r="D8" s="11" t="str">
        <x:v>Chuyến TRP0001 thuộc về khách hàng A; khách hàng B đã đăng nhập Rating Service dùng cab_rating; CAB Core xác minh user và Trip qua HTTP nội bộ khi cần; service token hợp lệ trừ ca kiểm tra lỗi.</x:v>
      </x:c>
      <x:c r="E8" s="11" t="str">
        <x:v>1. Chuẩn bị dữ liệu và trạng thái trong Preconditions.
2. Gọi POST /trips/{tripId}/rating với Test Data.
3. Đối chiếu HTTP, nội dung phản hồi và trạng thái lưu trữ với Expected Result.</x:v>
      </x:c>
      <x:c r="F8" s="11" t="str">
        <x:v>Token của B; tripId: TRP0001 (thuộc A)
Idempotency-Key mới, trừ case phát lại. Customer sở hữu Trip, trừ case kiểm tra quyền.</x:v>
      </x:c>
      <x:c r="G8" s="11" t="str">
        <x:v>404 TRIP_NOT_FOUND; không tiết lộ Trip hoặc Rating của người khác.</x:v>
      </x:c>
      <x:c r="H8" s="11" t="str">
        <x:v>High</x:v>
      </x:c>
      <x:c r="I8" s="14" t="str">
        <x:v>FR16; AC07</x:v>
      </x:c>
      <x:c r="J8" s="14" t="str">
        <x:v>POST /trips/{tripId}/rating</x:v>
      </x:c>
      <x:c r="K8" s="14" t="str">
        <x:v>API</x:v>
      </x:c>
      <x:c r="L8" s="14" t="str">
        <x:v>DEFINED</x:v>
      </x:c>
      <x:c r="M8" s="33"/>
      <x:c r="N8" s="33" t="str">
        <x:v>NOT_RUN</x:v>
      </x:c>
      <x:c r="O8" s="14" t="str">
        <x:v>Hợp đồng tham chiếu: 08-rating-api.yaml. Chưa chạy kiểm thử. Đối chiếu bản API 1.2 trong cuộc trao đổi; không xác nhận trạng thái commit GitHub.</x:v>
      </x:c>
      <x:c r="P8" s="14" t="str">
        <x:v>R20</x:v>
      </x:c>
      <x:c r="Q8"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9" ht="104" customHeight="1">
      <x:c r="A9" s="11" t="str">
        <x:v>TC-RATING-008</x:v>
      </x:c>
      <x:c r="B9" s="11" t="str">
        <x:v>Đánh giá tài xế</x:v>
      </x:c>
      <x:c r="C9" s="11" t="str">
        <x:v>Đánh giá cho tripId không tồn tại</x:v>
      </x:c>
      <x:c r="D9" s="11" t="str">
        <x:v>Khách hàng đã đăng nhập Rating Service dùng cab_rating; CAB Core xác minh user và Trip qua HTTP nội bộ khi cần; service token hợp lệ trừ ca kiểm tra lỗi.</x:v>
      </x:c>
      <x:c r="E9" s="11" t="str">
        <x:v>1. Chuẩn bị dữ liệu và trạng thái trong Preconditions.
2. Gọi POST /trips/{tripId}/rating với Test Data.
3. Đối chiếu HTTP, nội dung phản hồi và trạng thái lưu trữ với Expected Result.</x:v>
      </x:c>
      <x:c r="F9" s="11" t="str">
        <x:v>tripId: TRP9999
Idempotency-Key mới, trừ case phát lại. Customer sở hữu Trip, trừ case kiểm tra quyền.</x:v>
      </x:c>
      <x:c r="G9" s="11" t="str">
        <x:v>API trả lỗi 404 Not Found</x:v>
      </x:c>
      <x:c r="H9" s="11" t="str">
        <x:v>Medium</x:v>
      </x:c>
      <x:c r="I9" s="14" t="str">
        <x:v>FR16; AC07</x:v>
      </x:c>
      <x:c r="J9" s="14" t="str">
        <x:v>POST /trips/{tripId}/rating</x:v>
      </x:c>
      <x:c r="K9" s="14" t="str">
        <x:v>API</x:v>
      </x:c>
      <x:c r="L9" s="14" t="str">
        <x:v>DEFINED</x:v>
      </x:c>
      <x:c r="M9" s="33"/>
      <x:c r="N9" s="33" t="str">
        <x:v>NOT_RUN</x:v>
      </x:c>
      <x:c r="O9" s="14" t="str">
        <x:v>Hợp đồng tham chiếu: 08-rating-api.yaml. Chưa chạy kiểm thử. Đối chiếu bản API 1.2 trong cuộc trao đổi; không xác nhận trạng thái commit GitHub.</x:v>
      </x:c>
      <x:c r="P9" s="14" t="str">
        <x:v>R20</x:v>
      </x:c>
      <x:c r="Q9"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0" ht="104" customHeight="1">
      <x:c r="A10" s="11" t="str">
        <x:v>TC-RATING-009</x:v>
      </x:c>
      <x:c r="B10" s="11" t="str">
        <x:v>Đánh giá tài xế</x:v>
      </x:c>
      <x:c r="C10" s="11" t="str">
        <x:v>Xem đánh giá của một chuyến đã có đánh giá</x:v>
      </x:c>
      <x:c r="D10" s="11" t="str">
        <x:v>Chuyến TRP0001 đã được đánh giá Rating Service dùng cab_rating; CAB Core xác minh user và Trip qua HTTP nội bộ khi cần; service token hợp lệ trừ ca kiểm tra lỗi.</x:v>
      </x:c>
      <x:c r="E10" s="11" t="str">
        <x:v>1. Chuẩn bị dữ liệu và trạng thái trong Preconditions.
2. Gọi GET /trips/{tripId}/rating với Test Data.
3. Đối chiếu HTTP, nội dung phản hồi và trạng thái lưu trữ với Expected Result.</x:v>
      </x:c>
      <x:c r="F10" s="11" t="str">
        <x:v>tripId: TRP0001</x:v>
      </x:c>
      <x:c r="G10" s="11" t="str">
        <x:v>Trả về đúng thông tin đánh giá của chuyến (200)</x:v>
      </x:c>
      <x:c r="H10" s="11" t="str">
        <x:v>Medium</x:v>
      </x:c>
      <x:c r="I10" s="14" t="str">
        <x:v>FR16; AC07</x:v>
      </x:c>
      <x:c r="J10" s="14" t="str">
        <x:v>GET /trips/{tripId}/rating</x:v>
      </x:c>
      <x:c r="K10" s="14" t="str">
        <x:v>API</x:v>
      </x:c>
      <x:c r="L10" s="14" t="str">
        <x:v>DEFINED</x:v>
      </x:c>
      <x:c r="M10" s="33"/>
      <x:c r="N10" s="33" t="str">
        <x:v>NOT_RUN</x:v>
      </x:c>
      <x:c r="O10" s="14" t="str">
        <x:v>Hợp đồng tham chiếu: 08-rating-api.yaml. Chưa chạy kiểm thử. Đối chiếu bản API 1.2 trong cuộc trao đổi; không xác nhận trạng thái commit GitHub.</x:v>
      </x:c>
      <x:c r="P10" s="14" t="str">
        <x:v>R20</x:v>
      </x:c>
      <x:c r="Q10"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1" ht="104" customHeight="1">
      <x:c r="A11" s="11" t="str">
        <x:v>TC-RATING-010</x:v>
      </x:c>
      <x:c r="B11" s="11" t="str">
        <x:v>Đánh giá tài xế</x:v>
      </x:c>
      <x:c r="C11" s="11" t="str">
        <x:v>Xem đánh giá của một chuyến chưa được đánh giá</x:v>
      </x:c>
      <x:c r="D11" s="11" t="str">
        <x:v>Chuyến TRP0002 chưa được đánh giá Rating Service dùng cab_rating; CAB Core xác minh user và Trip qua HTTP nội bộ khi cần; service token hợp lệ trừ ca kiểm tra lỗi.</x:v>
      </x:c>
      <x:c r="E11" s="11" t="str">
        <x:v>1. Chuẩn bị dữ liệu và trạng thái trong Preconditions.
2. Gọi GET /trips/{tripId}/rating với Test Data.
3. Đối chiếu HTTP, nội dung phản hồi và trạng thái lưu trữ với Expected Result.</x:v>
      </x:c>
      <x:c r="F11" s="11" t="str">
        <x:v>tripId: TRP0002</x:v>
      </x:c>
      <x:c r="G11" s="11" t="str">
        <x:v>API trả lỗi 404 Not Found</x:v>
      </x:c>
      <x:c r="H11" s="11" t="str">
        <x:v>Medium</x:v>
      </x:c>
      <x:c r="I11" s="14" t="str">
        <x:v>FR16; AC07</x:v>
      </x:c>
      <x:c r="J11" s="14" t="str">
        <x:v>GET /trips/{tripId}/rating</x:v>
      </x:c>
      <x:c r="K11" s="14" t="str">
        <x:v>API</x:v>
      </x:c>
      <x:c r="L11" s="14" t="str">
        <x:v>DEFINED</x:v>
      </x:c>
      <x:c r="M11" s="33"/>
      <x:c r="N11" s="33" t="str">
        <x:v>NOT_RUN</x:v>
      </x:c>
      <x:c r="O11" s="14" t="str">
        <x:v>Hợp đồng tham chiếu: 08-rating-api.yaml. Chưa chạy kiểm thử. Đối chiếu bản API 1.2 trong cuộc trao đổi; không xác nhận trạng thái commit GitHub.</x:v>
      </x:c>
      <x:c r="P11" s="14" t="str">
        <x:v>R20</x:v>
      </x:c>
      <x:c r="Q11"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2" ht="104" customHeight="1">
      <x:c r="A12" s="11" t="str">
        <x:v>TC-RATING-011</x:v>
      </x:c>
      <x:c r="B12" s="11" t="str">
        <x:v>Đánh giá tài xế</x:v>
      </x:c>
      <x:c r="C12" s="11" t="str">
        <x:v>Xem danh sách đánh giá của một tài xế</x:v>
      </x:c>
      <x:c r="D12" s="11" t="str">
        <x:v>D1 có đánh giá từ các Trip đã thực hiện. Rating Service dùng cab_rating; CAB Core xác minh user và Trip qua HTTP nội bộ khi cần; service token hợp lệ trừ ca kiểm tra lỗi.</x:v>
      </x:c>
      <x:c r="E12" s="11" t="str">
        <x:v>1. Chuẩn bị trạng thái và dữ liệu được nêu.
2. GET /drivers/me/ratings.
3. Kiểm tra HTTP, phản hồi và dữ liệu sau thao tác.</x:v>
      </x:c>
      <x:c r="F12" s="11" t="str">
        <x:v>Token D1; limit=20.</x:v>
      </x:c>
      <x:c r="G12" s="11" t="str">
        <x:v>200; chỉ Rating có driverId D1; trả items/nextCursor; không bắt buộc averageScore.</x:v>
      </x:c>
      <x:c r="H12" s="11" t="str">
        <x:v>Medium</x:v>
      </x:c>
      <x:c r="I12" s="14" t="str">
        <x:v>FR16; AC07</x:v>
      </x:c>
      <x:c r="J12" s="14" t="str">
        <x:v>GET /drivers/me/ratings</x:v>
      </x:c>
      <x:c r="K12" s="14" t="str">
        <x:v>API</x:v>
      </x:c>
      <x:c r="L12" s="14" t="str">
        <x:v>DEFINED</x:v>
      </x:c>
      <x:c r="M12" s="33"/>
      <x:c r="N12" s="33" t="str">
        <x:v>NOT_RUN</x:v>
      </x:c>
      <x:c r="O12" s="14" t="str">
        <x:v>Hợp đồng tham chiếu: 08-rating-api.yaml. Chưa chạy kiểm thử. Đối chiếu bản API 1.2 trong cuộc trao đổi; không xác nhận trạng thái commit GitHub.</x:v>
      </x:c>
      <x:c r="P12" s="14" t="str">
        <x:v>R20</x:v>
      </x:c>
      <x:c r="Q12"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3" ht="104" customHeight="1">
      <x:c r="A13" s="11" t="str">
        <x:v>TC-RATING-012</x:v>
      </x:c>
      <x:c r="B13" s="11" t="str">
        <x:v>Đánh giá tài xế</x:v>
      </x:c>
      <x:c r="C13" s="11" t="str">
        <x:v>Xem danh sách đánh giá của tài xế chưa có đánh giá nào</x:v>
      </x:c>
      <x:c r="D13" s="11" t="str">
        <x:v>D1 chưa có đánh giá. Rating Service dùng cab_rating; CAB Core xác minh user và Trip qua HTTP nội bộ khi cần; service token hợp lệ trừ ca kiểm tra lỗi.</x:v>
      </x:c>
      <x:c r="E13" s="11" t="str">
        <x:v>1. Chuẩn bị trạng thái và dữ liệu được nêu.
2. GET /drivers/me/ratings.
3. Kiểm tra HTTP, phản hồi và dữ liệu sau thao tác.</x:v>
      </x:c>
      <x:c r="F13" s="11" t="str">
        <x:v>Token D1.</x:v>
      </x:c>
      <x:c r="G13" s="11" t="str">
        <x:v>200; items=[]; nextCursor=null; không dùng score=0 hoặc điểm trung bình giả.</x:v>
      </x:c>
      <x:c r="H13" s="11" t="str">
        <x:v>Low</x:v>
      </x:c>
      <x:c r="I13" s="14" t="str">
        <x:v>FR16; AC07</x:v>
      </x:c>
      <x:c r="J13" s="14" t="str">
        <x:v>GET /drivers/me/ratings</x:v>
      </x:c>
      <x:c r="K13" s="14" t="str">
        <x:v>API</x:v>
      </x:c>
      <x:c r="L13" s="14" t="str">
        <x:v>DEFINED</x:v>
      </x:c>
      <x:c r="M13" s="33"/>
      <x:c r="N13" s="33" t="str">
        <x:v>NOT_RUN</x:v>
      </x:c>
      <x:c r="O13" s="14" t="str">
        <x:v>Hợp đồng tham chiếu: 08-rating-api.yaml. Chưa chạy kiểm thử. Đối chiếu bản API 1.2 trong cuộc trao đổi; không xác nhận trạng thái commit GitHub.</x:v>
      </x:c>
      <x:c r="P13" s="14" t="str">
        <x:v>R20</x:v>
      </x:c>
      <x:c r="Q13"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4" ht="104" customHeight="1">
      <x:c r="A14" s="11" t="str">
        <x:v>TC-RATING-013</x:v>
      </x:c>
      <x:c r="B14" s="11" t="str">
        <x:v>Đánh giá tài xế</x:v>
      </x:c>
      <x:c r="C14" s="11" t="str">
        <x:v>Đánh giá khi chưa đăng nhập</x:v>
      </x:c>
      <x:c r="D14" s="11" t="str">
        <x:v>Không có access token hợp lệ Rating Service dùng cab_rating; CAB Core xác minh user và Trip qua HTTP nội bộ khi cần; service token hợp lệ trừ ca kiểm tra lỗi.</x:v>
      </x:c>
      <x:c r="E14" s="11" t="str">
        <x:v>1. Chuẩn bị dữ liệu và trạng thái trong Preconditions.
2. Gọi POST /trips/{tripId}/rating với Test Data.
3. Đối chiếu HTTP, nội dung phản hồi và trạng thái lưu trữ với Expected Result.</x:v>
      </x:c>
      <x:c r="F14" s="11" t="str">
        <x:v>Header Authorization: (không có)
Idempotency-Key mới, trừ case phát lại. Customer sở hữu Trip, trừ case kiểm tra quyền.</x:v>
      </x:c>
      <x:c r="G14" s="11" t="str">
        <x:v>API trả lỗi 401 Unauthorized</x:v>
      </x:c>
      <x:c r="H14" s="11" t="str">
        <x:v>High</x:v>
      </x:c>
      <x:c r="I14" s="14" t="str">
        <x:v>FR16; AC07</x:v>
      </x:c>
      <x:c r="J14" s="14" t="str">
        <x:v>POST /trips/{tripId}/rating</x:v>
      </x:c>
      <x:c r="K14" s="14" t="str">
        <x:v>API</x:v>
      </x:c>
      <x:c r="L14" s="14" t="str">
        <x:v>DEFINED</x:v>
      </x:c>
      <x:c r="M14" s="33"/>
      <x:c r="N14" s="33" t="str">
        <x:v>NOT_RUN</x:v>
      </x:c>
      <x:c r="O14" s="14" t="str">
        <x:v>Hợp đồng tham chiếu: 08-rating-api.yaml. Chưa chạy kiểm thử. Đối chiếu bản API 1.2 trong cuộc trao đổi; không xác nhận trạng thái commit GitHub.</x:v>
      </x:c>
      <x:c r="P14" s="14" t="str">
        <x:v>R20</x:v>
      </x:c>
      <x:c r="Q14"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5" ht="104" customHeight="1">
      <x:c r="A15" s="11" t="str">
        <x:v>TC-RATING-014</x:v>
      </x:c>
      <x:c r="B15" s="11" t="str">
        <x:v>Đánh giá tài xế</x:v>
      </x:c>
      <x:c r="C15" s="11" t="str">
        <x:v>Đánh giá với nhận xét chứa dấu tiếng Việt</x:v>
      </x:c>
      <x:c r="D15" s="11" t="str">
        <x:v>Chuyến đã hoàn thành, chưa được đánh giá Rating Service dùng cab_rating; CAB Core xác minh user và Trip qua HTTP nội bộ khi cần; service token hợp lệ trừ ca kiểm tra lỗi.</x:v>
      </x:c>
      <x:c r="E15" s="11" t="str">
        <x:v>1. Chuẩn bị dữ liệu và trạng thái trong Preconditions.
2. Gọi POST /trips/{tripId}/rating với Test Data.
3. Đối chiếu HTTP, nội dung phản hồi và trạng thái lưu trữ với Expected Result.</x:v>
      </x:c>
      <x:c r="F15" s="11" t="str">
        <x:v>comment: Tài xế rất nhiệt tình và đúng giờ
Idempotency-Key mới, trừ case phát lại. Customer sở hữu Trip, trừ case kiểm tra quyền.</x:v>
      </x:c>
      <x:c r="G15" s="11" t="str">
        <x:v>Đánh giá được lưu đúng nội dung tiếng Việt có dấu</x:v>
      </x:c>
      <x:c r="H15" s="11" t="str">
        <x:v>Low</x:v>
      </x:c>
      <x:c r="I15" s="14" t="str">
        <x:v>FR16; AC07</x:v>
      </x:c>
      <x:c r="J15" s="14" t="str">
        <x:v>POST /trips/{tripId}/rating</x:v>
      </x:c>
      <x:c r="K15" s="14" t="str">
        <x:v>API</x:v>
      </x:c>
      <x:c r="L15" s="14" t="str">
        <x:v>DEFINED</x:v>
      </x:c>
      <x:c r="M15" s="33"/>
      <x:c r="N15" s="33" t="str">
        <x:v>NOT_RUN</x:v>
      </x:c>
      <x:c r="O15" s="14" t="str">
        <x:v>Hợp đồng tham chiếu: 08-rating-api.yaml. Chưa chạy kiểm thử. Đối chiếu bản API 1.2 trong cuộc trao đổi; không xác nhận trạng thái commit GitHub.</x:v>
      </x:c>
      <x:c r="P15" s="14" t="str">
        <x:v>R20</x:v>
      </x:c>
      <x:c r="Q15"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6" ht="104" customHeight="1">
      <x:c r="A16" s="11" t="str">
        <x:v>TC-RATING-015</x:v>
      </x:c>
      <x:c r="B16" s="11" t="str">
        <x:v>Đánh giá tài xế</x:v>
      </x:c>
      <x:c r="C16" s="11" t="str">
        <x:v>Đánh giá được gắn đúng với tripId, customerId, driverId tương ứng</x:v>
      </x:c>
      <x:c r="D16" s="11" t="str">
        <x:v>Chuyến đã hoàn thành, chưa được đánh giá Rating Service dùng cab_rating; CAB Core xác minh user và Trip qua HTTP nội bộ khi cần; service token hợp lệ trừ ca kiểm tra lỗi.</x:v>
      </x:c>
      <x:c r="E16" s="11" t="str">
        <x:v>1. Chuẩn bị dữ liệu và trạng thái trong Preconditions.
2. Gọi POST /trips/{tripId}/rating với Test Data.
3. Đối chiếu HTTP, nội dung phản hồi và trạng thái lưu trữ với Expected Result.</x:v>
      </x:c>
      <x:c r="F16" s="11" t="str">
        <x:v>tripId: TRP0004
Idempotency-Key mới, trừ case phát lại. Customer sở hữu Trip, trừ case kiểm tra quyền.</x:v>
      </x:c>
      <x:c r="G16" s="11" t="str">
        <x:v>Đánh giá lưu đúng liên kết tripId, customerId, driverId của chuyến</x:v>
      </x:c>
      <x:c r="H16" s="11" t="str">
        <x:v>Medium</x:v>
      </x:c>
      <x:c r="I16" s="14" t="str">
        <x:v>FR16; AC07</x:v>
      </x:c>
      <x:c r="J16" s="14" t="str">
        <x:v>POST /trips/{tripId}/rating</x:v>
      </x:c>
      <x:c r="K16" s="14" t="str">
        <x:v>API</x:v>
      </x:c>
      <x:c r="L16" s="14" t="str">
        <x:v>DEFINED</x:v>
      </x:c>
      <x:c r="M16" s="33"/>
      <x:c r="N16" s="33" t="str">
        <x:v>NOT_RUN</x:v>
      </x:c>
      <x:c r="O16" s="14" t="str">
        <x:v>Hợp đồng tham chiếu: 08-rating-api.yaml. Chưa chạy kiểm thử. Đối chiếu bản API 1.2 trong cuộc trao đổi; không xác nhận trạng thái commit GitHub.</x:v>
      </x:c>
      <x:c r="P16" s="14" t="str">
        <x:v>R20</x:v>
      </x:c>
      <x:c r="Q16"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7" ht="104" customHeight="1">
      <x:c r="A17" s="11" t="str">
        <x:v>TC-RATING-016</x:v>
      </x:c>
      <x:c r="B17" s="11" t="str">
        <x:v>Đánh giá tài xế</x:v>
      </x:c>
      <x:c r="C17" s="11" t="str">
        <x:v>Điểm trung bình của tài xế được tính lại chính xác sau khi có đánh giá mới</x:v>
      </x:c>
      <x:c r="D17" s="11" t="str">
        <x:v>Tài xế đã có sẵn một số đánh giá trước đó</x:v>
      </x:c>
      <x:c r="E17" s="11" t="str">
        <x:v>1. Chuẩn bị dữ liệu và trạng thái trong Preconditions.
2. Gọi Chưa có hợp đồng averageScore với Test Data.
3. Đối chiếu HTTP, nội dung phản hồi và trạng thái lưu trữ với Expected Result.</x:v>
      </x:c>
      <x:c r="F17" s="11" t="str">
        <x:v>driverId: DRV0001
score mới: 5</x:v>
      </x:c>
      <x:c r="G17" s="11" t="str">
        <x:v>Không thực thi hoặc chấm FAIL cho averageScore trong phiên bản 1.2; API chưa cung cấp thuật toán/endpoint điểm trung bình.</x:v>
      </x:c>
      <x:c r="H17" s="11" t="str">
        <x:v>Medium</x:v>
      </x:c>
      <x:c r="I17" s="14" t="str">
        <x:v>FR16; AC07</x:v>
      </x:c>
      <x:c r="J17" s="14" t="str">
        <x:v>Chưa có hợp đồng averageScore</x:v>
      </x:c>
      <x:c r="K17" s="14" t="str">
        <x:v>API</x:v>
      </x:c>
      <x:c r="L17" s="14" t="str">
        <x:v>OUT_OF_SCOPE</x:v>
      </x:c>
      <x:c r="M17" s="33"/>
      <x:c r="N17" s="33" t="str">
        <x:v>NOT_RUN</x:v>
      </x:c>
      <x:c r="O17" s="14" t="str">
        <x:v>Giữ mã lịch sử. Không tính vào số ca đang áp dụng hoặc bằng chứng đạt rubric 20.</x:v>
      </x:c>
      <x:c r="P17" s="14" t="str">
        <x:v>—</x:v>
      </x:c>
      <x:c r="Q17" s="14" t="str">
        <x:v>Request/response đã che token; dữ liệu trước/sau hoặc log kiểm tra có correlationId; môi trường, commit và thời gian chạy. Không ghi mật khẩu thật.</x:v>
      </x:c>
    </x:row>
    <x:row r="18" ht="104" customHeight="1">
      <x:c r="A18" s="11" t="str">
        <x:v>TC-RATING-017</x:v>
      </x:c>
      <x:c r="B18" s="11" t="str">
        <x:v>Đánh giá tài xế</x:v>
      </x:c>
      <x:c r="C18" s="11" t="str">
        <x:v>Đánh giá thất bại khi điểm số là số thập phân không hợp lệ</x:v>
      </x:c>
      <x:c r="D18" s="11" t="str">
        <x:v>Chuyến đã hoàn thành, hệ thống chỉ cho phép điểm nguyên Rating Service dùng cab_rating; CAB Core xác minh user và Trip qua HTTP nội bộ khi cần; service token hợp lệ trừ ca kiểm tra lỗi.</x:v>
      </x:c>
      <x:c r="E18" s="11" t="str">
        <x:v>1. Chuẩn bị dữ liệu và trạng thái trong Preconditions.
2. Gọi POST /trips/{tripId}/rating với Test Data.
3. Đối chiếu HTTP, nội dung phản hồi và trạng thái lưu trữ với Expected Result.</x:v>
      </x:c>
      <x:c r="F18" s="11" t="str">
        <x:v>score: 4.5
Idempotency-Key mới, trừ case phát lại. Customer sở hữu Trip, trừ case kiểm tra quyền.</x:v>
      </x:c>
      <x:c r="G18" s="11" t="str">
        <x:v>Hệ thống từ chối; báo lỗi định dạng điểm đánh giá không hợp lệ (400)</x:v>
      </x:c>
      <x:c r="H18" s="11" t="str">
        <x:v>Low</x:v>
      </x:c>
      <x:c r="I18" s="14" t="str">
        <x:v>FR16; AC07</x:v>
      </x:c>
      <x:c r="J18" s="14" t="str">
        <x:v>POST /trips/{tripId}/rating</x:v>
      </x:c>
      <x:c r="K18" s="14" t="str">
        <x:v>API</x:v>
      </x:c>
      <x:c r="L18" s="14" t="str">
        <x:v>DEFINED</x:v>
      </x:c>
      <x:c r="M18" s="33"/>
      <x:c r="N18" s="33" t="str">
        <x:v>NOT_RUN</x:v>
      </x:c>
      <x:c r="O18" s="14" t="str">
        <x:v>Hợp đồng tham chiếu: 08-rating-api.yaml. Chưa chạy kiểm thử. Đối chiếu bản API 1.2 trong cuộc trao đổi; không xác nhận trạng thái commit GitHub.</x:v>
      </x:c>
      <x:c r="P18" s="14" t="str">
        <x:v>R20</x:v>
      </x:c>
      <x:c r="Q18"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19" ht="104" customHeight="1">
      <x:c r="A19" s="11" t="str">
        <x:v>TC-RATING-018</x:v>
      </x:c>
      <x:c r="B19" s="11" t="str">
        <x:v>Đánh giá tài xế</x:v>
      </x:c>
      <x:c r="C19" s="11" t="str">
        <x:v>Phân trang danh sách đánh giá của tài xế</x:v>
      </x:c>
      <x:c r="D19" s="11" t="str">
        <x:v>D1 có 25 Rating, bộ dữ liệu không đổi trong khi phân trang. Rating Service dùng cab_rating; CAB Core xác minh user và Trip qua HTTP nội bộ khi cần; service token hợp lệ trừ ca kiểm tra lỗi.</x:v>
      </x:c>
      <x:c r="E19" s="11" t="str">
        <x:v>1. Chuẩn bị trạng thái và dữ liệu được nêu.
2. GET /drivers/me/ratings?limit=10; gọi tiếp với nextCursor.
3. Kiểm tra HTTP, phản hồi và dữ liệu sau thao tác.</x:v>
      </x:c>
      <x:c r="F19" s="11" t="str">
        <x:v>Dùng cursor trả về từ trang trước, không dùng page/pageSize.</x:v>
      </x:c>
      <x:c r="G19" s="11" t="str">
        <x:v>Lần lượt 10/10/5 bản ghi, không trùng hoặc thiếu; trang cuối nextCursor=null.</x:v>
      </x:c>
      <x:c r="H19" s="11" t="str">
        <x:v>Low</x:v>
      </x:c>
      <x:c r="I19" s="14" t="str">
        <x:v>FR16; AC07</x:v>
      </x:c>
      <x:c r="J19" s="14" t="str">
        <x:v>GET /drivers/me/ratings?limit=10; gọi tiếp với nextCursor</x:v>
      </x:c>
      <x:c r="K19" s="14" t="str">
        <x:v>API</x:v>
      </x:c>
      <x:c r="L19" s="14" t="str">
        <x:v>DEFINED</x:v>
      </x:c>
      <x:c r="M19" s="33"/>
      <x:c r="N19" s="33" t="str">
        <x:v>NOT_RUN</x:v>
      </x:c>
      <x:c r="O19" s="14" t="str">
        <x:v>Hợp đồng tham chiếu: 08-rating-api.yaml. Chưa chạy kiểm thử. Đối chiếu bản API 1.2 trong cuộc trao đổi; không xác nhận trạng thái commit GitHub.</x:v>
      </x:c>
      <x:c r="P19" s="14" t="str">
        <x:v>R20</x:v>
      </x:c>
      <x:c r="Q19"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20" ht="104" customHeight="1">
      <x:c r="A20" s="11" t="str">
        <x:v>TC-RATING-019</x:v>
      </x:c>
      <x:c r="B20" s="11" t="str">
        <x:v>Đánh giá tài xế</x:v>
      </x:c>
      <x:c r="C20" s="11" t="str">
        <x:v>Đánh giá thất bại khi chuyến đã bị hủy</x:v>
      </x:c>
      <x:c r="D20" s="11" t="str">
        <x:v>Chuyến/booking đã ở trạng thái CANCELLED Rating Service dùng cab_rating; CAB Core xác minh user và Trip qua HTTP nội bộ khi cần; service token hợp lệ trừ ca kiểm tra lỗi.</x:v>
      </x:c>
      <x:c r="E20" s="11" t="str">
        <x:v>1. Chuẩn bị dữ liệu và trạng thái trong Preconditions.
2. Gọi POST /trips/{tripId}/rating với Test Data.
3. Đối chiếu HTTP, nội dung phản hồi và trạng thái lưu trữ với Expected Result.</x:v>
      </x:c>
      <x:c r="F20" s="11" t="str">
        <x:v>tripId: TRP0005
Idempotency-Key mới, trừ case phát lại. Customer sở hữu Trip, trừ case kiểm tra quyền.</x:v>
      </x:c>
      <x:c r="G20" s="11" t="str">
        <x:v>Hệ thống từ chối; không cho phép đánh giá chuyến đã hủy (409)</x:v>
      </x:c>
      <x:c r="H20" s="11" t="str">
        <x:v>Medium</x:v>
      </x:c>
      <x:c r="I20" s="14" t="str">
        <x:v>FR16; AC07</x:v>
      </x:c>
      <x:c r="J20" s="14" t="str">
        <x:v>POST /trips/{tripId}/rating</x:v>
      </x:c>
      <x:c r="K20" s="14" t="str">
        <x:v>API</x:v>
      </x:c>
      <x:c r="L20" s="14" t="str">
        <x:v>DEFINED</x:v>
      </x:c>
      <x:c r="M20" s="33"/>
      <x:c r="N20" s="33" t="str">
        <x:v>NOT_RUN</x:v>
      </x:c>
      <x:c r="O20" s="14" t="str">
        <x:v>Hợp đồng tham chiếu: 08-rating-api.yaml. Chưa chạy kiểm thử. Đối chiếu bản API 1.2 trong cuộc trao đổi; không xác nhận trạng thái commit GitHub.</x:v>
      </x:c>
      <x:c r="P20" s="14" t="str">
        <x:v>R20</x:v>
      </x:c>
      <x:c r="Q20"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21" ht="104" customHeight="1">
      <x:c r="A21" s="11" t="str">
        <x:v>TC-RATING-020</x:v>
      </x:c>
      <x:c r="B21" s="11" t="str">
        <x:v>Đánh giá tài xế</x:v>
      </x:c>
      <x:c r="C21" s="11" t="str">
        <x:v>Nhân viên vận hành tra cứu đúng đánh giá khi xem chi tiết chuyến</x:v>
      </x:c>
      <x:c r="D21" s="11" t="str">
        <x:v>OPERATOR ACTIVE; T1 có Rating. Rating Service dùng cab_rating; CAB Core xác minh user và Trip qua HTTP nội bộ khi cần; service token hợp lệ trừ ca kiểm tra lỗi.</x:v>
      </x:c>
      <x:c r="E21" s="11" t="str">
        <x:v>1. Chuẩn bị trạng thái và dữ liệu được nêu.
2. GET /trips/{tripId}/rating.
3. Kiểm tra HTTP, phản hồi và dữ liệu sau thao tác.</x:v>
      </x:c>
      <x:c r="F21" s="11" t="str">
        <x:v>tripId=T1; token OPERATOR.</x:v>
      </x:c>
      <x:c r="G21" s="11" t="str">
        <x:v>200; score/comment đúng Rating của T1; không cần Rating nằm trong response GET Trip.</x:v>
      </x:c>
      <x:c r="H21" s="11" t="str">
        <x:v>Low</x:v>
      </x:c>
      <x:c r="I21" s="14" t="str">
        <x:v>FR16; AC07</x:v>
      </x:c>
      <x:c r="J21" s="14" t="str">
        <x:v>GET /trips/{tripId}/rating</x:v>
      </x:c>
      <x:c r="K21" s="14" t="str">
        <x:v>API</x:v>
      </x:c>
      <x:c r="L21" s="14" t="str">
        <x:v>DEFINED</x:v>
      </x:c>
      <x:c r="M21" s="33"/>
      <x:c r="N21" s="33" t="str">
        <x:v>NOT_RUN</x:v>
      </x:c>
      <x:c r="O21" s="14" t="str">
        <x:v>Hợp đồng tham chiếu: 08-rating-api.yaml. Chưa chạy kiểm thử. Đối chiếu bản API 1.2 trong cuộc trao đổi; không xác nhận trạng thái commit GitHub.</x:v>
      </x:c>
      <x:c r="P21" s="14" t="str">
        <x:v>R20</x:v>
      </x:c>
      <x:c r="Q21"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22" ht="104" customHeight="1">
      <x:c r="A22" s="14" t="str">
        <x:v>TC-RATING-021</x:v>
      </x:c>
      <x:c r="B22" s="14" t="str">
        <x:v>Đánh giá tài xế</x:v>
      </x:c>
      <x:c r="C22" s="14" t="str">
        <x:v>Phát lại tạo Rating không nhân đôi</x:v>
      </x:c>
      <x:c r="D22" s="14" t="str">
        <x:v>C1 sở hữu T1 COMPLETED chưa có Rating. Rating Service dùng cab_rating; CAB Core xác minh user và Trip qua HTTP nội bộ khi cần; service token hợp lệ trừ ca kiểm tra lỗi.</x:v>
      </x:c>
      <x:c r="E22" s="14" t="str">
        <x:v>1. Thiết lập fixture và trạng thái theo Preconditions.
2. POST /trips/T1/rating hai lần với Test Data.
3. Đối chiếu phản hồi và dữ liệu lưu trữ theo Expected Result.</x:v>
      </x:c>
      <x:c r="F22" s="14" t="str">
        <x:v>{"score":5}; cùng Idempotency-Key.</x:v>
      </x:c>
      <x:c r="G22" s="14" t="str">
        <x:v>Hai phản hồi 201 có cùng ratingId/createdAt; chỉ một Rating.</x:v>
      </x:c>
      <x:c r="H22" s="14" t="str">
        <x:v>High</x:v>
      </x:c>
      <x:c r="I22" s="14" t="str">
        <x:v>FR16; AC07</x:v>
      </x:c>
      <x:c r="J22" s="14" t="str">
        <x:v>POST /trips/T1/rating hai lần</x:v>
      </x:c>
      <x:c r="K22" s="14" t="str">
        <x:v>Integration</x:v>
      </x:c>
      <x:c r="L22" s="14" t="str">
        <x:v>DEFINED</x:v>
      </x:c>
      <x:c r="M22" s="33"/>
      <x:c r="N22" s="33" t="str">
        <x:v>NOT_RUN</x:v>
      </x:c>
      <x:c r="O22" s="14" t="str">
        <x:v>Bổ sung theo thiết kế đã duyệt; chưa chạy kiểm thử. Tham chiếu: 08-rating-api.yaml. Đối chiếu bản API 1.2 trong cuộc trao đổi; không xác nhận trạng thái commit GitHub.</x:v>
      </x:c>
      <x:c r="P22" s="14" t="str">
        <x:v>R20</x:v>
      </x:c>
      <x:c r="Q22"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23" ht="104" customHeight="1">
      <x:c r="A23" s="14" t="str">
        <x:v>TC-RATING-022</x:v>
      </x:c>
      <x:c r="B23" s="14" t="str">
        <x:v>Đánh giá tài xế</x:v>
      </x:c>
      <x:c r="C23" s="14" t="str">
        <x:v>Khóa cũ không được đổi score</x:v>
      </x:c>
      <x:c r="D23" s="14" t="str">
        <x:v>T1 đã có Rating tạo bởi khóa K1. Rating Service dùng cab_rating; CAB Core xác minh user và Trip qua HTTP nội bộ khi cần; service token hợp lệ trừ ca kiểm tra lỗi.</x:v>
      </x:c>
      <x:c r="E23" s="14" t="str">
        <x:v>1. Thiết lập fixture và trạng thái theo Preconditions.
2. POST /trips/T1/rating dùng K1 với Test Data.
3. Đối chiếu phản hồi và dữ liệu lưu trữ theo Expected Result.</x:v>
      </x:c>
      <x:c r="F23" s="14" t="str">
        <x:v>Body đổi score từ 5 thành 4.</x:v>
      </x:c>
      <x:c r="G23" s="14" t="str">
        <x:v>409 IDEMPOTENCY_CONFLICT; score vẫn 5.</x:v>
      </x:c>
      <x:c r="H23" s="14" t="str">
        <x:v>High</x:v>
      </x:c>
      <x:c r="I23" s="14" t="str">
        <x:v>FR16; AC07</x:v>
      </x:c>
      <x:c r="J23" s="14" t="str">
        <x:v>POST /trips/T1/rating dùng K1</x:v>
      </x:c>
      <x:c r="K23" s="14" t="str">
        <x:v>Integration</x:v>
      </x:c>
      <x:c r="L23" s="14" t="str">
        <x:v>DEFINED</x:v>
      </x:c>
      <x:c r="M23" s="33"/>
      <x:c r="N23" s="33" t="str">
        <x:v>NOT_RUN</x:v>
      </x:c>
      <x:c r="O23" s="14" t="str">
        <x:v>Bổ sung theo thiết kế đã duyệt; chưa chạy kiểm thử. Tham chiếu: 08-rating-api.yaml. Đối chiếu bản API 1.2 trong cuộc trao đổi; không xác nhận trạng thái commit GitHub.</x:v>
      </x:c>
      <x:c r="P23" s="14" t="str">
        <x:v>R20</x:v>
      </x:c>
      <x:c r="Q23"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24" ht="104" customHeight="1">
      <x:c r="A24" s="14" t="str">
        <x:v>TC-RATING-023</x:v>
      </x:c>
      <x:c r="B24" s="14" t="str">
        <x:v>Đánh giá tài xế</x:v>
      </x:c>
      <x:c r="C24" s="14" t="str">
        <x:v>Hai khóa đồng thời chỉ tạo một Rating</x:v>
      </x:c>
      <x:c r="D24" s="14" t="str">
        <x:v>T1 COMPLETED chưa có Rating, C1 sở hữu. Rating Service dùng cab_rating; CAB Core xác minh user và Trip qua HTTP nội bộ khi cần; service token hợp lệ trừ ca kiểm tra lỗi.</x:v>
      </x:c>
      <x:c r="E24" s="14" t="str">
        <x:v>1. Thiết lập fixture và trạng thái theo Preconditions.
2. Gửi đồng thời hai POST /trips/T1/rating với Test Data.
3. Đối chiếu phản hồi và dữ liệu lưu trữ theo Expected Result.</x:v>
      </x:c>
      <x:c r="F24" s="14" t="str">
        <x:v>Body score hợp lệ; K1/K2 khác nhau.</x:v>
      </x:c>
      <x:c r="G24" s="14" t="str">
        <x:v>Một 201, một 409 RATING_ALREADY_EXISTS; đúng một Rating.</x:v>
      </x:c>
      <x:c r="H24" s="14" t="str">
        <x:v>High</x:v>
      </x:c>
      <x:c r="I24" s="14" t="str">
        <x:v>FR16; AC07</x:v>
      </x:c>
      <x:c r="J24" s="14" t="str">
        <x:v>Gửi đồng thời hai POST /trips/T1/rating</x:v>
      </x:c>
      <x:c r="K24" s="14" t="str">
        <x:v>Integration</x:v>
      </x:c>
      <x:c r="L24" s="14" t="str">
        <x:v>DEFINED</x:v>
      </x:c>
      <x:c r="M24" s="33"/>
      <x:c r="N24" s="33" t="str">
        <x:v>NOT_RUN</x:v>
      </x:c>
      <x:c r="O24" s="14" t="str">
        <x:v>Bổ sung theo thiết kế đã duyệt; chưa chạy kiểm thử. Tham chiếu: 08-rating-api.yaml. Đối chiếu bản API 1.2 trong cuộc trao đổi; không xác nhận trạng thái commit GitHub.</x:v>
      </x:c>
      <x:c r="P24" s="14" t="str">
        <x:v>R20</x:v>
      </x:c>
      <x:c r="Q24"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25" ht="104" customHeight="1">
      <x:c r="A25" s="14" t="str">
        <x:v>TC-RATING-024</x:v>
      </x:c>
      <x:c r="B25" s="14" t="str">
        <x:v>Đánh giá tài xế</x:v>
      </x:c>
      <x:c r="C25" s="14" t="str">
        <x:v>Payment UNKNOWN không cản trở đánh giá</x:v>
      </x:c>
      <x:c r="D25" s="14" t="str">
        <x:v>T1 COMPLETED, P1 UNKNOWN; C1 sở hữu; chưa Rating. Rating Service dùng cab_rating; CAB Core xác minh user và Trip qua HTTP nội bộ khi cần; service token hợp lệ trừ ca kiểm tra lỗi.</x:v>
      </x:c>
      <x:c r="E25" s="14" t="str">
        <x:v>1. Thiết lập fixture và trạng thái theo Preconditions.
2. POST /trips/T1/rating với Test Data.
3. Đối chiếu phản hồi và dữ liệu lưu trữ theo Expected Result.</x:v>
      </x:c>
      <x:c r="F25" s="14" t="str">
        <x:v>{"score":5}; khóa mới.</x:v>
      </x:c>
      <x:c r="G25" s="14" t="str">
        <x:v>201; Rating hợp lệ; P1 vẫn UNKNOWN, không xác nhận hoặc thử lại thanh toán.</x:v>
      </x:c>
      <x:c r="H25" s="14" t="str">
        <x:v>High</x:v>
      </x:c>
      <x:c r="I25" s="14" t="str">
        <x:v>FR16; AC07</x:v>
      </x:c>
      <x:c r="J25" s="14" t="str">
        <x:v>POST /trips/T1/rating</x:v>
      </x:c>
      <x:c r="K25" s="14" t="str">
        <x:v>Integration</x:v>
      </x:c>
      <x:c r="L25" s="14" t="str">
        <x:v>DEFINED</x:v>
      </x:c>
      <x:c r="M25" s="33"/>
      <x:c r="N25" s="33" t="str">
        <x:v>NOT_RUN</x:v>
      </x:c>
      <x:c r="O25" s="14" t="str">
        <x:v>Bổ sung theo thiết kế đã duyệt; chưa chạy kiểm thử. Tham chiếu: 08-rating-api.yaml. Đối chiếu bản API 1.2 trong cuộc trao đổi; không xác nhận trạng thái commit GitHub.</x:v>
      </x:c>
      <x:c r="P25" s="14" t="str">
        <x:v>R20</x:v>
      </x:c>
      <x:c r="Q25" s="14" t="str">
        <x:v>Request/response đã che token; dữ liệu trước/sau hoặc log kiểm tra có correlationId; môi trường, commit và thời gian chạy. Không ghi mật khẩu thật. Trace HTTP Rating → CAB Core và bằng chứng không truy cập trực tiếp cab_core khi kiểm tra luồng tích hợp.</x:v>
      </x:c>
    </x:row>
    <x:row r="26" ht="104" customHeight="1">
      <x:c r="A26" s="14" t="str">
        <x:v>TC-RATING-025</x:v>
      </x:c>
      <x:c r="B26" s="14" t="str">
        <x:v>Rating</x:v>
      </x:c>
      <x:c r="C26" s="14" t="str">
        <x:v>Core không sẵn sàng thì không tạo Rating</x:v>
      </x:c>
      <x:c r="D26" s="14" t="str">
        <x:v>T1 hợp lệ; chưa Rating; chặn HTTP Rating→Core trong môi trường test.</x:v>
      </x:c>
      <x:c r="E26" s="14" t="str">
        <x:v>1. Chuẩn bị fixture độc lập theo Preconditions.
2. POST /trips/T1/rating với Test Data; lưu phản hồi và correlationId.
3. Đối chiếu từng điều kiện Expected Result với dữ liệu sau thao tác.</x:v>
      </x:c>
      <x:c r="F26" s="14" t="str">
        <x:v>score=5; key K1; user JWT hợp lệ</x:v>
      </x:c>
      <x:c r="G26" s="14" t="str">
        <x:v>503; không Rating/idempotency success; phục hồi Core rồi retry K1 tạo một Rating.</x:v>
      </x:c>
      <x:c r="H26" s="14" t="str">
        <x:v>High</x:v>
      </x:c>
      <x:c r="I26" s="14" t="str">
        <x:v>API 1.2; rubric liên kết</x:v>
      </x:c>
      <x:c r="J26" s="14" t="str">
        <x:v>POST /trips/T1/rating</x:v>
      </x:c>
      <x:c r="K26" s="14" t="str">
        <x:v>Integration</x:v>
      </x:c>
      <x:c r="L26" s="14" t="str">
        <x:v>DEFINED</x:v>
      </x:c>
      <x:c r="M26" s="33"/>
      <x:c r="N26" s="33" t="str">
        <x:v>NOT_RUN</x:v>
      </x:c>
      <x:c r="O26" s="14" t="str">
        <x:v>Chưa chạy. Fixture giả trong môi trường kiểm thử cô lập.</x:v>
      </x:c>
      <x:c r="P26" s="14" t="str">
        <x:v>R04; R20</x:v>
      </x:c>
      <x:c r="Q26" s="14" t="str">
        <x:v>Request/response đã che token; dữ liệu trước/sau hoặc log kiểm tra có correlationId; môi trường, commit và thời gian chạy. Không ghi mật khẩu thật.</x:v>
      </x:c>
    </x:row>
    <x:row r="27" ht="104" customHeight="1">
      <x:c r="A27" s="14" t="str">
        <x:v>TC-RATING-026</x:v>
      </x:c>
      <x:c r="B27" s="14" t="str">
        <x:v>Rating</x:v>
      </x:c>
      <x:c r="C27" s="14" t="str">
        <x:v>Service token sai không bị báo thành user hết hạn</x:v>
      </x:c>
      <x:c r="D27" s="14" t="str">
        <x:v>User JWT C1 hợp lệ; service JWT của Rating sai audience.</x:v>
      </x:c>
      <x:c r="E27" s="14" t="str">
        <x:v>1. Chuẩn bị fixture độc lập theo Preconditions.
2. POST /trips/T1/rating với Test Data; lưu phản hồi và correlationId.
3. Đối chiếu từng điều kiện Expected Result với dữ liệu sau thao tác.</x:v>
      </x:c>
      <x:c r="F27" s="14" t="str">
        <x:v>score=5, K1; service credential cố ý cấu hình sai</x:v>
      </x:c>
      <x:c r="G27" s="14" t="str">
        <x:v>API công khai 503, không 401 cho user; không Rating; trace lỗi UNAUTHENTICATED_SERVICE đã che token.</x:v>
      </x:c>
      <x:c r="H27" s="14" t="str">
        <x:v>High</x:v>
      </x:c>
      <x:c r="I27" s="14" t="str">
        <x:v>API 1.2; rubric liên kết</x:v>
      </x:c>
      <x:c r="J27" s="14" t="str">
        <x:v>POST /trips/T1/rating</x:v>
      </x:c>
      <x:c r="K27" s="14" t="str">
        <x:v>Integration</x:v>
      </x:c>
      <x:c r="L27" s="14" t="str">
        <x:v>DEFINED</x:v>
      </x:c>
      <x:c r="M27" s="33"/>
      <x:c r="N27" s="33" t="str">
        <x:v>NOT_RUN</x:v>
      </x:c>
      <x:c r="O27" s="14" t="str">
        <x:v>Chưa chạy. Fixture giả trong môi trường kiểm thử cô lập.</x:v>
      </x:c>
      <x:c r="P27" s="14" t="str">
        <x:v>R04; R20</x:v>
      </x:c>
      <x:c r="Q27" s="14" t="str">
        <x:v>Request/response đã che token; dữ liệu trước/sau hoặc log kiểm tra có correlationId; môi trường, commit và thời gian chạy. Không ghi mật khẩu thật.</x:v>
      </x:c>
    </x:row>
    <x:row r="28" ht="104" customHeight="1">
      <x:c r="A28" s="14" t="str">
        <x:v>TC-RATING-027</x:v>
      </x:c>
      <x:c r="B28" s="14" t="str">
        <x:v>Rating</x:v>
      </x:c>
      <x:c r="C28" s="14" t="str">
        <x:v>Session thu hồi chặn replay Rating</x:v>
      </x:c>
      <x:c r="D28" s="14" t="str">
        <x:v>C1 đã tạo Rating bằng K1 rồi logout.</x:v>
      </x:c>
      <x:c r="E28" s="14" t="str">
        <x:v>1. Chuẩn bị fixture độc lập theo Preconditions.
2. POST /trips/T1/rating với Test Data; lưu phản hồi và correlationId.
3. Đối chiếu từng điều kiện Expected Result với dữ liệu sau thao tác.</x:v>
      </x:c>
      <x:c r="F28" s="14" t="str">
        <x:v>Token cũ, cùng key/body</x:v>
      </x:c>
      <x:c r="G28" s="14" t="str">
        <x:v>401; không trả snapshot từ cache chỉ vì key tồn tại; không ghi thêm dữ liệu.</x:v>
      </x:c>
      <x:c r="H28" s="14" t="str">
        <x:v>High</x:v>
      </x:c>
      <x:c r="I28" s="14" t="str">
        <x:v>API 1.2; rubric liên kết</x:v>
      </x:c>
      <x:c r="J28" s="14" t="str">
        <x:v>POST /trips/T1/rating</x:v>
      </x:c>
      <x:c r="K28" s="14" t="str">
        <x:v>Integration</x:v>
      </x:c>
      <x:c r="L28" s="14" t="str">
        <x:v>DEFINED</x:v>
      </x:c>
      <x:c r="M28" s="33"/>
      <x:c r="N28" s="33" t="str">
        <x:v>NOT_RUN</x:v>
      </x:c>
      <x:c r="O28" s="14" t="str">
        <x:v>Chưa chạy. Fixture giả trong môi trường kiểm thử cô lập.</x:v>
      </x:c>
      <x:c r="P28" s="14" t="str">
        <x:v>R20; R27</x:v>
      </x:c>
      <x:c r="Q28" s="14" t="str">
        <x:v>Request/response đã che token; dữ liệu trước/sau hoặc log kiểm tra có correlationId; môi trường, commit và thời gian chạy. Không ghi mật khẩu thật.</x:v>
      </x:c>
    </x:row>
    <x:row r="29" ht="104" customHeight="1">
      <x:c r="A29" s="14" t="str">
        <x:v>TC-RATING-028</x:v>
      </x:c>
      <x:c r="B29" s="14" t="str">
        <x:v>Rating</x:v>
      </x:c>
      <x:c r="C29" s="14" t="str">
        <x:v>Biên score và comment được validate rõ ràng</x:v>
      </x:c>
      <x:c r="D29" s="14" t="str">
        <x:v>Mỗi lượt Trip COMPLETED mới và chưa Rating.</x:v>
      </x:c>
      <x:c r="E29" s="14" t="str">
        <x:v>1. Chuẩn bị fixture độc lập theo Preconditions.
2. POST /trips/{tripId}/rating với Test Data; lưu phản hồi và correlationId.
3. Đối chiếu từng điều kiện Expected Result với dữ liệu sau thao tác.</x:v>
      </x:c>
      <x:c r="F29" s="14" t="str">
        <x:v>score 1/5 hợp lệ; 0/6/1.5/"5"/true không hợp lệ; comment 1000 và 1001 ký tự</x:v>
      </x:c>
      <x:c r="G29" s="14" t="str">
        <x:v>Score 1/5 tạo 201; các score sai trả 400. Comment 1000 nhận, 1001 trả 400 trước trim. Reset fixture cho từng lượt.</x:v>
      </x:c>
      <x:c r="H29" s="14" t="str">
        <x:v>High</x:v>
      </x:c>
      <x:c r="I29" s="14" t="str">
        <x:v>API 1.2; rubric liên kết</x:v>
      </x:c>
      <x:c r="J29" s="14" t="str">
        <x:v>POST /trips/{tripId}/rating</x:v>
      </x:c>
      <x:c r="K29" s="14" t="str">
        <x:v>Integration</x:v>
      </x:c>
      <x:c r="L29" s="14" t="str">
        <x:v>DEFINED</x:v>
      </x:c>
      <x:c r="M29" s="33"/>
      <x:c r="N29" s="33" t="str">
        <x:v>NOT_RUN</x:v>
      </x:c>
      <x:c r="O29" s="14" t="str">
        <x:v>Chưa chạy. Fixture giả trong môi trường kiểm thử cô lập.</x:v>
      </x:c>
      <x:c r="P29" s="14" t="str">
        <x:v>R20</x:v>
      </x:c>
      <x:c r="Q29" s="14" t="str">
        <x:v>Request/response đã che token; dữ liệu trước/sau hoặc log kiểm tra có correlationId; môi trường, commit và thời gian chạy. Không ghi mật khẩu thật.</x:v>
      </x:c>
    </x:row>
    <x:row r="30" ht="104" customHeight="1">
      <x:c r="A30" s="14" t="str">
        <x:v>TC-RATING-029</x:v>
      </x:c>
      <x:c r="B30" s="14" t="str">
        <x:v>Rating</x:v>
      </x:c>
      <x:c r="C30" s="14" t="str">
        <x:v>Comment rỗng sau trim không lưu trường rỗng</x:v>
      </x:c>
      <x:c r="D30" s="14" t="str">
        <x:v>T1 COMPLETED, chưa Rating.</x:v>
      </x:c>
      <x:c r="E30" s="14" t="str">
        <x:v>1. Chuẩn bị fixture độc lập theo Preconditions.
2. POST /trips/T1/rating với Test Data; lưu phản hồi và correlationId.
3. Đối chiếu từng điều kiện Expected Result với dữ liệu sau thao tác.</x:v>
      </x:c>
      <x:c r="F30" s="14" t="str">
        <x:v>score=4; comment="   "; key K1</x:v>
      </x:c>
      <x:c r="G30" s="14" t="str">
        <x:v>201; response không có comment; không lưu null hoặc chuỗi rỗng thay nhận xét.</x:v>
      </x:c>
      <x:c r="H30" s="14" t="str">
        <x:v>High</x:v>
      </x:c>
      <x:c r="I30" s="14" t="str">
        <x:v>API 1.2; rubric liên kết</x:v>
      </x:c>
      <x:c r="J30" s="14" t="str">
        <x:v>POST /trips/T1/rating</x:v>
      </x:c>
      <x:c r="K30" s="14" t="str">
        <x:v>Integration</x:v>
      </x:c>
      <x:c r="L30" s="14" t="str">
        <x:v>DEFINED</x:v>
      </x:c>
      <x:c r="M30" s="33"/>
      <x:c r="N30" s="33" t="str">
        <x:v>NOT_RUN</x:v>
      </x:c>
      <x:c r="O30" s="14" t="str">
        <x:v>Chưa chạy. Fixture giả trong môi trường kiểm thử cô lập.</x:v>
      </x:c>
      <x:c r="P30" s="14" t="str">
        <x:v>R20</x:v>
      </x:c>
      <x:c r="Q30" s="14" t="str">
        <x:v>Request/response đã che token; dữ liệu trước/sau hoặc log kiểm tra có correlationId; môi trường, commit và thời gian chạy. Không ghi mật khẩu thật.</x:v>
      </x:c>
    </x:row>
    <x:row r="31" ht="104" customHeight="1">
      <x:c r="A31" s="14" t="str">
        <x:v>TC-RATING-030</x:v>
      </x:c>
      <x:c r="B31" s="14" t="str">
        <x:v>Rating</x:v>
      </x:c>
      <x:c r="C31" s="14" t="str">
        <x:v>Driver và Operator không tạo đánh giá thay khách</x:v>
      </x:c>
      <x:c r="D31" s="14" t="str">
        <x:v>T1 COMPLETED.</x:v>
      </x:c>
      <x:c r="E31" s="14" t="str">
        <x:v>1. Chuẩn bị fixture độc lập theo Preconditions.
2. POST /trips/T1/rating với Test Data; lưu phản hồi và correlationId.
3. Đối chiếu từng điều kiện Expected Result với dữ liệu sau thao tác.</x:v>
      </x:c>
      <x:c r="F31" s="14" t="str">
        <x:v>JWT D1 hoặc O1; body hợp lệ và key mới mỗi lượt</x:v>
      </x:c>
      <x:c r="G31" s="14" t="str">
        <x:v>403; không Rating hoặc idempotency thành công.</x:v>
      </x:c>
      <x:c r="H31" s="14" t="str">
        <x:v>High</x:v>
      </x:c>
      <x:c r="I31" s="14" t="str">
        <x:v>API 1.2; rubric liên kết</x:v>
      </x:c>
      <x:c r="J31" s="14" t="str">
        <x:v>POST /trips/T1/rating</x:v>
      </x:c>
      <x:c r="K31" s="14" t="str">
        <x:v>Integration</x:v>
      </x:c>
      <x:c r="L31" s="14" t="str">
        <x:v>DEFINED</x:v>
      </x:c>
      <x:c r="M31" s="33"/>
      <x:c r="N31" s="33" t="str">
        <x:v>NOT_RUN</x:v>
      </x:c>
      <x:c r="O31" s="14" t="str">
        <x:v>Chưa chạy. Fixture giả trong môi trường kiểm thử cô lập.</x:v>
      </x:c>
      <x:c r="P31" s="14" t="str">
        <x:v>R20; R28</x:v>
      </x:c>
      <x:c r="Q31" s="14" t="str">
        <x:v>Request/response đã che token; dữ liệu trước/sau hoặc log kiểm tra có correlationId; môi trường, commit và thời gian chạy. Không ghi mật khẩu thật.</x:v>
      </x:c>
    </x:row>
    <x:row r="32" ht="104" customHeight="1">
      <x:c r="A32" s="14" t="str">
        <x:v>TC-RATING-031</x:v>
      </x:c>
      <x:c r="B32" s="14" t="str">
        <x:v>Rating</x:v>
      </x:c>
      <x:c r="C32" s="14" t="str">
        <x:v>ERROR đã đóng không được đánh giá</x:v>
      </x:c>
      <x:c r="D32" s="14" t="str">
        <x:v>T1 ERROR có closedAt, không completedAt.</x:v>
      </x:c>
      <x:c r="E32" s="14" t="str">
        <x:v>1. Chuẩn bị fixture độc lập theo Preconditions.
2. POST /trips/T1/rating với Test Data; lưu phản hồi và correlationId.
3. Đối chiếu từng điều kiện Expected Result với dữ liệu sau thao tác.</x:v>
      </x:c>
      <x:c r="F32" s="14" t="str">
        <x:v>C1 sở hữu; score=5; key mới</x:v>
      </x:c>
      <x:c r="G32" s="14" t="str">
        <x:v>409 TRIP_NOT_COMPLETED; không Rating.</x:v>
      </x:c>
      <x:c r="H32" s="14" t="str">
        <x:v>High</x:v>
      </x:c>
      <x:c r="I32" s="14" t="str">
        <x:v>API 1.2; rubric liên kết</x:v>
      </x:c>
      <x:c r="J32" s="14" t="str">
        <x:v>POST /trips/T1/rating</x:v>
      </x:c>
      <x:c r="K32" s="14" t="str">
        <x:v>Integration</x:v>
      </x:c>
      <x:c r="L32" s="14" t="str">
        <x:v>DEFINED</x:v>
      </x:c>
      <x:c r="M32" s="33"/>
      <x:c r="N32" s="33" t="str">
        <x:v>NOT_RUN</x:v>
      </x:c>
      <x:c r="O32" s="14" t="str">
        <x:v>Chưa chạy. Fixture giả trong môi trường kiểm thử cô lập.</x:v>
      </x:c>
      <x:c r="P32" s="14" t="str">
        <x:v>R20</x:v>
      </x:c>
      <x:c r="Q32" s="14" t="str">
        <x:v>Request/response đã che token; dữ liệu trước/sau hoặc log kiểm tra có correlationId; môi trường, commit và thời gian chạy. Không ghi mật khẩu thật.</x:v>
      </x:c>
    </x:row>
    <x:row r="33" ht="119" customHeight="1">
      <x:c r="A33" s="14" t="str">
        <x:v>TC-RATING-032</x:v>
      </x:c>
      <x:c r="B33" s="14" t="str">
        <x:v>Rating</x:v>
      </x:c>
      <x:c r="C33" s="14" t="str">
        <x:v>Context nội bộ xác minh cả user và service</x:v>
      </x:c>
      <x:c r="D33" s="14" t="str">
        <x:v>Rating và Core chạy riêng; fixture T1/C1/D1.</x:v>
      </x:c>
      <x:c r="E33" s="14" t="str">
        <x:v>1. Chuẩn bị fixture độc lập theo Preconditions.
2. GET /internal/trips/T1/rating-context trong mạng nội bộ với Test Data; lưu phản hồi và correlationId.
3. Đối chiếu từng điều kiện Expected Result với dữ liệu sau thao tác.</x:v>
      </x:c>
      <x:c r="F33" s="14" t="str">
        <x:v>Lượt có service và user đúng; lượt thiếu user token; lượt C2 khác chủ</x:v>
      </x:c>
      <x:c r="G33" s="14" t="str">
        <x:v>Lượt đúng 200 chủ thể Trip chính xác; thiếu user 401; C2 trả 404. Service JWT một mình không được đọc mọi Trip.</x:v>
      </x:c>
      <x:c r="H33" s="14" t="str">
        <x:v>High</x:v>
      </x:c>
      <x:c r="I33" s="14" t="str">
        <x:v>API 1.2; rubric liên kết</x:v>
      </x:c>
      <x:c r="J33" s="14" t="str">
        <x:v>GET /internal/trips/T1/rating-context trong mạng nội bộ</x:v>
      </x:c>
      <x:c r="K33" s="14" t="str">
        <x:v>Integration</x:v>
      </x:c>
      <x:c r="L33" s="14" t="str">
        <x:v>DEFINED</x:v>
      </x:c>
      <x:c r="M33" s="33"/>
      <x:c r="N33" s="33" t="str">
        <x:v>NOT_RUN</x:v>
      </x:c>
      <x:c r="O33" s="14" t="str">
        <x:v>Chưa chạy. Fixture giả trong môi trường kiểm thử cô lập.</x:v>
      </x:c>
      <x:c r="P33" s="14" t="str">
        <x:v>R04; R20</x:v>
      </x:c>
      <x:c r="Q33" s="14" t="str">
        <x:v>Request/response đã che token; dữ liệu trước/sau hoặc log kiểm tra có correlationId; môi trường, commit và thời gian chạy. Không ghi mật khẩu thật.</x:v>
      </x:c>
    </x:row>
  </x:sheetData>
  <x:conditionalFormatting sqref="L2:L25">
    <x:cfRule type="containsText" dxfId="24" priority="1" operator="containsText" text="NEEDS_DECISION"/>
  </x:conditionalFormatting>
  <x:conditionalFormatting sqref="N2:N25">
    <x:cfRule type="containsText" dxfId="25" priority="2" operator="containsText" text="FAIL"/>
    <x:cfRule type="containsText" dxfId="26" priority="3" operator="containsText" text="BLOCKED"/>
  </x:conditionalFormatting>
  <x:conditionalFormatting sqref="L2:L33">
    <x:cfRule type="containsText" dxfId="73" priority="4" operator="containsText" text="NEEDS_DECISION"/>
    <x:cfRule type="containsText" dxfId="74" priority="5" operator="containsText" text="OUT_OF_SCOPE"/>
    <x:cfRule type="containsText" dxfId="75" priority="6" operator="containsText" text="SUPERSEDED"/>
  </x:conditionalFormatting>
  <x:conditionalFormatting sqref="N2:N33">
    <x:cfRule type="containsText" dxfId="76" priority="7" operator="containsText" text="FAIL"/>
    <x:cfRule type="containsText" dxfId="77" priority="8" operator="containsText" text="BLOCKED"/>
  </x:conditionalFormatting>
  <x:dataValidations count="3">
    <x:dataValidation type="list" sqref="L2:L33">
      <x:formula1>"DEFINED,NEEDS_DECISION,OUT_OF_SCOPE,SUPERSEDED"</x:formula1>
    </x:dataValidation>
    <x:dataValidation type="list" sqref="N2:N33">
      <x:formula1>"NOT_RUN,PASS,FAIL,BLOCKED"</x:formula1>
    </x:dataValidation>
    <x:dataValidation type="list" sqref="K2:K33">
      <x:formula1>"API,Integration,UI,Performance,Review,Security"</x:formula1>
    </x:dataValidation>
  </x:dataValidations>
  <x:pageMargins left="0.7" right="0.7" top="0.75" bottom="0.75" header="0.3" footer="0.3"/>
  <x:tableParts count="1">
    <x:tablePart xmlns:r="http://schemas.openxmlformats.org/officeDocument/2006/relationships" r:id="R6b435d400cfa45b3"/>
  </x:tableParts>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90" customHeight="1">
      <x:c r="A2" s="11" t="str">
        <x:v>TC-NOTIF-001</x:v>
      </x:c>
      <x:c r="B2" s="11" t="str">
        <x:v>Thông báo</x:v>
      </x:c>
      <x:c r="C2" s="11" t="str">
        <x:v>Hệ thống gửi thông báo khi yêu cầu đặt xe được tiếp nhận</x:v>
      </x:c>
      <x:c r="D2" s="11" t="str">
        <x:v>Fixture nghiệp vụ đủ điều kiện cho POST /bookings. Core, RabbitMQ, Notification và database sẵn sàng; người nhận C1 hợp lệ.</x:v>
      </x:c>
      <x:c r="E2" s="11" t="str">
        <x:v>1. Thực hiện nghiệp vụ tại Core.
2. Theo eventId qua outbox, broker và inbox, chờ trong timeout tích hợp cấu hình.
3. Đăng nhập từng người nhận và đọc hộp thư.
4. Kiểm tra số bản ghi và trạng thái đọc.</x:v>
      </x:c>
      <x:c r="F2" s="11" t="str">
        <x:v>eventType=BOOKING_RECEIVED; referenceType=BOOKING; eventId do nguồn cấp; không gọi POST /notifications làm luồng chính.</x:v>
      </x:c>
      <x:c r="G2" s="11" t="str">
        <x:v>Có đúng một Notification SENT cho mỗi người nhận hợp lệ C1; đúng reference; isRead=false, chưa readAt. Nghiệp vụ Core đã commit. Không công khai dữ liệu người nhận khác.</x:v>
      </x:c>
      <x:c r="H2" s="11" t="str">
        <x:v>High</x:v>
      </x:c>
      <x:c r="I2" s="14" t="str">
        <x:v>FR13; AC13</x:v>
      </x:c>
      <x:c r="J2" s="14" t="str">
        <x:v>POST /bookings → outbox → RabbitMQ → inbox → GET /notifications</x:v>
      </x:c>
      <x:c r="K2" s="14" t="str">
        <x:v>Integration</x:v>
      </x:c>
      <x:c r="L2" s="14" t="str">
        <x:v>DEFINED</x:v>
      </x:c>
      <x:c r="M2" s="33"/>
      <x:c r="N2" s="33" t="str">
        <x:v>NOT_RUN</x:v>
      </x:c>
      <x:c r="O2" s="14" t="str">
        <x:v>Hợp đồng tham chiếu: 06-notification-api.yaml. Chưa chạy kiểm thử. Đối chiếu bản API 1.2 trong cuộc trao đổi; không xác nhận trạng thái commit GitHub.</x:v>
      </x:c>
      <x:c r="P2" s="14" t="str">
        <x:v>R07; R15</x:v>
      </x:c>
      <x:c r="Q2" s="14" t="str">
        <x:v>Trace cùng eventId qua outbox/broker/inbox; DB Notification mỗi người nhận; GET hộp thư; log không chứa token.</x:v>
      </x:c>
    </x:row>
    <x:row r="3" ht="90" customHeight="1">
      <x:c r="A3" s="11" t="str">
        <x:v>TC-NOTIF-002</x:v>
      </x:c>
      <x:c r="B3" s="11" t="str">
        <x:v>Thông báo</x:v>
      </x:c>
      <x:c r="C3" s="11" t="str">
        <x:v>Hệ thống gửi thông báo khi tài xế nhận chuyến</x:v>
      </x:c>
      <x:c r="D3" s="11" t="str">
        <x:v>Fixture nghiệp vụ đủ điều kiện cho POST /trip-requests/{tripRequestId}/accept. Core, RabbitMQ, Notification và database sẵn sàng; người nhận C1 hợp lệ.</x:v>
      </x:c>
      <x:c r="E3" s="11" t="str">
        <x:v>1. Thực hiện nghiệp vụ tại Core.
2. Theo eventId qua outbox, broker và inbox, chờ trong timeout tích hợp cấu hình.
3. Đăng nhập từng người nhận và đọc hộp thư.
4. Kiểm tra số bản ghi và trạng thái đọc.</x:v>
      </x:c>
      <x:c r="F3" s="11" t="str">
        <x:v>eventType=DRIVER_ASSIGNED; referenceType=TRIP; eventId do nguồn cấp; không gọi POST /notifications làm luồng chính.</x:v>
      </x:c>
      <x:c r="G3" s="11" t="str">
        <x:v>Có đúng một Notification SENT cho mỗi người nhận hợp lệ C1; đúng reference; isRead=false, chưa readAt. Nghiệp vụ Core đã commit. Không công khai dữ liệu người nhận khác.</x:v>
      </x:c>
      <x:c r="H3" s="11" t="str">
        <x:v>High</x:v>
      </x:c>
      <x:c r="I3" s="14" t="str">
        <x:v>FR13; AC13</x:v>
      </x:c>
      <x:c r="J3" s="14" t="str">
        <x:v>POST /trip-requests/{tripRequestId}/accept → outbox → RabbitMQ → inbox → GET /notifications</x:v>
      </x:c>
      <x:c r="K3" s="14" t="str">
        <x:v>Integration</x:v>
      </x:c>
      <x:c r="L3" s="14" t="str">
        <x:v>DEFINED</x:v>
      </x:c>
      <x:c r="M3" s="33"/>
      <x:c r="N3" s="33" t="str">
        <x:v>NOT_RUN</x:v>
      </x:c>
      <x:c r="O3" s="14" t="str">
        <x:v>Hợp đồng tham chiếu: 06-notification-api.yaml. Chưa chạy kiểm thử. Đối chiếu bản API 1.2 trong cuộc trao đổi; không xác nhận trạng thái commit GitHub.</x:v>
      </x:c>
      <x:c r="P3" s="14" t="str">
        <x:v>R07; R16</x:v>
      </x:c>
      <x:c r="Q3" s="14" t="str">
        <x:v>Trace cùng eventId qua outbox/broker/inbox; DB Notification mỗi người nhận; GET hộp thư; log không chứa token.</x:v>
      </x:c>
    </x:row>
    <x:row r="4" ht="90" customHeight="1">
      <x:c r="A4" s="11" t="str">
        <x:v>TC-NOTIF-003</x:v>
      </x:c>
      <x:c r="B4" s="11" t="str">
        <x:v>Thông báo</x:v>
      </x:c>
      <x:c r="C4" s="11" t="str">
        <x:v>Hệ thống gửi thông báo khi tài xế đến điểm đón</x:v>
      </x:c>
      <x:c r="D4" s="11" t="str">
        <x:v>Fixture nghiệp vụ đủ điều kiện cho PATCH /trips/T1/status sang ARRIVED_PICKUP. Core, RabbitMQ, Notification và database sẵn sàng; người nhận C1 hợp lệ.</x:v>
      </x:c>
      <x:c r="E4" s="11" t="str">
        <x:v>1. Thực hiện nghiệp vụ tại Core.
2. Theo eventId qua outbox, broker và inbox, chờ trong timeout tích hợp cấu hình.
3. Đăng nhập từng người nhận và đọc hộp thư.
4. Kiểm tra số bản ghi và trạng thái đọc.</x:v>
      </x:c>
      <x:c r="F4" s="11" t="str">
        <x:v>eventType=DRIVER_ARRIVED; referenceType=TRIP; eventId do nguồn cấp; không gọi POST /notifications làm luồng chính.</x:v>
      </x:c>
      <x:c r="G4" s="11" t="str">
        <x:v>Có đúng một Notification SENT cho mỗi người nhận hợp lệ C1; đúng reference; isRead=false, chưa readAt. Nghiệp vụ Core đã commit. Không công khai dữ liệu người nhận khác.</x:v>
      </x:c>
      <x:c r="H4" s="11" t="str">
        <x:v>High</x:v>
      </x:c>
      <x:c r="I4" s="14" t="str">
        <x:v>FR13; AC13</x:v>
      </x:c>
      <x:c r="J4" s="14" t="str">
        <x:v>PATCH /trips/T1/status sang ARRIVED_PICKUP → outbox → RabbitMQ → inbox → GET /notifications</x:v>
      </x:c>
      <x:c r="K4" s="14" t="str">
        <x:v>Integration</x:v>
      </x:c>
      <x:c r="L4" s="14" t="str">
        <x:v>DEFINED</x:v>
      </x:c>
      <x:c r="M4" s="33"/>
      <x:c r="N4" s="33" t="str">
        <x:v>NOT_RUN</x:v>
      </x:c>
      <x:c r="O4" s="14" t="str">
        <x:v>Hợp đồng tham chiếu: 06-notification-api.yaml. Chưa chạy kiểm thử. Đối chiếu bản API 1.2 trong cuộc trao đổi; không xác nhận trạng thái commit GitHub.</x:v>
      </x:c>
      <x:c r="P4" s="14" t="str">
        <x:v>R07; R17</x:v>
      </x:c>
      <x:c r="Q4" s="14" t="str">
        <x:v>Trace cùng eventId qua outbox/broker/inbox; DB Notification mỗi người nhận; GET hộp thư; log không chứa token.</x:v>
      </x:c>
    </x:row>
    <x:row r="5" ht="90" customHeight="1">
      <x:c r="A5" s="11" t="str">
        <x:v>TC-NOTIF-004</x:v>
      </x:c>
      <x:c r="B5" s="11" t="str">
        <x:v>Thông báo</x:v>
      </x:c>
      <x:c r="C5" s="11" t="str">
        <x:v>Hệ thống gửi thông báo khi chuyến hoàn thành</x:v>
      </x:c>
      <x:c r="D5" s="11" t="str">
        <x:v>Fixture nghiệp vụ đủ điều kiện cho PATCH /trips/T1/status sang COMPLETED. Core, RabbitMQ, Notification và database sẵn sàng; người nhận C1 và D1 hợp lệ.</x:v>
      </x:c>
      <x:c r="E5" s="11" t="str">
        <x:v>1. Thực hiện nghiệp vụ tại Core.
2. Theo eventId qua outbox, broker và inbox, chờ trong timeout tích hợp cấu hình.
3. Đăng nhập từng người nhận và đọc hộp thư.
4. Kiểm tra số bản ghi và trạng thái đọc.</x:v>
      </x:c>
      <x:c r="F5" s="11" t="str">
        <x:v>eventType=TRIP_COMPLETED; referenceType=TRIP; eventId do nguồn cấp; không gọi POST /notifications làm luồng chính.</x:v>
      </x:c>
      <x:c r="G5" s="11" t="str">
        <x:v>Có đúng một Notification SENT cho mỗi người nhận hợp lệ C1 và D1; đúng reference; isRead=false, chưa readAt. Nghiệp vụ Core đã commit. Không khẳng định Fare sẵn sàng hoặc Payment SUCCESS.</x:v>
      </x:c>
      <x:c r="H5" s="11" t="str">
        <x:v>High</x:v>
      </x:c>
      <x:c r="I5" s="14" t="str">
        <x:v>FR13; AC13</x:v>
      </x:c>
      <x:c r="J5" s="14" t="str">
        <x:v>PATCH /trips/T1/status sang COMPLETED → outbox → RabbitMQ → inbox → GET /notifications</x:v>
      </x:c>
      <x:c r="K5" s="14" t="str">
        <x:v>Integration</x:v>
      </x:c>
      <x:c r="L5" s="14" t="str">
        <x:v>DEFINED</x:v>
      </x:c>
      <x:c r="M5" s="33"/>
      <x:c r="N5" s="33" t="str">
        <x:v>NOT_RUN</x:v>
      </x:c>
      <x:c r="O5" s="14" t="str">
        <x:v>Hợp đồng tham chiếu: 06-notification-api.yaml. Chưa chạy kiểm thử. Đối chiếu bản API 1.2 trong cuộc trao đổi; không xác nhận trạng thái commit GitHub.</x:v>
      </x:c>
      <x:c r="P5" s="14" t="str">
        <x:v>R07; R17</x:v>
      </x:c>
      <x:c r="Q5" s="14" t="str">
        <x:v>Trace cùng eventId qua outbox/broker/inbox; DB Notification mỗi người nhận; GET hộp thư; log không chứa token.</x:v>
      </x:c>
    </x:row>
    <x:row r="6" ht="90" customHeight="1">
      <x:c r="A6" s="11" t="str">
        <x:v>TC-NOTIF-005</x:v>
      </x:c>
      <x:c r="B6" s="11" t="str">
        <x:v>Thông báo</x:v>
      </x:c>
      <x:c r="C6" s="11" t="str">
        <x:v>Hệ thống gửi thông báo khi thanh toán có kết quả</x:v>
      </x:c>
      <x:c r="D6" s="11" t="str">
        <x:v>Fixture nghiệp vụ đủ điều kiện cho POST /payments/P1/confirm-cash bởi D1. Core, RabbitMQ, Notification và database sẵn sàng; người nhận C1 và D1 hợp lệ.</x:v>
      </x:c>
      <x:c r="E6" s="11" t="str">
        <x:v>1. Thực hiện nghiệp vụ tại Core.
2. Theo eventId qua outbox, broker và inbox, chờ trong timeout tích hợp cấu hình.
3. Đăng nhập từng người nhận và đọc hộp thư.
4. Kiểm tra số bản ghi và trạng thái đọc.</x:v>
      </x:c>
      <x:c r="F6" s="11" t="str">
        <x:v>eventType=PAYMENT_SUCCESS; referenceType=PAYMENT; eventId do nguồn cấp; không gọi POST /notifications làm luồng chính.</x:v>
      </x:c>
      <x:c r="G6" s="11" t="str">
        <x:v>Có đúng một Notification SENT cho mỗi người nhận hợp lệ C1 và D1; đúng reference; isRead=false, chưa readAt. Nghiệp vụ Core đã commit. Tiền mặt chỉ thông báo sau xác nhận đã thu đủ tiền.</x:v>
      </x:c>
      <x:c r="H6" s="11" t="str">
        <x:v>High</x:v>
      </x:c>
      <x:c r="I6" s="14" t="str">
        <x:v>FR13; AC13</x:v>
      </x:c>
      <x:c r="J6" s="14" t="str">
        <x:v>POST /payments/P1/confirm-cash bởi D1 → outbox → RabbitMQ → inbox → GET /notifications</x:v>
      </x:c>
      <x:c r="K6" s="14" t="str">
        <x:v>Integration</x:v>
      </x:c>
      <x:c r="L6" s="14" t="str">
        <x:v>DEFINED</x:v>
      </x:c>
      <x:c r="M6" s="33"/>
      <x:c r="N6" s="33" t="str">
        <x:v>NOT_RUN</x:v>
      </x:c>
      <x:c r="O6" s="14" t="str">
        <x:v>Hợp đồng tham chiếu: 06-notification-api.yaml. Chưa chạy kiểm thử. Đối chiếu bản API 1.2 trong cuộc trao đổi; không xác nhận trạng thái commit GitHub.</x:v>
      </x:c>
      <x:c r="P6" s="14" t="str">
        <x:v>R07</x:v>
      </x:c>
      <x:c r="Q6" s="14" t="str">
        <x:v>Trace cùng eventId qua outbox/broker/inbox; DB Notification mỗi người nhận; GET hộp thư; log không chứa token.</x:v>
      </x:c>
    </x:row>
    <x:row r="7" ht="90" customHeight="1">
      <x:c r="A7" s="11" t="str">
        <x:v>TC-NOTIF-006</x:v>
      </x:c>
      <x:c r="B7" s="11" t="str">
        <x:v>Thông báo</x:v>
      </x:c>
      <x:c r="C7" s="11" t="str">
        <x:v>Hệ thống gửi thông báo khi không tìm được tài xế phù hợp</x:v>
      </x:c>
      <x:c r="D7" s="11" t="str">
        <x:v>Fixture nghiệp vụ đủ điều kiện cho Chạy điều phối hết ứng viên hợp lệ. Core, RabbitMQ, Notification và database sẵn sàng; người nhận C1 hợp lệ.</x:v>
      </x:c>
      <x:c r="E7" s="11" t="str">
        <x:v>1. Thực hiện nghiệp vụ tại Core.
2. Theo eventId qua outbox, broker và inbox, chờ trong timeout tích hợp cấu hình.
3. Đăng nhập từng người nhận và đọc hộp thư.
4. Kiểm tra số bản ghi và trạng thái đọc.</x:v>
      </x:c>
      <x:c r="F7" s="11" t="str">
        <x:v>eventType=NO_DRIVER_FOUND; referenceType=BOOKING; eventId do nguồn cấp; không gọi POST /notifications làm luồng chính.</x:v>
      </x:c>
      <x:c r="G7" s="11" t="str">
        <x:v>Có đúng một Notification SENT cho mỗi người nhận hợp lệ C1; đúng reference; isRead=false, chưa readAt. Nghiệp vụ Core đã commit. Không công khai dữ liệu người nhận khác.</x:v>
      </x:c>
      <x:c r="H7" s="11" t="str">
        <x:v>High</x:v>
      </x:c>
      <x:c r="I7" s="14" t="str">
        <x:v>FR13; AC13</x:v>
      </x:c>
      <x:c r="J7" s="14" t="str">
        <x:v>Chạy điều phối hết ứng viên hợp lệ → outbox → RabbitMQ → inbox → GET /notifications</x:v>
      </x:c>
      <x:c r="K7" s="14" t="str">
        <x:v>Integration</x:v>
      </x:c>
      <x:c r="L7" s="14" t="str">
        <x:v>DEFINED</x:v>
      </x:c>
      <x:c r="M7" s="33"/>
      <x:c r="N7" s="33" t="str">
        <x:v>NOT_RUN</x:v>
      </x:c>
      <x:c r="O7" s="14" t="str">
        <x:v>Hợp đồng tham chiếu: 06-notification-api.yaml. Chưa chạy kiểm thử. Đối chiếu bản API 1.2 trong cuộc trao đổi; không xác nhận trạng thái commit GitHub.</x:v>
      </x:c>
      <x:c r="P7" s="14" t="str">
        <x:v>R07; R15</x:v>
      </x:c>
      <x:c r="Q7" s="14" t="str">
        <x:v>Trace cùng eventId qua outbox/broker/inbox; DB Notification mỗi người nhận; GET hộp thư; log không chứa token.</x:v>
      </x:c>
    </x:row>
    <x:row r="8" ht="90" customHeight="1">
      <x:c r="A8" s="11" t="str">
        <x:v>TC-NOTIF-007</x:v>
      </x:c>
      <x:c r="B8" s="11" t="str">
        <x:v>Thông báo</x:v>
      </x:c>
      <x:c r="C8" s="11" t="str">
        <x:v>Hệ thống gửi thông báo cho tài xế khi có yêu cầu chuyến mới</x:v>
      </x:c>
      <x:c r="D8" s="11" t="str">
        <x:v>Fixture nghiệp vụ đủ điều kiện cho Chạy job dispatch và tạo TripRequest. Core, RabbitMQ, Notification và database sẵn sàng; người nhận D1 hợp lệ.</x:v>
      </x:c>
      <x:c r="E8" s="11" t="str">
        <x:v>1. Thực hiện nghiệp vụ tại Core.
2. Theo eventId qua outbox, broker và inbox, chờ trong timeout tích hợp cấu hình.
3. Đăng nhập từng người nhận và đọc hộp thư.
4. Kiểm tra số bản ghi và trạng thái đọc.</x:v>
      </x:c>
      <x:c r="F8" s="11" t="str">
        <x:v>eventType=TRIP_REQUEST_RECEIVED; referenceType=TRIP_REQUEST; eventId do nguồn cấp; không gọi POST /notifications làm luồng chính.</x:v>
      </x:c>
      <x:c r="G8" s="11" t="str">
        <x:v>Có đúng một Notification SENT cho mỗi người nhận hợp lệ D1; đúng reference; isRead=false, chưa readAt. Nghiệp vụ Core đã commit. expiresAt giữ nguyên; không tự accept hoặc gia hạn đề nghị.</x:v>
      </x:c>
      <x:c r="H8" s="11" t="str">
        <x:v>Medium</x:v>
      </x:c>
      <x:c r="I8" s="14" t="str">
        <x:v>FR13; AC13</x:v>
      </x:c>
      <x:c r="J8" s="14" t="str">
        <x:v>Chạy job dispatch và tạo TripRequest → outbox → RabbitMQ → inbox → GET /notifications</x:v>
      </x:c>
      <x:c r="K8" s="14" t="str">
        <x:v>Integration</x:v>
      </x:c>
      <x:c r="L8" s="14" t="str">
        <x:v>DEFINED</x:v>
      </x:c>
      <x:c r="M8" s="33"/>
      <x:c r="N8" s="33" t="str">
        <x:v>NOT_RUN</x:v>
      </x:c>
      <x:c r="O8" s="14" t="str">
        <x:v>Hợp đồng tham chiếu: 06-notification-api.yaml. Chưa chạy kiểm thử. Đối chiếu bản API 1.2 trong cuộc trao đổi; không xác nhận trạng thái commit GitHub.</x:v>
      </x:c>
      <x:c r="P8" s="14" t="str">
        <x:v>R07; R15</x:v>
      </x:c>
      <x:c r="Q8" s="14" t="str">
        <x:v>Trace cùng eventId qua outbox/broker/inbox; DB Notification mỗi người nhận; GET hộp thư; log không chứa token.</x:v>
      </x:c>
    </x:row>
    <x:row r="9" ht="90" customHeight="1">
      <x:c r="A9" s="11" t="str">
        <x:v>TC-NOTIF-008</x:v>
      </x:c>
      <x:c r="B9" s="11" t="str">
        <x:v>Thông báo</x:v>
      </x:c>
      <x:c r="C9" s="11" t="str">
        <x:v>Lấy hộp thư từ tài khoản đăng nhập</x:v>
      </x:c>
      <x:c r="D9" s="11" t="str">
        <x:v>C1 và C2 đều có thông báo SENT.</x:v>
      </x:c>
      <x:c r="E9" s="11" t="str">
        <x:v>1. Chuẩn bị trạng thái và dữ liệu được nêu.
2. GET /notifications.
3. Kiểm tra HTTP, phản hồi và dữ liệu sau thao tác.</x:v>
      </x:c>
      <x:c r="F9" s="11" t="str">
        <x:v>Token C1; không có userId/userType.</x:v>
      </x:c>
      <x:c r="G9" s="11" t="str">
        <x:v>200; chỉ thông báo của Account C1; không trả PENDING/FAILED.</x:v>
      </x:c>
      <x:c r="H9" s="11" t="str">
        <x:v>Medium</x:v>
      </x:c>
      <x:c r="I9" s="14" t="str">
        <x:v>FR13; AC13</x:v>
      </x:c>
      <x:c r="J9" s="14" t="str">
        <x:v>GET /notifications</x:v>
      </x:c>
      <x:c r="K9" s="14" t="str">
        <x:v>Integration</x:v>
      </x:c>
      <x:c r="L9" s="14" t="str">
        <x:v>DEFINED</x:v>
      </x:c>
      <x:c r="M9" s="33"/>
      <x:c r="N9" s="33" t="str">
        <x:v>NOT_RUN</x:v>
      </x:c>
      <x:c r="O9" s="14" t="str">
        <x:v>Hợp đồng tham chiếu: 06-notification-api.yaml. Chưa chạy kiểm thử. Đối chiếu bản API 1.2 trong cuộc trao đổi; không xác nhận trạng thái commit GitHub.</x:v>
      </x:c>
      <x:c r="P9" s="14" t="str">
        <x:v>R07</x:v>
      </x:c>
      <x:c r="Q9" s="14" t="str">
        <x:v>Request/response đã che token; dữ liệu trước/sau hoặc log kiểm tra có correlationId; môi trường, commit và thời gian chạy. Không ghi mật khẩu thật.</x:v>
      </x:c>
    </x:row>
    <x:row r="10" ht="90" customHeight="1">
      <x:c r="A10" s="11" t="str">
        <x:v>TC-NOTIF-009</x:v>
      </x:c>
      <x:c r="B10" s="11" t="str">
        <x:v>Thông báo</x:v>
      </x:c>
      <x:c r="C10" s="11" t="str">
        <x:v>Lấy danh sách thông báo lọc theo trạng thái chưa đọc</x:v>
      </x:c>
      <x:c r="D10" s="11" t="str">
        <x:v>C1 có thông báo SENT đã đọc và chưa đọc.</x:v>
      </x:c>
      <x:c r="E10" s="11" t="str">
        <x:v>1. Chuẩn bị trạng thái và dữ liệu được nêu.
2. GET /notifications?isRead=false.
3. Kiểm tra HTTP, phản hồi và dữ liệu sau thao tác.</x:v>
      </x:c>
      <x:c r="F10" s="11" t="str">
        <x:v>Token C1.</x:v>
      </x:c>
      <x:c r="G10" s="11" t="str">
        <x:v>200; chỉ SENT có isRead=false thuộc C1.</x:v>
      </x:c>
      <x:c r="H10" s="11" t="str">
        <x:v>Medium</x:v>
      </x:c>
      <x:c r="I10" s="14" t="str">
        <x:v>FR13; AC13</x:v>
      </x:c>
      <x:c r="J10" s="14" t="str">
        <x:v>GET /notifications?isRead=false</x:v>
      </x:c>
      <x:c r="K10" s="14" t="str">
        <x:v>Integration</x:v>
      </x:c>
      <x:c r="L10" s="14" t="str">
        <x:v>DEFINED</x:v>
      </x:c>
      <x:c r="M10" s="33"/>
      <x:c r="N10" s="33" t="str">
        <x:v>NOT_RUN</x:v>
      </x:c>
      <x:c r="O10" s="14" t="str">
        <x:v>Hợp đồng tham chiếu: 06-notification-api.yaml. Chưa chạy kiểm thử. Đối chiếu bản API 1.2 trong cuộc trao đổi; không xác nhận trạng thái commit GitHub.</x:v>
      </x:c>
      <x:c r="P10" s="14" t="str">
        <x:v>R07</x:v>
      </x:c>
      <x:c r="Q10" s="14" t="str">
        <x:v>Request/response đã che token; dữ liệu trước/sau hoặc log kiểm tra có correlationId; môi trường, commit và thời gian chạy. Không ghi mật khẩu thật.</x:v>
      </x:c>
    </x:row>
    <x:row r="11" ht="90" customHeight="1">
      <x:c r="A11" s="11" t="str">
        <x:v>TC-NOTIF-010</x:v>
      </x:c>
      <x:c r="B11" s="11" t="str">
        <x:v>Thông báo</x:v>
      </x:c>
      <x:c r="C11" s="11" t="str">
        <x:v>Không cần userId/userType để lấy hộp thư</x:v>
      </x:c>
      <x:c r="D11" s="11" t="str">
        <x:v>C1 đăng nhập hợp lệ.</x:v>
      </x:c>
      <x:c r="E11" s="11" t="str">
        <x:v>1. Chuẩn bị trạng thái và dữ liệu được nêu.
2. GET /notifications.
3. Kiểm tra HTTP, phản hồi và dữ liệu sau thao tác.</x:v>
      </x:c>
      <x:c r="F11" s="11" t="str">
        <x:v>Không có query userId hoặc userType.</x:v>
      </x:c>
      <x:c r="G11" s="11" t="str">
        <x:v>200; trả hộp thư C1 hoặc items=[]; không báo thiếu tham số người nhận.</x:v>
      </x:c>
      <x:c r="H11" s="11" t="str">
        <x:v>Medium</x:v>
      </x:c>
      <x:c r="I11" s="14" t="str">
        <x:v>FR13; AC13</x:v>
      </x:c>
      <x:c r="J11" s="14" t="str">
        <x:v>GET /notifications</x:v>
      </x:c>
      <x:c r="K11" s="14" t="str">
        <x:v>Integration</x:v>
      </x:c>
      <x:c r="L11" s="14" t="str">
        <x:v>DEFINED</x:v>
      </x:c>
      <x:c r="M11" s="33"/>
      <x:c r="N11" s="33" t="str">
        <x:v>NOT_RUN</x:v>
      </x:c>
      <x:c r="O11" s="14" t="str">
        <x:v>Hợp đồng tham chiếu: 06-notification-api.yaml. Chưa chạy kiểm thử. Đối chiếu bản API 1.2 trong cuộc trao đổi; không xác nhận trạng thái commit GitHub.</x:v>
      </x:c>
      <x:c r="P11" s="14" t="str">
        <x:v>R07</x:v>
      </x:c>
      <x:c r="Q11" s="14" t="str">
        <x:v>Request/response đã che token; dữ liệu trước/sau hoặc log kiểm tra có correlationId; môi trường, commit và thời gian chạy. Không ghi mật khẩu thật.</x:v>
      </x:c>
    </x:row>
    <x:row r="12" ht="104" customHeight="1">
      <x:c r="A12" s="11" t="str">
        <x:v>TC-NOTIF-011</x:v>
      </x:c>
      <x:c r="B12" s="11" t="str">
        <x:v>Thông báo</x:v>
      </x:c>
      <x:c r="C12" s="11" t="str">
        <x:v>Đánh dấu một thông báo là đã đọc thành công</x:v>
      </x:c>
      <x:c r="D12" s="11" t="str">
        <x:v>N1 SENT thuộc C1; isRead=false.</x:v>
      </x:c>
      <x:c r="E12" s="11" t="str">
        <x:v>1. Chuẩn bị dữ liệu và trạng thái trong Preconditions.
2. Gọi PATCH /notifications/{notificationId}/read với Test Data.
3. Đối chiếu HTTP, nội dung phản hồi và trạng thái lưu trữ với Expected Result.</x:v>
      </x:c>
      <x:c r="F12" s="11" t="str">
        <x:v>Token C1; notificationId=N1; không có body.</x:v>
      </x:c>
      <x:c r="G12" s="11" t="str">
        <x:v>200; isRead=true; readAt do máy chủ đặt lần đầu.</x:v>
      </x:c>
      <x:c r="H12" s="11" t="str">
        <x:v>Medium</x:v>
      </x:c>
      <x:c r="I12" s="14" t="str">
        <x:v>FR13; AC13</x:v>
      </x:c>
      <x:c r="J12" s="14" t="str">
        <x:v>PATCH /notifications/{notificationId}/read</x:v>
      </x:c>
      <x:c r="K12" s="14" t="str">
        <x:v>Integration</x:v>
      </x:c>
      <x:c r="L12" s="14" t="str">
        <x:v>DEFINED</x:v>
      </x:c>
      <x:c r="M12" s="33"/>
      <x:c r="N12" s="33" t="str">
        <x:v>NOT_RUN</x:v>
      </x:c>
      <x:c r="O12" s="14" t="str">
        <x:v>Hợp đồng tham chiếu: 06-notification-api.yaml. Chưa chạy kiểm thử. Đối chiếu bản API 1.2 trong cuộc trao đổi; không xác nhận trạng thái commit GitHub.</x:v>
      </x:c>
      <x:c r="P12" s="14" t="str">
        <x:v>R07</x:v>
      </x:c>
      <x:c r="Q12" s="14" t="str">
        <x:v>Request/response đã che token; dữ liệu trước/sau hoặc log kiểm tra có correlationId; môi trường, commit và thời gian chạy. Không ghi mật khẩu thật.</x:v>
      </x:c>
    </x:row>
    <x:row r="13" ht="104" customHeight="1">
      <x:c r="A13" s="11" t="str">
        <x:v>TC-NOTIF-012</x:v>
      </x:c>
      <x:c r="B13" s="11" t="str">
        <x:v>Thông báo</x:v>
      </x:c>
      <x:c r="C13" s="11" t="str">
        <x:v>Đánh dấu đã đọc với notificationId không tồn tại</x:v>
      </x:c>
      <x:c r="D13" s="11" t="str">
        <x:v>Người dùng đã đăng nhập</x:v>
      </x:c>
      <x:c r="E13" s="11" t="str">
        <x:v>1. Chuẩn bị dữ liệu và trạng thái trong Preconditions.
2. Gọi PATCH /notifications/{notificationId}/read với Test Data.
3. Đối chiếu HTTP, nội dung phản hồi và trạng thái lưu trữ với Expected Result.</x:v>
      </x:c>
      <x:c r="F13" s="11" t="str">
        <x:v>notificationId: NTF9999</x:v>
      </x:c>
      <x:c r="G13" s="11" t="str">
        <x:v>API trả lỗi 404 Not Found</x:v>
      </x:c>
      <x:c r="H13" s="11" t="str">
        <x:v>Medium</x:v>
      </x:c>
      <x:c r="I13" s="14" t="str">
        <x:v>FR13; AC13</x:v>
      </x:c>
      <x:c r="J13" s="14" t="str">
        <x:v>PATCH /notifications/{notificationId}/read</x:v>
      </x:c>
      <x:c r="K13" s="14" t="str">
        <x:v>Integration</x:v>
      </x:c>
      <x:c r="L13" s="14" t="str">
        <x:v>DEFINED</x:v>
      </x:c>
      <x:c r="M13" s="33"/>
      <x:c r="N13" s="33" t="str">
        <x:v>NOT_RUN</x:v>
      </x:c>
      <x:c r="O13" s="14" t="str">
        <x:v>Hợp đồng tham chiếu: 06-notification-api.yaml. Chưa chạy kiểm thử. Đối chiếu bản API 1.2 trong cuộc trao đổi; không xác nhận trạng thái commit GitHub.</x:v>
      </x:c>
      <x:c r="P13" s="14" t="str">
        <x:v>R07</x:v>
      </x:c>
      <x:c r="Q13" s="14" t="str">
        <x:v>Request/response đã che token; dữ liệu trước/sau hoặc log kiểm tra có correlationId; môi trường, commit và thời gian chạy. Không ghi mật khẩu thật.</x:v>
      </x:c>
    </x:row>
    <x:row r="14" ht="104" customHeight="1">
      <x:c r="A14" s="11" t="str">
        <x:v>TC-NOTIF-013</x:v>
      </x:c>
      <x:c r="B14" s="11" t="str">
        <x:v>Thông báo</x:v>
      </x:c>
      <x:c r="C14" s="11" t="str">
        <x:v>Đánh dấu đã đọc một thông báo đã được đánh dấu trước đó</x:v>
      </x:c>
      <x:c r="D14" s="11" t="str">
        <x:v>N1 SENT thuộc C1; đã đọc tại t1.</x:v>
      </x:c>
      <x:c r="E14" s="11" t="str">
        <x:v>1. Chuẩn bị dữ liệu và trạng thái trong Preconditions.
2. Gọi PATCH /notifications/{notificationId}/read với Test Data.
3. Đối chiếu HTTP, nội dung phản hồi và trạng thái lưu trữ với Expected Result.</x:v>
      </x:c>
      <x:c r="F14" s="11" t="str">
        <x:v>Gọi PATCH N1/read thêm hai lần, không body.</x:v>
      </x:c>
      <x:c r="G14" s="11" t="str">
        <x:v>Các lần đều 200; readAt vẫn t1; không phát sinh tác dụng nghiệp vụ khác.</x:v>
      </x:c>
      <x:c r="H14" s="11" t="str">
        <x:v>Low</x:v>
      </x:c>
      <x:c r="I14" s="14" t="str">
        <x:v>FR13; AC13</x:v>
      </x:c>
      <x:c r="J14" s="14" t="str">
        <x:v>PATCH /notifications/{notificationId}/read</x:v>
      </x:c>
      <x:c r="K14" s="14" t="str">
        <x:v>Integration</x:v>
      </x:c>
      <x:c r="L14" s="14" t="str">
        <x:v>DEFINED</x:v>
      </x:c>
      <x:c r="M14" s="33"/>
      <x:c r="N14" s="33" t="str">
        <x:v>NOT_RUN</x:v>
      </x:c>
      <x:c r="O14" s="14" t="str">
        <x:v>Hợp đồng tham chiếu: 06-notification-api.yaml. Chưa chạy kiểm thử. Đối chiếu bản API 1.2 trong cuộc trao đổi; không xác nhận trạng thái commit GitHub.</x:v>
      </x:c>
      <x:c r="P14" s="14" t="str">
        <x:v>R07</x:v>
      </x:c>
      <x:c r="Q14" s="14" t="str">
        <x:v>Request/response đã che token; dữ liệu trước/sau hoặc log kiểm tra có correlationId; môi trường, commit và thời gian chạy. Không ghi mật khẩu thật.</x:v>
      </x:c>
    </x:row>
    <x:row r="15" ht="90" customHeight="1">
      <x:c r="A15" s="11" t="str">
        <x:v>TC-NOTIF-014</x:v>
      </x:c>
      <x:c r="B15" s="11" t="str">
        <x:v>Thông báo</x:v>
      </x:c>
      <x:c r="C15" s="11" t="str">
        <x:v>Lấy danh sách thông báo khi chưa đăng nhập</x:v>
      </x:c>
      <x:c r="D15" s="11" t="str">
        <x:v>Không có access token hợp lệ</x:v>
      </x:c>
      <x:c r="E15" s="11" t="str">
        <x:v>1. Chuẩn bị dữ liệu và trạng thái trong Preconditions.
2. Gọi GET /notifications với Test Data.
3. Đối chiếu HTTP, nội dung phản hồi và trạng thái lưu trữ với Expected Result.</x:v>
      </x:c>
      <x:c r="F15" s="11" t="str">
        <x:v>Header Authorization: (không có)</x:v>
      </x:c>
      <x:c r="G15" s="11" t="str">
        <x:v>API trả lỗi 401 Unauthorized</x:v>
      </x:c>
      <x:c r="H15" s="11" t="str">
        <x:v>High</x:v>
      </x:c>
      <x:c r="I15" s="14" t="str">
        <x:v>FR13; AC13</x:v>
      </x:c>
      <x:c r="J15" s="14" t="str">
        <x:v>GET /notifications</x:v>
      </x:c>
      <x:c r="K15" s="14" t="str">
        <x:v>Integration</x:v>
      </x:c>
      <x:c r="L15" s="14" t="str">
        <x:v>DEFINED</x:v>
      </x:c>
      <x:c r="M15" s="33"/>
      <x:c r="N15" s="33" t="str">
        <x:v>NOT_RUN</x:v>
      </x:c>
      <x:c r="O15" s="14" t="str">
        <x:v>Hợp đồng tham chiếu: 06-notification-api.yaml. Chưa chạy kiểm thử. Đối chiếu bản API 1.2 trong cuộc trao đổi; không xác nhận trạng thái commit GitHub.</x:v>
      </x:c>
      <x:c r="P15" s="14" t="str">
        <x:v>R07</x:v>
      </x:c>
      <x:c r="Q15" s="14" t="str">
        <x:v>Request/response đã che token; dữ liệu trước/sau hoặc log kiểm tra có correlationId; môi trường, commit và thời gian chạy. Không ghi mật khẩu thật.</x:v>
      </x:c>
    </x:row>
    <x:row r="16" ht="90" customHeight="1">
      <x:c r="A16" s="11" t="str">
        <x:v>TC-NOTIF-015</x:v>
      </x:c>
      <x:c r="B16" s="11" t="str">
        <x:v>Thông báo</x:v>
      </x:c>
      <x:c r="C16" s="11" t="str">
        <x:v>Ngăn đọc hoặc đánh dấu hộp thư người khác</x:v>
      </x:c>
      <x:c r="D16" s="11" t="str">
        <x:v>C1 có N1; C2 đang đăng nhập.</x:v>
      </x:c>
      <x:c r="E16" s="11" t="str">
        <x:v>1. Chuẩn bị trạng thái và dữ liệu được nêu.
2. GET /notifications; PATCH /notifications/N1/read.
3. Kiểm tra HTTP, phản hồi và dữ liệu sau thao tác.</x:v>
      </x:c>
      <x:c r="F16" s="11" t="str">
        <x:v>Token C2.</x:v>
      </x:c>
      <x:c r="G16" s="11" t="str">
        <x:v>GET chỉ có dữ liệu C2; PATCH N1 trả 404; N1 không đổi.</x:v>
      </x:c>
      <x:c r="H16" s="11" t="str">
        <x:v>High</x:v>
      </x:c>
      <x:c r="I16" s="14" t="str">
        <x:v>FR13; AC13</x:v>
      </x:c>
      <x:c r="J16" s="14" t="str">
        <x:v>GET /notifications; PATCH /notifications/N1/read</x:v>
      </x:c>
      <x:c r="K16" s="14" t="str">
        <x:v>Integration</x:v>
      </x:c>
      <x:c r="L16" s="14" t="str">
        <x:v>DEFINED</x:v>
      </x:c>
      <x:c r="M16" s="33"/>
      <x:c r="N16" s="33" t="str">
        <x:v>NOT_RUN</x:v>
      </x:c>
      <x:c r="O16" s="14" t="str">
        <x:v>Hợp đồng tham chiếu: 06-notification-api.yaml. Chưa chạy kiểm thử. Đối chiếu bản API 1.2 trong cuộc trao đổi; không xác nhận trạng thái commit GitHub.</x:v>
      </x:c>
      <x:c r="P16" s="14" t="str">
        <x:v>R07</x:v>
      </x:c>
      <x:c r="Q16" s="14" t="str">
        <x:v>Request/response đã che token; dữ liệu trước/sau hoặc log kiểm tra có correlationId; môi trường, commit và thời gian chạy. Không ghi mật khẩu thật.</x:v>
      </x:c>
    </x:row>
    <x:row r="17" ht="104" customHeight="1">
      <x:c r="A17" s="11" t="str">
        <x:v>TC-NOTIF-016</x:v>
      </x:c>
      <x:c r="B17" s="11" t="str">
        <x:v>Thông báo</x:v>
      </x:c>
      <x:c r="C17" s="11" t="str">
        <x:v>Thông báo chứa đúng referenceId liên kết đến đối tượng liên quan</x:v>
      </x:c>
      <x:c r="D17" s="11" t="str">
        <x:v>Driver đã nhận chuyến, Trip T1 tồn tại.</x:v>
      </x:c>
      <x:c r="E17" s="11" t="str">
        <x:v>1. Chuẩn bị dữ liệu và trạng thái trong Preconditions.
2. Gọi POST /notifications (nội bộ) / GET /notifications với Test Data.
3. Đối chiếu HTTP, nội dung phản hồi và trạng thái lưu trữ với Expected Result.</x:v>
      </x:c>
      <x:c r="F17" s="11" t="str">
        <x:v>DRIVER_ASSIGNED; referenceType=TRIP; referenceId=T1; đúng Account của Customer.</x:v>
      </x:c>
      <x:c r="G17" s="11" t="str">
        <x:v>Thông báo tham chiếu đúng T1; khi mở T1, Trip API vẫn kiểm tra quyền độc lập.</x:v>
      </x:c>
      <x:c r="H17" s="11" t="str">
        <x:v>Medium</x:v>
      </x:c>
      <x:c r="I17" s="14" t="str">
        <x:v>FR13; AC13</x:v>
      </x:c>
      <x:c r="J17" s="14" t="str">
        <x:v>POST /notifications (nội bộ) / GET /notifications</x:v>
      </x:c>
      <x:c r="K17" s="14" t="str">
        <x:v>Integration</x:v>
      </x:c>
      <x:c r="L17" s="14" t="str">
        <x:v>DEFINED</x:v>
      </x:c>
      <x:c r="M17" s="33"/>
      <x:c r="N17" s="33" t="str">
        <x:v>NOT_RUN</x:v>
      </x:c>
      <x:c r="O17" s="14" t="str">
        <x:v>Hợp đồng tham chiếu: 06-notification-api.yaml. Chưa chạy kiểm thử. Đối chiếu bản API 1.2 trong cuộc trao đổi; không xác nhận trạng thái commit GitHub.</x:v>
      </x:c>
      <x:c r="P17" s="14" t="str">
        <x:v>R07</x:v>
      </x:c>
      <x:c r="Q17" s="14" t="str">
        <x:v>Request/response đã che token; dữ liệu trước/sau hoặc log kiểm tra có correlationId; môi trường, commit và thời gian chạy. Không ghi mật khẩu thật.</x:v>
      </x:c>
    </x:row>
    <x:row r="18" ht="90" customHeight="1">
      <x:c r="A18" s="11" t="str">
        <x:v>TC-NOTIF-017</x:v>
      </x:c>
      <x:c r="B18" s="11" t="str">
        <x:v>Thông báo</x:v>
      </x:c>
      <x:c r="C18" s="11" t="str">
        <x:v>Sắp xếp theo thời điểm công bố</x:v>
      </x:c>
      <x:c r="D18" s="11" t="str">
        <x:v>N1 tạo trước nhưng công bố sau N2; cả hai thuộc C1.</x:v>
      </x:c>
      <x:c r="E18" s="11" t="str">
        <x:v>1. Chuẩn bị trạng thái và dữ liệu được nêu.
2. GET /notifications.
3. Kiểm tra HTTP, phản hồi và dữ liệu sau thao tác.</x:v>
      </x:c>
      <x:c r="F18" s="11" t="str">
        <x:v>N1.publishedAt &gt; N2.publishedAt.</x:v>
      </x:c>
      <x:c r="G18" s="11" t="str">
        <x:v>N1 trước N2; nếu publishedAt bằng nhau thì notificationId giảm dần.</x:v>
      </x:c>
      <x:c r="H18" s="11" t="str">
        <x:v>Low</x:v>
      </x:c>
      <x:c r="I18" s="14" t="str">
        <x:v>FR13; AC13</x:v>
      </x:c>
      <x:c r="J18" s="14" t="str">
        <x:v>GET /notifications</x:v>
      </x:c>
      <x:c r="K18" s="14" t="str">
        <x:v>Integration</x:v>
      </x:c>
      <x:c r="L18" s="14" t="str">
        <x:v>DEFINED</x:v>
      </x:c>
      <x:c r="M18" s="33"/>
      <x:c r="N18" s="33" t="str">
        <x:v>NOT_RUN</x:v>
      </x:c>
      <x:c r="O18" s="14" t="str">
        <x:v>Hợp đồng tham chiếu: 06-notification-api.yaml. Chưa chạy kiểm thử. Đối chiếu bản API 1.2 trong cuộc trao đổi; không xác nhận trạng thái commit GitHub.</x:v>
      </x:c>
      <x:c r="P18" s="14" t="str">
        <x:v>R07</x:v>
      </x:c>
      <x:c r="Q18" s="14" t="str">
        <x:v>Request/response đã che token; dữ liệu trước/sau hoặc log kiểm tra có correlationId; môi trường, commit và thời gian chạy. Không ghi mật khẩu thật.</x:v>
      </x:c>
    </x:row>
    <x:row r="19" ht="90" customHeight="1">
      <x:c r="A19" s="11" t="str">
        <x:v>TC-NOTIF-018</x:v>
      </x:c>
      <x:c r="B19" s="11" t="str">
        <x:v>Thông báo</x:v>
      </x:c>
      <x:c r="C19" s="11" t="str">
        <x:v>Gửi thông báo với eventType không hợp lệ</x:v>
      </x:c>
      <x:c r="D19" s="11" t="str">
        <x:v>Service token hợp lệ, sự kiện nguồn hợp lệ. Inbox đã có sự kiện gốc được xác minh qua RabbitMQ và tập người nhận chuẩn. Gọi HTTP trực tiếp trong mạng nội bộ bằng danh tính dịch vụ khi hợp lệ.</x:v>
      </x:c>
      <x:c r="E19" s="11" t="str">
        <x:v>1. Chuẩn bị trạng thái và dữ liệu được nêu.
2. POST /notifications (nội bộ).
3. Kiểm tra HTTP, phản hồi và dữ liệu sau thao tác.</x:v>
      </x:c>
      <x:c r="F19" s="11" t="str">
        <x:v>Đủ eventId,recipientAccountId,referenceType,referenceId,channel; eventType=UNKNOWN_EVENT.</x:v>
      </x:c>
      <x:c r="G19" s="11" t="str">
        <x:v>400; không tạo thông báo.</x:v>
      </x:c>
      <x:c r="H19" s="11" t="str">
        <x:v>Medium</x:v>
      </x:c>
      <x:c r="I19" s="14" t="str">
        <x:v>FR13; AC13</x:v>
      </x:c>
      <x:c r="J19" s="14" t="str">
        <x:v>POST /notifications (nội bộ)</x:v>
      </x:c>
      <x:c r="K19" s="14" t="str">
        <x:v>Integration</x:v>
      </x:c>
      <x:c r="L19" s="14" t="str">
        <x:v>DEFINED</x:v>
      </x:c>
      <x:c r="M19" s="33"/>
      <x:c r="N19" s="33" t="str">
        <x:v>NOT_RUN</x:v>
      </x:c>
      <x:c r="O19" s="14" t="str">
        <x:v>Hợp đồng tham chiếu: 06-notification-api.yaml. Chưa chạy kiểm thử. Đối chiếu bản API 1.2 trong cuộc trao đổi; không xác nhận trạng thái commit GitHub.</x:v>
      </x:c>
      <x:c r="P19" s="14" t="str">
        <x:v>R07</x:v>
      </x:c>
      <x:c r="Q19" s="14" t="str">
        <x:v>Request/response đã che token; dữ liệu trước/sau hoặc log kiểm tra có correlationId; môi trường, commit và thời gian chạy. Không ghi mật khẩu thật.</x:v>
      </x:c>
    </x:row>
    <x:row r="20" ht="104" customHeight="1">
      <x:c r="A20" s="11" t="str">
        <x:v>TC-NOTIF-019</x:v>
      </x:c>
      <x:c r="B20" s="11" t="str">
        <x:v>Thông báo</x:v>
      </x:c>
      <x:c r="C20" s="11" t="str">
        <x:v>Nội dung message do máy chủ tạo</x:v>
      </x:c>
      <x:c r="D20" s="11" t="str">
        <x:v>Service hợp lệ; sự kiện BOOKING_RECEIVED của C1 tồn tại. Inbox đã có sự kiện gốc được xác minh qua RabbitMQ và tập người nhận chuẩn. Gọi HTTP trực tiếp trong mạng nội bộ bằng danh tính dịch vụ khi hợp lệ.</x:v>
      </x:c>
      <x:c r="E20" s="11" t="str">
        <x:v>1. Chuẩn bị trạng thái và dữ liệu được nêu.
2. POST /notifications (nội bộ).
3. Kiểm tra HTTP, phản hồi và dữ liệu sau thao tác.</x:v>
      </x:c>
      <x:c r="F20" s="11" t="str">
        <x:v>Body hợp lệ không có message; thử một event khác với trường message tự thêm.</x:v>
      </x:c>
      <x:c r="G20" s="11" t="str">
        <x:v>Body chuẩn nhận 202; máy chủ dựng nội dung. Body thêm message bị 400; không tạo thông báo giả.</x:v>
      </x:c>
      <x:c r="H20" s="11" t="str">
        <x:v>Medium</x:v>
      </x:c>
      <x:c r="I20" s="14" t="str">
        <x:v>FR13; AC13</x:v>
      </x:c>
      <x:c r="J20" s="14" t="str">
        <x:v>POST /notifications (nội bộ)</x:v>
      </x:c>
      <x:c r="K20" s="14" t="str">
        <x:v>Integration</x:v>
      </x:c>
      <x:c r="L20" s="14" t="str">
        <x:v>DEFINED</x:v>
      </x:c>
      <x:c r="M20" s="33"/>
      <x:c r="N20" s="33" t="str">
        <x:v>NOT_RUN</x:v>
      </x:c>
      <x:c r="O20" s="14" t="str">
        <x:v>Hợp đồng tham chiếu: 06-notification-api.yaml. Chưa chạy kiểm thử. Đối chiếu bản API 1.2 trong cuộc trao đổi; không xác nhận trạng thái commit GitHub.</x:v>
      </x:c>
      <x:c r="P20" s="14" t="str">
        <x:v>R07</x:v>
      </x:c>
      <x:c r="Q20" s="14" t="str">
        <x:v>Request/response đã che token; dữ liệu trước/sau hoặc log kiểm tra có correlationId; môi trường, commit và thời gian chạy. Không ghi mật khẩu thật.</x:v>
      </x:c>
    </x:row>
    <x:row r="21" ht="90" customHeight="1">
      <x:c r="A21" s="11" t="str">
        <x:v>TC-NOTIF-020</x:v>
      </x:c>
      <x:c r="B21" s="11" t="str">
        <x:v>Thông báo</x:v>
      </x:c>
      <x:c r="C21" s="11" t="str">
        <x:v>Nhiều sự kiện liên tiếp trong một chuyến tạo ra thông báo riêng biệt, không trùng lặp</x:v>
      </x:c>
      <x:c r="D21" s="11" t="str">
        <x:v>Trip đi qua nhiều chuyển trạng thái có sự kiện nguồn khác nhau.</x:v>
      </x:c>
      <x:c r="E21" s="11" t="str">
        <x:v>1. Chuẩn bị trạng thái và dữ liệu được nêu.
2. Phát các sự kiện; GET /notifications.
3. Kiểm tra HTTP, phản hồi và dữ liệu sau thao tác.</x:v>
      </x:c>
      <x:c r="F21" s="11" t="str">
        <x:v>Mỗi chuyển trạng thái có eventId ổn định riêng; đúng người nhận và IN_APP.</x:v>
      </x:c>
      <x:c r="G21" s="11" t="str">
        <x:v>Mỗi khóa eventId+recipientAccountId+channel có đúng một bản ghi; sự kiện khác nhau vẫn có thông báo riêng.</x:v>
      </x:c>
      <x:c r="H21" s="11" t="str">
        <x:v>Medium</x:v>
      </x:c>
      <x:c r="I21" s="14" t="str">
        <x:v>FR13; AC13</x:v>
      </x:c>
      <x:c r="J21" s="14" t="str">
        <x:v>Phát các sự kiện; GET /notifications</x:v>
      </x:c>
      <x:c r="K21" s="14" t="str">
        <x:v>Integration</x:v>
      </x:c>
      <x:c r="L21" s="14" t="str">
        <x:v>DEFINED</x:v>
      </x:c>
      <x:c r="M21" s="33"/>
      <x:c r="N21" s="33" t="str">
        <x:v>NOT_RUN</x:v>
      </x:c>
      <x:c r="O21" s="14" t="str">
        <x:v>Hợp đồng tham chiếu: 06-notification-api.yaml. Chưa chạy kiểm thử. Đối chiếu bản API 1.2 trong cuộc trao đổi; không xác nhận trạng thái commit GitHub.</x:v>
      </x:c>
      <x:c r="P21" s="14" t="str">
        <x:v>R07</x:v>
      </x:c>
      <x:c r="Q21" s="14" t="str">
        <x:v>Request/response đã che token; dữ liệu trước/sau hoặc log kiểm tra có correlationId; môi trường, commit và thời gian chạy. Không ghi mật khẩu thật.</x:v>
      </x:c>
    </x:row>
    <x:row r="22" ht="90" customHeight="1">
      <x:c r="A22" s="14" t="str">
        <x:v>TC-NOTIF-021</x:v>
      </x:c>
      <x:c r="B22" s="14" t="str">
        <x:v>Thông báo</x:v>
      </x:c>
      <x:c r="C22" s="14" t="str">
        <x:v>User token không tạo được thông báo</x:v>
      </x:c>
      <x:c r="D22" s="14" t="str">
        <x:v>C1 có token người dùng hợp lệ. Inbox đã có sự kiện gốc được xác minh qua RabbitMQ và tập người nhận chuẩn. Gọi HTTP trực tiếp trong mạng nội bộ bằng danh tính dịch vụ khi hợp lệ.</x:v>
      </x:c>
      <x:c r="E22" s="14" t="str">
        <x:v>1. Thiết lập fixture và trạng thái theo Preconditions.
2. POST /notifications với Test Data.
3. Đối chiếu phản hồi và dữ liệu lưu trữ theo Expected Result.</x:v>
      </x:c>
      <x:c r="F22" s="14" t="str">
        <x:v>Body sự kiện hợp lệ nhưng Authorization là token C1.</x:v>
      </x:c>
      <x:c r="G22" s="14" t="str">
        <x:v>Bị từ chối xác thực dịch vụ; không tạo Notification.</x:v>
      </x:c>
      <x:c r="H22" s="14" t="str">
        <x:v>High</x:v>
      </x:c>
      <x:c r="I22" s="14" t="str">
        <x:v>FR13; AC13</x:v>
      </x:c>
      <x:c r="J22" s="14" t="str">
        <x:v>POST /notifications</x:v>
      </x:c>
      <x:c r="K22" s="14" t="str">
        <x:v>Integration</x:v>
      </x:c>
      <x:c r="L22" s="14" t="str">
        <x:v>DEFINED</x:v>
      </x:c>
      <x:c r="M22" s="33"/>
      <x:c r="N22" s="33" t="str">
        <x:v>NOT_RUN</x:v>
      </x:c>
      <x:c r="O22" s="14" t="str">
        <x:v>Bổ sung theo thiết kế đã duyệt; chưa chạy kiểm thử. Tham chiếu: 06-notification-api.yaml. Đối chiếu bản API 1.2 trong cuộc trao đổi; không xác nhận trạng thái commit GitHub.</x:v>
      </x:c>
      <x:c r="P22" s="14" t="str">
        <x:v>R07</x:v>
      </x:c>
      <x:c r="Q22" s="14" t="str">
        <x:v>Request/response đã che token; dữ liệu trước/sau hoặc log kiểm tra có correlationId; môi trường, commit và thời gian chạy. Không ghi mật khẩu thật.</x:v>
      </x:c>
    </x:row>
    <x:row r="23" ht="104" customHeight="1">
      <x:c r="A23" s="14" t="str">
        <x:v>TC-NOTIF-022</x:v>
      </x:c>
      <x:c r="B23" s="14" t="str">
        <x:v>Thông báo</x:v>
      </x:c>
      <x:c r="C23" s="14" t="str">
        <x:v>Dịch vụ không được chọn người nhận tùy ý</x:v>
      </x:c>
      <x:c r="D23" s="14" t="str">
        <x:v>Service token có quyền loại sự kiện; Booking B1 thuộc C1. Inbox đã có sự kiện gốc được xác minh qua RabbitMQ và tập người nhận chuẩn. Gọi HTTP trực tiếp trong mạng nội bộ bằng danh tính dịch vụ khi hợp lệ.</x:v>
      </x:c>
      <x:c r="E23" s="14" t="str">
        <x:v>1. Thiết lập fixture và trạng thái theo Preconditions.
2. POST /notifications với Test Data.
3. Đối chiếu phản hồi và dữ liệu lưu trữ theo Expected Result.</x:v>
      </x:c>
      <x:c r="F23" s="14" t="str">
        <x:v>BOOKING_RECEIVED; referenceId=B1; recipientAccountId=Account C2.</x:v>
      </x:c>
      <x:c r="G23" s="14" t="str">
        <x:v>403 RECIPIENT_NOT_ALLOWED; không tạo thông báo cho C2.</x:v>
      </x:c>
      <x:c r="H23" s="14" t="str">
        <x:v>High</x:v>
      </x:c>
      <x:c r="I23" s="14" t="str">
        <x:v>FR13; AC13</x:v>
      </x:c>
      <x:c r="J23" s="14" t="str">
        <x:v>POST /notifications</x:v>
      </x:c>
      <x:c r="K23" s="14" t="str">
        <x:v>Integration</x:v>
      </x:c>
      <x:c r="L23" s="14" t="str">
        <x:v>DEFINED</x:v>
      </x:c>
      <x:c r="M23" s="33"/>
      <x:c r="N23" s="33" t="str">
        <x:v>NOT_RUN</x:v>
      </x:c>
      <x:c r="O23" s="14" t="str">
        <x:v>Bổ sung theo thiết kế đã duyệt; chưa chạy kiểm thử. Tham chiếu: 06-notification-api.yaml. Đối chiếu bản API 1.2 trong cuộc trao đổi; không xác nhận trạng thái commit GitHub.</x:v>
      </x:c>
      <x:c r="P23" s="14" t="str">
        <x:v>R07</x:v>
      </x:c>
      <x:c r="Q23" s="14" t="str">
        <x:v>Request/response đã che token; dữ liệu trước/sau hoặc log kiểm tra có correlationId; môi trường, commit và thời gian chạy. Không ghi mật khẩu thật.</x:v>
      </x:c>
    </x:row>
    <x:row r="24" ht="104" customHeight="1">
      <x:c r="A24" s="14" t="str">
        <x:v>TC-NOTIF-023</x:v>
      </x:c>
      <x:c r="B24" s="14" t="str">
        <x:v>Thông báo</x:v>
      </x:c>
      <x:c r="C24" s="14" t="str">
        <x:v>Gửi lại cùng sự kiện không đặt lại đã đọc</x:v>
      </x:c>
      <x:c r="D24" s="14" t="str">
        <x:v>N1 cho event E1/C1/IN_APP đã SENT và isRead=true. Inbox đã có sự kiện gốc được xác minh qua RabbitMQ và tập người nhận chuẩn. Gọi HTTP trực tiếp trong mạng nội bộ bằng danh tính dịch vụ khi hợp lệ.</x:v>
      </x:c>
      <x:c r="E24" s="14" t="str">
        <x:v>1. Thiết lập fixture và trạng thái theo Preconditions.
2. POST /notifications cùng payload trước đó với Test Data.
3. Đối chiếu phản hồi và dữ liệu lưu trữ theo Expected Result.</x:v>
      </x:c>
      <x:c r="F24" s="14" t="str">
        <x:v>Cùng eventId,recipientAccountId,channel,eventType,referenceType,referenceId.</x:v>
      </x:c>
      <x:c r="G24" s="14" t="str">
        <x:v>200; cùng notificationId; giữ isRead/readAt/publishedAt; không tạo bản ghi mới.</x:v>
      </x:c>
      <x:c r="H24" s="14" t="str">
        <x:v>High</x:v>
      </x:c>
      <x:c r="I24" s="14" t="str">
        <x:v>FR13; AC13</x:v>
      </x:c>
      <x:c r="J24" s="14" t="str">
        <x:v>POST /notifications cùng payload trước đó</x:v>
      </x:c>
      <x:c r="K24" s="14" t="str">
        <x:v>Integration</x:v>
      </x:c>
      <x:c r="L24" s="14" t="str">
        <x:v>DEFINED</x:v>
      </x:c>
      <x:c r="M24" s="33"/>
      <x:c r="N24" s="33" t="str">
        <x:v>NOT_RUN</x:v>
      </x:c>
      <x:c r="O24" s="14" t="str">
        <x:v>Bổ sung theo thiết kế đã duyệt; chưa chạy kiểm thử. Tham chiếu: 06-notification-api.yaml. Đối chiếu bản API 1.2 trong cuộc trao đổi; không xác nhận trạng thái commit GitHub.</x:v>
      </x:c>
      <x:c r="P24" s="14" t="str">
        <x:v>R07</x:v>
      </x:c>
      <x:c r="Q24" s="14" t="str">
        <x:v>Request/response đã che token; dữ liệu trước/sau hoặc log kiểm tra có correlationId; môi trường, commit và thời gian chạy. Không ghi mật khẩu thật.</x:v>
      </x:c>
    </x:row>
    <x:row r="25" ht="90" customHeight="1">
      <x:c r="A25" s="14" t="str">
        <x:v>TC-NOTIF-024</x:v>
      </x:c>
      <x:c r="B25" s="14" t="str">
        <x:v>Thông báo</x:v>
      </x:c>
      <x:c r="C25" s="14" t="str">
        <x:v>Khóa sự kiện trùng nhưng tham chiếu khác</x:v>
      </x:c>
      <x:c r="D25" s="14" t="str">
        <x:v>N1 đã tồn tại cho E1/C1/IN_APP. Inbox đã có sự kiện gốc được xác minh qua RabbitMQ và tập người nhận chuẩn. Gọi HTTP trực tiếp trong mạng nội bộ bằng danh tính dịch vụ khi hợp lệ.</x:v>
      </x:c>
      <x:c r="E25" s="14" t="str">
        <x:v>1. Thiết lập fixture và trạng thái theo Preconditions.
2. POST /notifications với Test Data.
3. Đối chiếu phản hồi và dữ liệu lưu trữ theo Expected Result.</x:v>
      </x:c>
      <x:c r="F25" s="14" t="str">
        <x:v>Giữ khóa chống trùng nhưng đổi referenceId.</x:v>
      </x:c>
      <x:c r="G25" s="14" t="str">
        <x:v>409 EVENT_PAYLOAD_CONFLICT; N1 không bị ghi đè.</x:v>
      </x:c>
      <x:c r="H25" s="14" t="str">
        <x:v>High</x:v>
      </x:c>
      <x:c r="I25" s="14" t="str">
        <x:v>FR13; AC13</x:v>
      </x:c>
      <x:c r="J25" s="14" t="str">
        <x:v>POST /notifications</x:v>
      </x:c>
      <x:c r="K25" s="14" t="str">
        <x:v>Integration</x:v>
      </x:c>
      <x:c r="L25" s="14" t="str">
        <x:v>DEFINED</x:v>
      </x:c>
      <x:c r="M25" s="33"/>
      <x:c r="N25" s="33" t="str">
        <x:v>NOT_RUN</x:v>
      </x:c>
      <x:c r="O25" s="14" t="str">
        <x:v>Bổ sung theo thiết kế đã duyệt; chưa chạy kiểm thử. Tham chiếu: 06-notification-api.yaml. Đối chiếu bản API 1.2 trong cuộc trao đổi; không xác nhận trạng thái commit GitHub.</x:v>
      </x:c>
      <x:c r="P25" s="14" t="str">
        <x:v>R07</x:v>
      </x:c>
      <x:c r="Q25" s="14" t="str">
        <x:v>Request/response đã che token; dữ liệu trước/sau hoặc log kiểm tra có correlationId; môi trường, commit và thời gian chạy. Không ghi mật khẩu thật.</x:v>
      </x:c>
    </x:row>
    <x:row r="26" ht="90" customHeight="1">
      <x:c r="A26" s="14" t="str">
        <x:v>TC-NOTIF-025</x:v>
      </x:c>
      <x:c r="B26" s="14" t="str">
        <x:v>Thông báo</x:v>
      </x:c>
      <x:c r="C26" s="14" t="str">
        <x:v>Thử lại thông báo không đảo ngược nghiệp vụ</x:v>
      </x:c>
      <x:c r="D26" s="14" t="str">
        <x:v>Booking đã ghi nhận; công bố thông báo lỗi tạm thời, còn số lần thử.</x:v>
      </x:c>
      <x:c r="E26" s="14" t="str">
        <x:v>1. Commit Booking cùng outbox.
2. Cho Notification worker gặp lỗi tạm thời.
3. Khôi phục thành phần lỗi, theo dõi retry cùng eventId/notificationId.
4. Đọc hộp thư và dữ liệu Booking.</x:v>
      </x:c>
      <x:c r="F26" s="14" t="str">
        <x:v>Một eventId ổn định; cùng notificationId qua các lần thử.</x:v>
      </x:c>
      <x:c r="G26" s="14" t="str">
        <x:v>Booking không rollback. Inbox và job bền vững; Notification PENDING trong lúc retry, sau phục hồi SENT đúng một lần mỗi người nhận; không đổi isRead của bản ghi đã đọc.</x:v>
      </x:c>
      <x:c r="H26" s="14" t="str">
        <x:v>High</x:v>
      </x:c>
      <x:c r="I26" s="14" t="str">
        <x:v>FR13; AC13</x:v>
      </x:c>
      <x:c r="J26" s="14" t="str">
        <x:v>Gây lỗi xử lý Notification sau khi Core commit; phục hồi worker và broker</x:v>
      </x:c>
      <x:c r="K26" s="14" t="str">
        <x:v>Integration</x:v>
      </x:c>
      <x:c r="L26" s="14" t="str">
        <x:v>DEFINED</x:v>
      </x:c>
      <x:c r="M26" s="33"/>
      <x:c r="N26" s="33" t="str">
        <x:v>NOT_RUN</x:v>
      </x:c>
      <x:c r="O26" s="14" t="str">
        <x:v>Bổ sung theo thiết kế đã duyệt; chưa chạy kiểm thử. Tham chiếu: 06-notification-api.yaml. Đối chiếu bản API 1.2 trong cuộc trao đổi; không xác nhận trạng thái commit GitHub.</x:v>
      </x:c>
      <x:c r="P26" s="14" t="str">
        <x:v>R07</x:v>
      </x:c>
      <x:c r="Q26" s="14" t="str">
        <x:v>Request/response đã che token; dữ liệu trước/sau hoặc log kiểm tra có correlationId; môi trường, commit và thời gian chạy. Không ghi mật khẩu thật.</x:v>
      </x:c>
    </x:row>
    <x:row r="27" ht="104" customHeight="1">
      <x:c r="A27" s="14" t="str">
        <x:v>TC-NOTIF-026</x:v>
      </x:c>
      <x:c r="B27" s="14" t="str">
        <x:v>Thông báo</x:v>
      </x:c>
      <x:c r="C27" s="14" t="str">
        <x:v>Cùng sự kiện cho hai người nhận hợp lệ</x:v>
      </x:c>
      <x:c r="D27" s="14" t="str">
        <x:v>TRIP_COMPLETED của T1 cho phép thông báo tới C1 và D1. Inbox đã có sự kiện gốc được xác minh qua RabbitMQ và tập người nhận chuẩn. Gọi HTTP trực tiếp trong mạng nội bộ bằng danh tính dịch vụ khi hợp lệ.</x:v>
      </x:c>
      <x:c r="E27" s="14" t="str">
        <x:v>1. Thiết lập fixture và trạng thái theo Preconditions.
2. POST /notifications từng người; GET hộp thư mỗi người với Test Data.
3. Đối chiếu phản hồi và dữ liệu lưu trữ theo Expected Result.</x:v>
      </x:c>
      <x:c r="F27" s="14" t="str">
        <x:v>Cùng eventId, referenceId=T1, channel=IN_APP; hai recipientAccountId hợp lệ.</x:v>
      </x:c>
      <x:c r="G27" s="14" t="str">
        <x:v>Hai notificationId riêng; mỗi hộp thư chỉ thấy bản ghi của mình; người nhận thứ hai không bị coi là trùng.</x:v>
      </x:c>
      <x:c r="H27" s="14" t="str">
        <x:v>High</x:v>
      </x:c>
      <x:c r="I27" s="14" t="str">
        <x:v>FR13; AC13</x:v>
      </x:c>
      <x:c r="J27" s="14" t="str">
        <x:v>POST /notifications từng người; GET hộp thư mỗi người</x:v>
      </x:c>
      <x:c r="K27" s="14" t="str">
        <x:v>Integration</x:v>
      </x:c>
      <x:c r="L27" s="14" t="str">
        <x:v>DEFINED</x:v>
      </x:c>
      <x:c r="M27" s="33"/>
      <x:c r="N27" s="33" t="str">
        <x:v>NOT_RUN</x:v>
      </x:c>
      <x:c r="O27" s="14" t="str">
        <x:v>Bổ sung theo thiết kế đã duyệt; chưa chạy kiểm thử. Tham chiếu: 06-notification-api.yaml. Đối chiếu bản API 1.2 trong cuộc trao đổi; không xác nhận trạng thái commit GitHub.</x:v>
      </x:c>
      <x:c r="P27" s="14" t="str">
        <x:v>R07</x:v>
      </x:c>
      <x:c r="Q27" s="14" t="str">
        <x:v>Request/response đã che token; dữ liệu trước/sau hoặc log kiểm tra có correlationId; môi trường, commit và thời gian chạy. Không ghi mật khẩu thật.</x:v>
      </x:c>
    </x:row>
    <x:row r="28" ht="104" customHeight="1">
      <x:c r="A28" s="14" t="str">
        <x:v>TC-NOTIF-027</x:v>
      </x:c>
      <x:c r="B28" s="14" t="str">
        <x:v>Notification</x:v>
      </x:c>
      <x:c r="C28" s="14" t="str">
        <x:v>HTTP nội bộ không tạo sự kiện chưa có trong inbox</x:v>
      </x:c>
      <x:c r="D28" s="14" t="str">
        <x:v>Service JWT hợp lệ; E999 chưa được RabbitMQ tiếp nhận.</x:v>
      </x:c>
      <x:c r="E28" s="14" t="str">
        <x:v>1. Chuẩn bị fixture độc lập theo Preconditions.
2. POST /notifications trong mạng nội bộ với Test Data; lưu phản hồi và correlationId.
3. Đối chiếu từng điều kiện Expected Result với dữ liệu sau thao tác.</x:v>
      </x:c>
      <x:c r="F28" s="14" t="str">
        <x:v>eventId=E999, người nhận và body hợp lệ</x:v>
      </x:c>
      <x:c r="G28" s="14" t="str">
        <x:v>404 EVENT_NOT_FOUND; không Notification hoặc inbox giả.</x:v>
      </x:c>
      <x:c r="H28" s="14" t="str">
        <x:v>High</x:v>
      </x:c>
      <x:c r="I28" s="14" t="str">
        <x:v>API 1.2; rubric liên kết</x:v>
      </x:c>
      <x:c r="J28" s="14" t="str">
        <x:v>POST /notifications trong mạng nội bộ</x:v>
      </x:c>
      <x:c r="K28" s="14" t="str">
        <x:v>Integration</x:v>
      </x:c>
      <x:c r="L28" s="14" t="str">
        <x:v>DEFINED</x:v>
      </x:c>
      <x:c r="M28" s="33"/>
      <x:c r="N28" s="33" t="str">
        <x:v>NOT_RUN</x:v>
      </x:c>
      <x:c r="O28" s="14" t="str">
        <x:v>Chưa chạy. Fixture giả trong môi trường kiểm thử cô lập.</x:v>
      </x:c>
      <x:c r="P28" s="14" t="str">
        <x:v>R07</x:v>
      </x:c>
      <x:c r="Q28" s="14" t="str">
        <x:v>Request/response đã che token; dữ liệu trước/sau hoặc log kiểm tra có correlationId; môi trường, commit và thời gian chạy. Không ghi mật khẩu thật.</x:v>
      </x:c>
    </x:row>
    <x:row r="29" ht="119" customHeight="1">
      <x:c r="A29" s="14" t="str">
        <x:v>TC-NOTIF-028</x:v>
      </x:c>
      <x:c r="B29" s="14" t="str">
        <x:v>Notification</x:v>
      </x:c>
      <x:c r="C29" s="14" t="str">
        <x:v>Broker giao lại sau crash giữa commit và ACK</x:v>
      </x:c>
      <x:c r="D29" s="14" t="str">
        <x:v>Event E1 hợp lệ; consumer có fault injection sau inbox+job commit, trước ACK.</x:v>
      </x:c>
      <x:c r="E29" s="14" t="str">
        <x:v>1. Chuẩn bị fixture độc lập theo Preconditions.
2. Khởi động lại consumer và cho broker redeliver E1 với Test Data; lưu phản hồi và correlationId.
3. Đối chiếu từng điều kiện Expected Result với dữ liệu sau thao tác.</x:v>
      </x:c>
      <x:c r="F29" s="14" t="str">
        <x:v>Giữ eventId và payload nguyên vẹn</x:v>
      </x:c>
      <x:c r="G29" s="14" t="str">
        <x:v>Một inbox E1 và một Notification mỗi người nhận; không mất fan-out; ACK sau dữ liệu bền vững.</x:v>
      </x:c>
      <x:c r="H29" s="14" t="str">
        <x:v>High</x:v>
      </x:c>
      <x:c r="I29" s="14" t="str">
        <x:v>API 1.2; rubric liên kết</x:v>
      </x:c>
      <x:c r="J29" s="14" t="str">
        <x:v>Khởi động lại consumer và cho broker redeliver E1</x:v>
      </x:c>
      <x:c r="K29" s="14" t="str">
        <x:v>Integration</x:v>
      </x:c>
      <x:c r="L29" s="14" t="str">
        <x:v>DEFINED</x:v>
      </x:c>
      <x:c r="M29" s="33"/>
      <x:c r="N29" s="33" t="str">
        <x:v>NOT_RUN</x:v>
      </x:c>
      <x:c r="O29" s="14" t="str">
        <x:v>Chưa chạy. Fixture giả trong môi trường kiểm thử cô lập.</x:v>
      </x:c>
      <x:c r="P29" s="14" t="str">
        <x:v>R07</x:v>
      </x:c>
      <x:c r="Q29" s="14" t="str">
        <x:v>Request/response đã che token; dữ liệu trước/sau hoặc log kiểm tra có correlationId; môi trường, commit và thời gian chạy. Không ghi mật khẩu thật.</x:v>
      </x:c>
    </x:row>
    <x:row r="30" ht="104" customHeight="1">
      <x:c r="A30" s="14" t="str">
        <x:v>TC-NOTIF-029</x:v>
      </x:c>
      <x:c r="B30" s="14" t="str">
        <x:v>Notification</x:v>
      </x:c>
      <x:c r="C30" s="14" t="str">
        <x:v>Event ID trùng nhưng payload khác được cách ly</x:v>
      </x:c>
      <x:c r="D30" s="14" t="str">
        <x:v>E1 đã lưu hợp lệ.</x:v>
      </x:c>
      <x:c r="E30" s="14" t="str">
        <x:v>1. Chuẩn bị fixture độc lập theo Preconditions.
2. Publish lại E1 vào route được phép với Test Data; lưu phản hồi và correlationId.
3. Đối chiếu từng điều kiện Expected Result với dữ liệu sau thao tác.</x:v>
      </x:c>
      <x:c r="F30" s="14" t="str">
        <x:v>Giữ eventId nhưng đổi reference/recipient/payload</x:v>
      </x:c>
      <x:c r="G30" s="14" t="str">
        <x:v>Không ghi đè inbox hoặc thông báo; lưu xung đột/DLQ bền vững để kiểm tra, không ACK rồi bỏ mất bằng chứng.</x:v>
      </x:c>
      <x:c r="H30" s="14" t="str">
        <x:v>High</x:v>
      </x:c>
      <x:c r="I30" s="14" t="str">
        <x:v>API 1.2; rubric liên kết</x:v>
      </x:c>
      <x:c r="J30" s="14" t="str">
        <x:v>Publish lại E1 vào route được phép</x:v>
      </x:c>
      <x:c r="K30" s="14" t="str">
        <x:v>Integration</x:v>
      </x:c>
      <x:c r="L30" s="14" t="str">
        <x:v>DEFINED</x:v>
      </x:c>
      <x:c r="M30" s="33"/>
      <x:c r="N30" s="33" t="str">
        <x:v>NOT_RUN</x:v>
      </x:c>
      <x:c r="O30" s="14" t="str">
        <x:v>Chưa chạy. Fixture giả trong môi trường kiểm thử cô lập.</x:v>
      </x:c>
      <x:c r="P30" s="14" t="str">
        <x:v>R07</x:v>
      </x:c>
      <x:c r="Q30" s="14" t="str">
        <x:v>Request/response đã che token; dữ liệu trước/sau hoặc log kiểm tra có correlationId; môi trường, commit và thời gian chạy. Không ghi mật khẩu thật.</x:v>
      </x:c>
    </x:row>
    <x:row r="31" ht="119" customHeight="1">
      <x:c r="A31" s="14" t="str">
        <x:v>TC-NOTIF-030</x:v>
      </x:c>
      <x:c r="B31" s="14" t="str">
        <x:v>Notification</x:v>
      </x:c>
      <x:c r="C31" s="14" t="str">
        <x:v>Hết retry chuyển FAILED và giữ khả năng phục hồi</x:v>
      </x:c>
      <x:c r="D31" s="14" t="str">
        <x:v>Worker cấu hình test tối đa 3 lần; lỗi công bố có kiểm soát.</x:v>
      </x:c>
      <x:c r="E31" s="14" t="str">
        <x:v>1. Chuẩn bị fixture độc lập theo Preconditions.
2. Chạy worker hết retry; gọi POST nội bộ cùng event với Test Data; lưu phản hồi và correlationId.
3. Đối chiếu từng điều kiện Expected Result với dữ liệu sau thao tác.</x:v>
      </x:c>
      <x:c r="F31" s="14" t="str">
        <x:v>E1 đã có inbox hợp lệ, cùng recipient và channel</x:v>
      </x:c>
      <x:c r="G31" s="14" t="str">
        <x:v>Chưa SENT thì FAILED sau giới hạn; POST trả 200 FAILED, không tự retry. Phục hồi có audit dùng cùng notificationId.</x:v>
      </x:c>
      <x:c r="H31" s="14" t="str">
        <x:v>High</x:v>
      </x:c>
      <x:c r="I31" s="14" t="str">
        <x:v>API 1.2; rubric liên kết</x:v>
      </x:c>
      <x:c r="J31" s="14" t="str">
        <x:v>Chạy worker hết retry; gọi POST nội bộ cùng event</x:v>
      </x:c>
      <x:c r="K31" s="14" t="str">
        <x:v>Integration</x:v>
      </x:c>
      <x:c r="L31" s="14" t="str">
        <x:v>DEFINED</x:v>
      </x:c>
      <x:c r="M31" s="33"/>
      <x:c r="N31" s="33" t="str">
        <x:v>NOT_RUN</x:v>
      </x:c>
      <x:c r="O31" s="14" t="str">
        <x:v>Chưa chạy. Fixture giả trong môi trường kiểm thử cô lập.</x:v>
      </x:c>
      <x:c r="P31" s="14" t="str">
        <x:v>R07</x:v>
      </x:c>
      <x:c r="Q31" s="14" t="str">
        <x:v>Request/response đã che token; dữ liệu trước/sau hoặc log kiểm tra có correlationId; môi trường, commit và thời gian chạy. Không ghi mật khẩu thật.</x:v>
      </x:c>
    </x:row>
    <x:row r="32" ht="104" customHeight="1">
      <x:c r="A32" s="14" t="str">
        <x:v>TC-NOTIF-031</x:v>
      </x:c>
      <x:c r="B32" s="14" t="str">
        <x:v>Notification</x:v>
      </x:c>
      <x:c r="C32" s="14" t="str">
        <x:v>Fan-out nhiều người nhận sống sót sau crash</x:v>
      </x:c>
      <x:c r="D32" s="14" t="str">
        <x:v>TRIP_COMPLETED có C1/D1; crash sau khi tạo thông báo C1.</x:v>
      </x:c>
      <x:c r="E32" s="14" t="str">
        <x:v>1. Chuẩn bị fixture độc lập theo Preconditions.
2. Phục hồi worker và chạy công việc còn lại với Test Data; lưu phản hồi và correlationId.
3. Đối chiếu từng điều kiện Expected Result với dữ liệu sau thao tác.</x:v>
      </x:c>
      <x:c r="F32" s="14" t="str">
        <x:v>Cùng eventId, recipientAccountIds C1 và D1</x:v>
      </x:c>
      <x:c r="G32" s="14" t="str">
        <x:v>Mỗi người một Notification; D1 không bị mất và C1 không bị tạo trùng; trạng thái đọc độc lập.</x:v>
      </x:c>
      <x:c r="H32" s="14" t="str">
        <x:v>High</x:v>
      </x:c>
      <x:c r="I32" s="14" t="str">
        <x:v>API 1.2; rubric liên kết</x:v>
      </x:c>
      <x:c r="J32" s="14" t="str">
        <x:v>Phục hồi worker và chạy công việc còn lại</x:v>
      </x:c>
      <x:c r="K32" s="14" t="str">
        <x:v>Integration</x:v>
      </x:c>
      <x:c r="L32" s="14" t="str">
        <x:v>DEFINED</x:v>
      </x:c>
      <x:c r="M32" s="33"/>
      <x:c r="N32" s="33" t="str">
        <x:v>NOT_RUN</x:v>
      </x:c>
      <x:c r="O32" s="14" t="str">
        <x:v>Chưa chạy. Fixture giả trong môi trường kiểm thử cô lập.</x:v>
      </x:c>
      <x:c r="P32" s="14" t="str">
        <x:v>R07; R17</x:v>
      </x:c>
      <x:c r="Q32" s="14" t="str">
        <x:v>Request/response đã che token; dữ liệu trước/sau hoặc log kiểm tra có correlationId; môi trường, commit và thời gian chạy. Không ghi mật khẩu thật.</x:v>
      </x:c>
    </x:row>
    <x:row r="33" ht="104" customHeight="1">
      <x:c r="A33" s="14" t="str">
        <x:v>TC-NOTIF-032</x:v>
      </x:c>
      <x:c r="B33" s="14" t="str">
        <x:v>Notification</x:v>
      </x:c>
      <x:c r="C33" s="14" t="str">
        <x:v>Thông báo hủy chuyến có lý do phù hợp</x:v>
      </x:c>
      <x:c r="D33" s="14" t="str">
        <x:v>T1 hủy thành công với reason hợp lệ; Core commit outbox.</x:v>
      </x:c>
      <x:c r="E33" s="14" t="str">
        <x:v>1. Chuẩn bị fixture độc lập theo Preconditions.
2. Theo RabbitMQ rồi GET /notifications với Test Data; lưu phản hồi và correlationId.
3. Đối chiếu từng điều kiện Expected Result với dữ liệu sau thao tác.</x:v>
      </x:c>
      <x:c r="F33" s="14" t="str">
        <x:v>C1/D1 đọc hộp thư riêng</x:v>
      </x:c>
      <x:c r="G33" s="14" t="str">
        <x:v>Có TRIP_CANCELLED đúng Trip và lý do an toàn; không lộ Incident nội bộ hoặc GPS; hai bản ghi riêng.</x:v>
      </x:c>
      <x:c r="H33" s="14" t="str">
        <x:v>High</x:v>
      </x:c>
      <x:c r="I33" s="14" t="str">
        <x:v>API 1.2; rubric liên kết</x:v>
      </x:c>
      <x:c r="J33" s="14" t="str">
        <x:v>Theo RabbitMQ rồi GET /notifications</x:v>
      </x:c>
      <x:c r="K33" s="14" t="str">
        <x:v>Integration</x:v>
      </x:c>
      <x:c r="L33" s="14" t="str">
        <x:v>DEFINED</x:v>
      </x:c>
      <x:c r="M33" s="33"/>
      <x:c r="N33" s="33" t="str">
        <x:v>NOT_RUN</x:v>
      </x:c>
      <x:c r="O33" s="14" t="str">
        <x:v>Chưa chạy. Fixture giả trong môi trường kiểm thử cô lập.</x:v>
      </x:c>
      <x:c r="P33" s="14" t="str">
        <x:v>R07; R18</x:v>
      </x:c>
      <x:c r="Q33" s="14" t="str">
        <x:v>Request/response đã che token; dữ liệu trước/sau hoặc log kiểm tra có correlationId; môi trường, commit và thời gian chạy. Không ghi mật khẩu thật.</x:v>
      </x:c>
    </x:row>
    <x:row r="34" ht="119" customHeight="1">
      <x:c r="A34" s="14" t="str">
        <x:v>TC-NOTIF-033</x:v>
      </x:c>
      <x:c r="B34" s="14" t="str">
        <x:v>Notification</x:v>
      </x:c>
      <x:c r="C34" s="14" t="str">
        <x:v>requiresReview có thông báo mà không hạ SUCCESS</x:v>
      </x:c>
      <x:c r="D34" s="14" t="str">
        <x:v>P1 SUCCESS, chuyển requiresReview false→true bằng bằng chứng mâu thuẫn kiểm soát.</x:v>
      </x:c>
      <x:c r="E34" s="14" t="str">
        <x:v>1. Chuẩn bị fixture độc lập theo Preconditions.
2. Consume PAYMENT_REVIEW_REQUIRED; GET /notifications với Test Data; lưu phản hồi và correlationId.
3. Đối chiếu từng điều kiện Expected Result với dữ liệu sau thao tác.</x:v>
      </x:c>
      <x:c r="F34" s="14" t="str">
        <x:v>C1 người nhận; gửi lại cùng eventId</x:v>
      </x:c>
      <x:c r="G34" s="14" t="str">
        <x:v>Một thông báo kiểm tra giao dịch; không khẳng định thất bại/hoàn tiền/thu thêm; Payment vẫn SUCCESS.</x:v>
      </x:c>
      <x:c r="H34" s="14" t="str">
        <x:v>High</x:v>
      </x:c>
      <x:c r="I34" s="14" t="str">
        <x:v>API 1.2; rubric liên kết</x:v>
      </x:c>
      <x:c r="J34" s="14" t="str">
        <x:v>Consume PAYMENT_REVIEW_REQUIRED; GET /notifications</x:v>
      </x:c>
      <x:c r="K34" s="14" t="str">
        <x:v>Integration</x:v>
      </x:c>
      <x:c r="L34" s="14" t="str">
        <x:v>DEFINED</x:v>
      </x:c>
      <x:c r="M34" s="33"/>
      <x:c r="N34" s="33" t="str">
        <x:v>NOT_RUN</x:v>
      </x:c>
      <x:c r="O34" s="14" t="str">
        <x:v>Chưa chạy. Fixture giả trong môi trường kiểm thử cô lập.</x:v>
      </x:c>
      <x:c r="P34" s="14" t="str">
        <x:v>R07; R19; R30</x:v>
      </x:c>
      <x:c r="Q34" s="14" t="str">
        <x:v>Request/response đã che token; dữ liệu trước/sau hoặc log kiểm tra có correlationId; môi trường, commit và thời gian chạy. Không ghi mật khẩu thật.</x:v>
      </x:c>
    </x:row>
    <x:row r="35" ht="104" customHeight="1">
      <x:c r="A35" s="14" t="str">
        <x:v>TC-NOTIF-034</x:v>
      </x:c>
      <x:c r="B35" s="14" t="str">
        <x:v>Notification</x:v>
      </x:c>
      <x:c r="C35" s="14" t="str">
        <x:v>Thông báo SENT đọc khi broker tạm ngừng</x:v>
      </x:c>
      <x:c r="D35" s="14" t="str">
        <x:v>Inbox đã có N1 SENT; database và xác thực hoạt động; RabbitMQ tạm ngừng.</x:v>
      </x:c>
      <x:c r="E35" s="14" t="str">
        <x:v>1. Chuẩn bị fixture độc lập theo Preconditions.
2. GET /notifications với Test Data; lưu phản hồi và correlationId.
3. Đối chiếu từng điều kiện Expected Result với dữ liệu sau thao tác.</x:v>
      </x:c>
      <x:c r="F35" s="14" t="str">
        <x:v>JWT chủ N1</x:v>
      </x:c>
      <x:c r="G35" s="14" t="str">
        <x:v>200 thấy N1; không yêu cầu broker hoạt động để đọc dữ liệu đã công bố.</x:v>
      </x:c>
      <x:c r="H35" s="14" t="str">
        <x:v>High</x:v>
      </x:c>
      <x:c r="I35" s="14" t="str">
        <x:v>API 1.2; rubric liên kết</x:v>
      </x:c>
      <x:c r="J35" s="14" t="str">
        <x:v>GET /notifications</x:v>
      </x:c>
      <x:c r="K35" s="14" t="str">
        <x:v>Integration</x:v>
      </x:c>
      <x:c r="L35" s="14" t="str">
        <x:v>DEFINED</x:v>
      </x:c>
      <x:c r="M35" s="33"/>
      <x:c r="N35" s="33" t="str">
        <x:v>NOT_RUN</x:v>
      </x:c>
      <x:c r="O35" s="14" t="str">
        <x:v>Chưa chạy. Fixture giả trong môi trường kiểm thử cô lập.</x:v>
      </x:c>
      <x:c r="P35" s="14" t="str">
        <x:v>R07</x:v>
      </x:c>
      <x:c r="Q35" s="14" t="str">
        <x:v>Request/response đã che token; dữ liệu trước/sau hoặc log kiểm tra có correlationId; môi trường, commit và thời gian chạy. Không ghi mật khẩu thật.</x:v>
      </x:c>
    </x:row>
  </x:sheetData>
  <x:conditionalFormatting sqref="L2:L27">
    <x:cfRule type="containsText" dxfId="27" priority="1" operator="containsText" text="NEEDS_DECISION"/>
  </x:conditionalFormatting>
  <x:conditionalFormatting sqref="N2:N27">
    <x:cfRule type="containsText" dxfId="28" priority="2" operator="containsText" text="FAIL"/>
    <x:cfRule type="containsText" dxfId="29" priority="3" operator="containsText" text="BLOCKED"/>
  </x:conditionalFormatting>
  <x:conditionalFormatting sqref="L2:L35">
    <x:cfRule type="containsText" dxfId="78" priority="4" operator="containsText" text="NEEDS_DECISION"/>
    <x:cfRule type="containsText" dxfId="79" priority="5" operator="containsText" text="OUT_OF_SCOPE"/>
    <x:cfRule type="containsText" dxfId="80" priority="6" operator="containsText" text="SUPERSEDED"/>
  </x:conditionalFormatting>
  <x:conditionalFormatting sqref="N2:N35">
    <x:cfRule type="containsText" dxfId="81" priority="7" operator="containsText" text="FAIL"/>
    <x:cfRule type="containsText" dxfId="82" priority="8" operator="containsText" text="BLOCKED"/>
  </x:conditionalFormatting>
  <x:dataValidations count="3">
    <x:dataValidation type="list" sqref="L2:L35">
      <x:formula1>"DEFINED,NEEDS_DECISION,OUT_OF_SCOPE,SUPERSEDED"</x:formula1>
    </x:dataValidation>
    <x:dataValidation type="list" sqref="N2:N35">
      <x:formula1>"NOT_RUN,PASS,FAIL,BLOCKED"</x:formula1>
    </x:dataValidation>
    <x:dataValidation type="list" sqref="K2:K35">
      <x:formula1>"API,Integration,UI,Performance,Review,Security"</x:formula1>
    </x:dataValidation>
  </x:dataValidations>
  <x:pageMargins left="0.7" right="0.7" top="0.75" bottom="0.75" header="0.3" footer="0.3"/>
  <x:tableParts count="1">
    <x:tablePart xmlns:r="http://schemas.openxmlformats.org/officeDocument/2006/relationships" r:id="Rdcdcd545e50341bc"/>
  </x:tableParts>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1" t="str">
        <x:v>Test Case ID</x:v>
      </x:c>
      <x:c r="B1" s="31" t="str">
        <x:v>Test Scenario</x:v>
      </x:c>
      <x:c r="C1" s="31" t="str">
        <x:v>Test Case</x:v>
      </x:c>
      <x:c r="D1" s="31" t="str">
        <x:v>Preconditions</x:v>
      </x:c>
      <x:c r="E1" s="31" t="str">
        <x:v>Test Steps</x:v>
      </x:c>
      <x:c r="F1" s="31" t="str">
        <x:v>Test Data</x:v>
      </x:c>
      <x:c r="G1" s="31" t="str">
        <x:v>Expected Result</x:v>
      </x:c>
      <x:c r="H1" s="31"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04" customHeight="1">
      <x:c r="A2" s="11" t="str">
        <x:v>TC-ADMIN-001</x:v>
      </x:c>
      <x:c r="B2" s="11" t="str">
        <x:v>Quản lý và giám sát vận hành</x:v>
      </x:c>
      <x:c r="C2" s="11" t="str">
        <x:v>Nhân viên vận hành xem danh sách khách hàng thành công</x:v>
      </x:c>
      <x:c r="D2" s="11" t="str">
        <x:v>Nhân viên vận hành đã đăng nhập với quyền hợp lệ Người gọi OPERATOR ACTIVE, Session hợp lệ trừ case kiểm tra quyền.</x:v>
      </x:c>
      <x:c r="E2" s="11" t="str">
        <x:v>1. Chuẩn bị dữ liệu và trạng thái trong Preconditions.
2. Gọi GET /operations/accounts?role=CUSTOMER với Test Data.
3. Đối chiếu HTTP, nội dung phản hồi và trạng thái lưu trữ với Expected Result.</x:v>
      </x:c>
      <x:c r="F2" s="11" t="str">
        <x:v>GET /operations/accounts?role=CUSTOMER</x:v>
      </x:c>
      <x:c r="G2" s="11" t="str">
        <x:v>Trả về danh sách khách hàng đầy đủ, chính xác (200)</x:v>
      </x:c>
      <x:c r="H2" s="11" t="str">
        <x:v>High</x:v>
      </x:c>
      <x:c r="I2" s="14" t="str">
        <x:v>FR14; FR15; FR17; FR18; FR21; FR22; AC08; AC09; AC12; AC14</x:v>
      </x:c>
      <x:c r="J2" s="14" t="str">
        <x:v>GET /operations/accounts?role=CUSTOMER</x:v>
      </x:c>
      <x:c r="K2" s="14" t="str">
        <x:v>Integration</x:v>
      </x:c>
      <x:c r="L2" s="14" t="str">
        <x:v>DEFINED</x:v>
      </x:c>
      <x:c r="M2" s="33"/>
      <x:c r="N2" s="33" t="str">
        <x:v>NOT_RUN</x:v>
      </x:c>
      <x:c r="O2" s="14" t="str">
        <x:v>Hợp đồng tham chiếu: 07-operations-api.yaml. Chưa chạy kiểm thử. Đối chiếu bản API 1.2 trong cuộc trao đổi; không xác nhận trạng thái commit GitHub.</x:v>
      </x:c>
      <x:c r="P2" s="14" t="str">
        <x:v>—</x:v>
      </x:c>
      <x:c r="Q2" s="14" t="str">
        <x:v>Request/response đã che token; dữ liệu trước/sau hoặc log kiểm tra có correlationId; môi trường, commit và thời gian chạy. Không ghi mật khẩu thật.</x:v>
      </x:c>
    </x:row>
    <x:row r="3" ht="90" customHeight="1">
      <x:c r="A3" s="11" t="str">
        <x:v>TC-ADMIN-002</x:v>
      </x:c>
      <x:c r="B3" s="11" t="str">
        <x:v>Quản lý và giám sát vận hành</x:v>
      </x:c>
      <x:c r="C3" s="11" t="str">
        <x:v>Nhân viên vận hành xem danh sách tài xế thành công</x:v>
      </x:c>
      <x:c r="D3" s="11" t="str">
        <x:v>Nhân viên vận hành đã đăng nhập với quyền hợp lệ Người gọi OPERATOR ACTIVE, Session hợp lệ trừ case kiểm tra quyền.</x:v>
      </x:c>
      <x:c r="E3" s="11" t="str">
        <x:v>1. Chuẩn bị dữ liệu và trạng thái trong Preconditions.
2. Gọi GET /operations/drivers với Test Data.
3. Đối chiếu HTTP, nội dung phản hồi và trạng thái lưu trữ với Expected Result.</x:v>
      </x:c>
      <x:c r="F3" s="11" t="str">
        <x:v>GET /operations/drivers</x:v>
      </x:c>
      <x:c r="G3" s="11" t="str">
        <x:v>Trả về danh sách tài xế đầy đủ, chính xác (200)</x:v>
      </x:c>
      <x:c r="H3" s="11" t="str">
        <x:v>High</x:v>
      </x:c>
      <x:c r="I3" s="14" t="str">
        <x:v>FR14; FR15; FR17; FR18; FR21; FR22; AC08; AC09; AC12; AC14</x:v>
      </x:c>
      <x:c r="J3" s="14" t="str">
        <x:v>GET /operations/drivers</x:v>
      </x:c>
      <x:c r="K3" s="14" t="str">
        <x:v>Integration</x:v>
      </x:c>
      <x:c r="L3" s="14" t="str">
        <x:v>DEFINED</x:v>
      </x:c>
      <x:c r="M3" s="33"/>
      <x:c r="N3" s="33" t="str">
        <x:v>NOT_RUN</x:v>
      </x:c>
      <x:c r="O3" s="14" t="str">
        <x:v>Hợp đồng tham chiếu: 07-operations-api.yaml. Chưa chạy kiểm thử. Đối chiếu bản API 1.2 trong cuộc trao đổi; không xác nhận trạng thái commit GitHub.</x:v>
      </x:c>
      <x:c r="P3" s="14" t="str">
        <x:v>—</x:v>
      </x:c>
      <x:c r="Q3" s="14" t="str">
        <x:v>Request/response đã che token; dữ liệu trước/sau hoặc log kiểm tra có correlationId; môi trường, commit và thời gian chạy. Không ghi mật khẩu thật.</x:v>
      </x:c>
    </x:row>
    <x:row r="4" ht="104" customHeight="1">
      <x:c r="A4" s="11" t="str">
        <x:v>TC-ADMIN-003</x:v>
      </x:c>
      <x:c r="B4" s="11" t="str">
        <x:v>Quản lý và giám sát vận hành</x:v>
      </x:c>
      <x:c r="C4" s="11" t="str">
        <x:v>Nhân viên vận hành xem danh sách phương tiện thành công</x:v>
      </x:c>
      <x:c r="D4" s="11" t="str">
        <x:v>Nhân viên vận hành đã đăng nhập với quyền hợp lệ Người gọi OPERATOR ACTIVE, Session hợp lệ trừ case kiểm tra quyền.</x:v>
      </x:c>
      <x:c r="E4" s="11" t="str">
        <x:v>1. Chuẩn bị dữ liệu và trạng thái trong Preconditions.
2. Gọi GET /operations/vehicles với Test Data.
3. Đối chiếu HTTP, nội dung phản hồi và trạng thái lưu trữ với Expected Result.</x:v>
      </x:c>
      <x:c r="F4" s="11" t="str">
        <x:v>GET /operations/vehicles</x:v>
      </x:c>
      <x:c r="G4" s="11" t="str">
        <x:v>Trả về danh sách phương tiện đầy đủ, chính xác (200)</x:v>
      </x:c>
      <x:c r="H4" s="11" t="str">
        <x:v>Medium</x:v>
      </x:c>
      <x:c r="I4" s="14" t="str">
        <x:v>FR14; FR15; FR17; FR18; FR21; FR22; AC08; AC09; AC12; AC14</x:v>
      </x:c>
      <x:c r="J4" s="14" t="str">
        <x:v>GET /operations/vehicles</x:v>
      </x:c>
      <x:c r="K4" s="14" t="str">
        <x:v>Integration</x:v>
      </x:c>
      <x:c r="L4" s="14" t="str">
        <x:v>DEFINED</x:v>
      </x:c>
      <x:c r="M4" s="33"/>
      <x:c r="N4" s="33" t="str">
        <x:v>NOT_RUN</x:v>
      </x:c>
      <x:c r="O4" s="14" t="str">
        <x:v>Hợp đồng tham chiếu: 07-operations-api.yaml. Chưa chạy kiểm thử. Đối chiếu bản API 1.2 trong cuộc trao đổi; không xác nhận trạng thái commit GitHub.</x:v>
      </x:c>
      <x:c r="P4" s="14" t="str">
        <x:v>—</x:v>
      </x:c>
      <x:c r="Q4" s="14" t="str">
        <x:v>Request/response đã che token; dữ liệu trước/sau hoặc log kiểm tra có correlationId; môi trường, commit và thời gian chạy. Không ghi mật khẩu thật.</x:v>
      </x:c>
    </x:row>
    <x:row r="5" ht="90" customHeight="1">
      <x:c r="A5" s="11" t="str">
        <x:v>TC-ADMIN-004</x:v>
      </x:c>
      <x:c r="B5" s="11" t="str">
        <x:v>Quản lý và giám sát vận hành</x:v>
      </x:c>
      <x:c r="C5" s="11" t="str">
        <x:v>Nhân viên vận hành xem danh sách chuyến đi thành công</x:v>
      </x:c>
      <x:c r="D5" s="11" t="str">
        <x:v>Nhân viên vận hành đã đăng nhập với quyền hợp lệ Người gọi OPERATOR ACTIVE, Session hợp lệ trừ case kiểm tra quyền.</x:v>
      </x:c>
      <x:c r="E5" s="11" t="str">
        <x:v>1. Chuẩn bị dữ liệu và trạng thái trong Preconditions.
2. Gọi GET /operations/trips với Test Data.
3. Đối chiếu HTTP, nội dung phản hồi và trạng thái lưu trữ với Expected Result.</x:v>
      </x:c>
      <x:c r="F5" s="11" t="str">
        <x:v>GET /operations/trips</x:v>
      </x:c>
      <x:c r="G5" s="11" t="str">
        <x:v>Trả về danh sách chuyến đi đầy đủ, chính xác (200)</x:v>
      </x:c>
      <x:c r="H5" s="11" t="str">
        <x:v>High</x:v>
      </x:c>
      <x:c r="I5" s="14" t="str">
        <x:v>FR14; FR15; FR17; FR18; FR21; FR22; AC08; AC09; AC12; AC14</x:v>
      </x:c>
      <x:c r="J5" s="14" t="str">
        <x:v>GET /operations/trips</x:v>
      </x:c>
      <x:c r="K5" s="14" t="str">
        <x:v>Integration</x:v>
      </x:c>
      <x:c r="L5" s="14" t="str">
        <x:v>DEFINED</x:v>
      </x:c>
      <x:c r="M5" s="33"/>
      <x:c r="N5" s="33" t="str">
        <x:v>NOT_RUN</x:v>
      </x:c>
      <x:c r="O5" s="14" t="str">
        <x:v>Hợp đồng tham chiếu: 07-operations-api.yaml. Chưa chạy kiểm thử. Đối chiếu bản API 1.2 trong cuộc trao đổi; không xác nhận trạng thái commit GitHub.</x:v>
      </x:c>
      <x:c r="P5" s="14" t="str">
        <x:v>—</x:v>
      </x:c>
      <x:c r="Q5" s="14" t="str">
        <x:v>Request/response đã che token; dữ liệu trước/sau hoặc log kiểm tra có correlationId; môi trường, commit và thời gian chạy. Không ghi mật khẩu thật.</x:v>
      </x:c>
    </x:row>
    <x:row r="6" ht="104" customHeight="1">
      <x:c r="A6" s="11" t="str">
        <x:v>TC-ADMIN-005</x:v>
      </x:c>
      <x:c r="B6" s="11" t="str">
        <x:v>Quản lý và giám sát vận hành</x:v>
      </x:c>
      <x:c r="C6" s="11" t="str">
        <x:v>Nhân viên vận hành xem danh sách các chuyến đang diễn ra theo thời gian thực</x:v>
      </x:c>
      <x:c r="D6" s="11" t="str">
        <x:v>Có T1 IN_PROGRESS, T2 ERROR chưa đóng, T3 ERROR đã đóng và T4 COMPLETED.</x:v>
      </x:c>
      <x:c r="E6" s="11" t="str">
        <x:v>1. Chuẩn bị dữ liệu và trạng thái trong Preconditions.
2. Gọi GET /operations/trips?activeOnly=true với Test Data.
3. Đối chiếu HTTP, nội dung phản hồi và trạng thái lưu trữ với Expected Result.</x:v>
      </x:c>
      <x:c r="F6" s="11" t="str">
        <x:v>activeOnly=true.</x:v>
      </x:c>
      <x:c r="G6" s="11" t="str">
        <x:v>200; có T1/T2, không có T3/T4; không nhầm ERROR chưa đóng với chuyến đã kết thúc.</x:v>
      </x:c>
      <x:c r="H6" s="11" t="str">
        <x:v>High</x:v>
      </x:c>
      <x:c r="I6" s="14" t="str">
        <x:v>FR14; FR15; FR17; FR18; FR21; FR22; AC08; AC09; AC12; AC14</x:v>
      </x:c>
      <x:c r="J6" s="14" t="str">
        <x:v>GET /operations/trips?activeOnly=true</x:v>
      </x:c>
      <x:c r="K6" s="14" t="str">
        <x:v>Integration</x:v>
      </x:c>
      <x:c r="L6" s="14" t="str">
        <x:v>DEFINED</x:v>
      </x:c>
      <x:c r="M6" s="33"/>
      <x:c r="N6" s="33" t="str">
        <x:v>NOT_RUN</x:v>
      </x:c>
      <x:c r="O6" s="14" t="str">
        <x:v>Hợp đồng tham chiếu: 07-operations-api.yaml. Chưa chạy kiểm thử. Đối chiếu bản API 1.2 trong cuộc trao đổi; không xác nhận trạng thái commit GitHub.</x:v>
      </x:c>
      <x:c r="P6" s="14" t="str">
        <x:v>—</x:v>
      </x:c>
      <x:c r="Q6" s="14" t="str">
        <x:v>Request/response đã che token; dữ liệu trước/sau hoặc log kiểm tra có correlationId; môi trường, commit và thời gian chạy. Không ghi mật khẩu thật.</x:v>
      </x:c>
    </x:row>
    <x:row r="7" ht="90" customHeight="1">
      <x:c r="A7" s="11" t="str">
        <x:v>TC-ADMIN-006</x:v>
      </x:c>
      <x:c r="B7" s="11" t="str">
        <x:v>Quản lý và giám sát vận hành</x:v>
      </x:c>
      <x:c r="C7" s="11" t="str">
        <x:v>Kiểm tra trạng thái tài xế trong danh sách</x:v>
      </x:c>
      <x:c r="D7" s="11" t="str">
        <x:v>D1 tồn tại, trạng thái đã biết.</x:v>
      </x:c>
      <x:c r="E7" s="11" t="str">
        <x:v>1. Chuẩn bị trạng thái và dữ liệu được nêu.
2. GET /operations/drivers.
3. Kiểm tra HTTP, phản hồi và dữ liệu sau thao tác.</x:v>
      </x:c>
      <x:c r="F7" s="11" t="str">
        <x:v>Duyệt các trang tới driverId D1.</x:v>
      </x:c>
      <x:c r="G7" s="11" t="str">
        <x:v>Driver D1 có driverStatus khớp dữ liệu nguồn; không sử dụng endpoint /admin/drivers/{id}/status chưa có hợp đồng.</x:v>
      </x:c>
      <x:c r="H7" s="11" t="str">
        <x:v>Medium</x:v>
      </x:c>
      <x:c r="I7" s="14" t="str">
        <x:v>FR14; FR15; FR17; FR18; FR21; FR22; AC08; AC09; AC12; AC14</x:v>
      </x:c>
      <x:c r="J7" s="14" t="str">
        <x:v>GET /operations/drivers</x:v>
      </x:c>
      <x:c r="K7" s="14" t="str">
        <x:v>Integration</x:v>
      </x:c>
      <x:c r="L7" s="14" t="str">
        <x:v>DEFINED</x:v>
      </x:c>
      <x:c r="M7" s="33"/>
      <x:c r="N7" s="33" t="str">
        <x:v>NOT_RUN</x:v>
      </x:c>
      <x:c r="O7" s="14" t="str">
        <x:v>Hợp đồng tham chiếu: 07-operations-api.yaml. Chưa chạy kiểm thử. Đối chiếu bản API 1.2 trong cuộc trao đổi; không xác nhận trạng thái commit GitHub.</x:v>
      </x:c>
      <x:c r="P7" s="14" t="str">
        <x:v>—</x:v>
      </x:c>
      <x:c r="Q7" s="14" t="str">
        <x:v>Request/response đã che token; dữ liệu trước/sau hoặc log kiểm tra có correlationId; môi trường, commit và thời gian chạy. Không ghi mật khẩu thật.</x:v>
      </x:c>
    </x:row>
    <x:row r="8" ht="90" customHeight="1">
      <x:c r="A8" s="11" t="str">
        <x:v>TC-ADMIN-007</x:v>
      </x:c>
      <x:c r="B8" s="11" t="str">
        <x:v>Quản lý và giám sát vận hành</x:v>
      </x:c>
      <x:c r="C8" s="11" t="str">
        <x:v>Cập nhật hồ sơ driverId không tồn tại</x:v>
      </x:c>
      <x:c r="D8" s="11" t="str">
        <x:v>Không có D999.</x:v>
      </x:c>
      <x:c r="E8" s="11" t="str">
        <x:v>1. Chuẩn bị trạng thái và dữ liệu được nêu.
2. PATCH /operations/drivers/D999.
3. Kiểm tra HTTP, phản hồi và dữ liệu sau thao tác.</x:v>
      </x:c>
      <x:c r="F8" s="11" t="str">
        <x:v>{"expectedVersion":1,"approvalStatus":"APPROVED"}; khóa mới.</x:v>
      </x:c>
      <x:c r="G8" s="11" t="str">
        <x:v>Không thực thi đường dẫn cũ. Xem ca thay thế TC-DREG-024.</x:v>
      </x:c>
      <x:c r="H8" s="11" t="str">
        <x:v>Medium</x:v>
      </x:c>
      <x:c r="I8" s="14" t="str">
        <x:v>FR14; FR15; FR17; FR18; FR21; FR22; AC08; AC09; AC12; AC14</x:v>
      </x:c>
      <x:c r="J8" s="14" t="str">
        <x:v>PATCH /operations/drivers/D999</x:v>
      </x:c>
      <x:c r="K8" s="14" t="str">
        <x:v>Integration</x:v>
      </x:c>
      <x:c r="L8" s="14" t="str">
        <x:v>SUPERSEDED</x:v>
      </x:c>
      <x:c r="M8" s="33"/>
      <x:c r="N8" s="33" t="str">
        <x:v>NOT_RUN</x:v>
      </x:c>
      <x:c r="O8" s="14" t="str">
        <x:v>Giữ nguyên mã và API cũ chỉ để truy vết; API 07 phiên bản 1.2 đã bỏ thao tác này. Không tính ca vào phạm vi chạy.</x:v>
      </x:c>
      <x:c r="P8" s="14" t="str">
        <x:v>—</x:v>
      </x:c>
      <x:c r="Q8" s="14" t="str">
        <x:v>Request/response đã che token; dữ liệu trước/sau hoặc log kiểm tra có correlationId; môi trường, commit và thời gian chạy. Không ghi mật khẩu thật.</x:v>
      </x:c>
    </x:row>
    <x:row r="9" ht="90" customHeight="1">
      <x:c r="A9" s="11" t="str">
        <x:v>TC-ADMIN-008</x:v>
      </x:c>
      <x:c r="B9" s="11" t="str">
        <x:v>Quản lý và giám sát vận hành</x:v>
      </x:c>
      <x:c r="C9" s="11" t="str">
        <x:v>Nhân viên vận hành cập nhật trạng thái tài khoản khách hàng</x:v>
      </x:c>
      <x:c r="D9" s="11" t="str">
        <x:v>Account AC-C1 CUSTOMER ACTIVE, version=1.</x:v>
      </x:c>
      <x:c r="E9" s="11" t="str">
        <x:v>1. Chuẩn bị trạng thái và dữ liệu được nêu.
2. PATCH /operations/accounts/AC-C1/status.
3. Kiểm tra HTTP, phản hồi và dữ liệu sau thao tác.</x:v>
      </x:c>
      <x:c r="F9" s="11" t="str">
        <x:v>{"expectedVersion":1,"accountStatus":"SUSPENDED","reason":"Yêu cầu kiểm tra"}; khóa mới.</x:v>
      </x:c>
      <x:c r="G9" s="11" t="str">
        <x:v>200; Account SUSPENDED, version tăng; mọi Session bị thu hồi; không đổi role.</x:v>
      </x:c>
      <x:c r="H9" s="11" t="str">
        <x:v>High</x:v>
      </x:c>
      <x:c r="I9" s="14" t="str">
        <x:v>FR14; FR15; FR17; FR18; FR21; FR22; AC08; AC09; AC12; AC14</x:v>
      </x:c>
      <x:c r="J9" s="14" t="str">
        <x:v>PATCH /operations/accounts/AC-C1/status</x:v>
      </x:c>
      <x:c r="K9" s="14" t="str">
        <x:v>Integration</x:v>
      </x:c>
      <x:c r="L9" s="14" t="str">
        <x:v>DEFINED</x:v>
      </x:c>
      <x:c r="M9" s="33"/>
      <x:c r="N9" s="33" t="str">
        <x:v>NOT_RUN</x:v>
      </x:c>
      <x:c r="O9" s="14" t="str">
        <x:v>Hợp đồng tham chiếu: 07-operations-api.yaml. Chưa chạy kiểm thử. Đối chiếu bản API 1.2 trong cuộc trao đổi; không xác nhận trạng thái commit GitHub.</x:v>
      </x:c>
      <x:c r="P9" s="14" t="str">
        <x:v>—</x:v>
      </x:c>
      <x:c r="Q9" s="14" t="str">
        <x:v>Request/response đã che token; dữ liệu trước/sau hoặc log kiểm tra có correlationId; môi trường, commit và thời gian chạy. Không ghi mật khẩu thật.</x:v>
      </x:c>
    </x:row>
    <x:row r="10" ht="90" customHeight="1">
      <x:c r="A10" s="11" t="str">
        <x:v>TC-ADMIN-009</x:v>
      </x:c>
      <x:c r="B10" s="11" t="str">
        <x:v>Quản lý và giám sát vận hành</x:v>
      </x:c>
      <x:c r="C10" s="11" t="str">
        <x:v>CUSTOMER không được khóa Account</x:v>
      </x:c>
      <x:c r="D10" s="11" t="str">
        <x:v>C1 role CUSTOMER đang đăng nhập.</x:v>
      </x:c>
      <x:c r="E10" s="11" t="str">
        <x:v>1. Chuẩn bị trạng thái và dữ liệu được nêu.
2. PATCH /operations/accounts/{accountId}/status.
3. Kiểm tra HTTP, phản hồi và dữ liệu sau thao tác.</x:v>
      </x:c>
      <x:c r="F10" s="11" t="str">
        <x:v>Body hợp lệ, khóa mới.</x:v>
      </x:c>
      <x:c r="G10" s="11" t="str">
        <x:v>403; Account đích không thay đổi.</x:v>
      </x:c>
      <x:c r="H10" s="11" t="str">
        <x:v>High</x:v>
      </x:c>
      <x:c r="I10" s="14" t="str">
        <x:v>FR14; FR15; FR17; FR18; FR21; FR22; AC08; AC09; AC12; AC14</x:v>
      </x:c>
      <x:c r="J10" s="14" t="str">
        <x:v>PATCH /operations/accounts/{accountId}/status</x:v>
      </x:c>
      <x:c r="K10" s="14" t="str">
        <x:v>Integration</x:v>
      </x:c>
      <x:c r="L10" s="14" t="str">
        <x:v>DEFINED</x:v>
      </x:c>
      <x:c r="M10" s="33"/>
      <x:c r="N10" s="33" t="str">
        <x:v>NOT_RUN</x:v>
      </x:c>
      <x:c r="O10" s="14" t="str">
        <x:v>Hợp đồng tham chiếu: 07-operations-api.yaml. Chưa chạy kiểm thử. Đối chiếu bản API 1.2 trong cuộc trao đổi; không xác nhận trạng thái commit GitHub.</x:v>
      </x:c>
      <x:c r="P10" s="14" t="str">
        <x:v>R28</x:v>
      </x:c>
      <x:c r="Q10" s="14" t="str">
        <x:v>Request/response đã che token; dữ liệu trước/sau hoặc log kiểm tra có correlationId; môi trường, commit và thời gian chạy. Không ghi mật khẩu thật.</x:v>
      </x:c>
    </x:row>
    <x:row r="11" ht="90" customHeight="1">
      <x:c r="A11" s="11" t="str">
        <x:v>TC-ADMIN-010</x:v>
      </x:c>
      <x:c r="B11" s="11" t="str">
        <x:v>Quản lý và giám sát vận hành</x:v>
      </x:c>
      <x:c r="C11" s="11" t="str">
        <x:v>Điều hành ghi nhận mất liên lạc với tài xế</x:v>
      </x:c>
      <x:c r="D11" s="11" t="str">
        <x:v>T1 IN_PROGRESS; version=4.</x:v>
      </x:c>
      <x:c r="E11" s="11" t="str">
        <x:v>1. Chuẩn bị trạng thái và dữ liệu được nêu.
2. POST /operations/incidents.
3. Kiểm tra HTTP, phản hồi và dữ liệu sau thao tác.</x:v>
      </x:c>
      <x:c r="F11" s="11" t="str">
        <x:v>{"tripId":"T1","expectedTripVersion":4,"issueType":"OTHER","description":"Không liên lạc được tài xế"}; khóa mới.</x:v>
      </x:c>
      <x:c r="G11" s="11" t="str">
        <x:v>201; Incident OPEN; Trip ERROR, statusBeforeError=IN_PROGRESS; Driver BUSY. Không dùng enum DRIVER_UNREACHABLE.</x:v>
      </x:c>
      <x:c r="H11" s="11" t="str">
        <x:v>High</x:v>
      </x:c>
      <x:c r="I11" s="14" t="str">
        <x:v>FR14; FR15; FR17; FR18; FR21; FR22; AC08; AC09; AC12; AC14</x:v>
      </x:c>
      <x:c r="J11" s="14" t="str">
        <x:v>POST /operations/incidents</x:v>
      </x:c>
      <x:c r="K11" s="14" t="str">
        <x:v>Integration</x:v>
      </x:c>
      <x:c r="L11" s="14" t="str">
        <x:v>DEFINED</x:v>
      </x:c>
      <x:c r="M11" s="33"/>
      <x:c r="N11" s="33" t="str">
        <x:v>NOT_RUN</x:v>
      </x:c>
      <x:c r="O11" s="14" t="str">
        <x:v>Hợp đồng tham chiếu: 07-operations-api.yaml. Chưa chạy kiểm thử. Đối chiếu bản API 1.2 trong cuộc trao đổi; không xác nhận trạng thái commit GitHub.</x:v>
      </x:c>
      <x:c r="P11" s="14" t="str">
        <x:v>—</x:v>
      </x:c>
      <x:c r="Q11" s="14" t="str">
        <x:v>Request/response đã che token; dữ liệu trước/sau hoặc log kiểm tra có correlationId; môi trường, commit và thời gian chạy. Không ghi mật khẩu thật.</x:v>
      </x:c>
    </x:row>
    <x:row r="12" ht="90" customHeight="1">
      <x:c r="A12" s="11" t="str">
        <x:v>TC-ADMIN-011</x:v>
      </x:c>
      <x:c r="B12" s="11" t="str">
        <x:v>Quản lý và giám sát vận hành</x:v>
      </x:c>
      <x:c r="C12" s="11" t="str">
        <x:v>Nhân viên vận hành ghi nhận sự cố cho tripId không tồn tại</x:v>
      </x:c>
      <x:c r="D12" s="11" t="str">
        <x:v>Không có T999.</x:v>
      </x:c>
      <x:c r="E12" s="11" t="str">
        <x:v>1. Chuẩn bị trạng thái và dữ liệu được nêu.
2. POST /operations/incidents.
3. Kiểm tra HTTP, phản hồi và dữ liệu sau thao tác.</x:v>
      </x:c>
      <x:c r="F12" s="11" t="str">
        <x:v>{"tripId":"T999","expectedTripVersion":1,"issueType":"OTHER","description":"Cần hỗ trợ"}; khóa mới.</x:v>
      </x:c>
      <x:c r="G12" s="11" t="str">
        <x:v>404; không tạo Incident.</x:v>
      </x:c>
      <x:c r="H12" s="11" t="str">
        <x:v>Medium</x:v>
      </x:c>
      <x:c r="I12" s="14" t="str">
        <x:v>FR14; FR15; FR17; FR18; FR21; FR22; AC08; AC09; AC12; AC14</x:v>
      </x:c>
      <x:c r="J12" s="14" t="str">
        <x:v>POST /operations/incidents</x:v>
      </x:c>
      <x:c r="K12" s="14" t="str">
        <x:v>Integration</x:v>
      </x:c>
      <x:c r="L12" s="14" t="str">
        <x:v>DEFINED</x:v>
      </x:c>
      <x:c r="M12" s="33"/>
      <x:c r="N12" s="33" t="str">
        <x:v>NOT_RUN</x:v>
      </x:c>
      <x:c r="O12" s="14" t="str">
        <x:v>Hợp đồng tham chiếu: 07-operations-api.yaml. Chưa chạy kiểm thử. Đối chiếu bản API 1.2 trong cuộc trao đổi; không xác nhận trạng thái commit GitHub.</x:v>
      </x:c>
      <x:c r="P12" s="14" t="str">
        <x:v>—</x:v>
      </x:c>
      <x:c r="Q12" s="14" t="str">
        <x:v>Request/response đã che token; dữ liệu trước/sau hoặc log kiểm tra có correlationId; môi trường, commit và thời gian chạy. Không ghi mật khẩu thật.</x:v>
      </x:c>
    </x:row>
    <x:row r="13" ht="90" customHeight="1">
      <x:c r="A13" s="11" t="str">
        <x:v>TC-ADMIN-012</x:v>
      </x:c>
      <x:c r="B13" s="11" t="str">
        <x:v>Quản lý và giám sát vận hành</x:v>
      </x:c>
      <x:c r="C13" s="11" t="str">
        <x:v>Nhân viên vận hành ghi nhận sự cố thiếu trường bắt buộc</x:v>
      </x:c>
      <x:c r="D13" s="11" t="str">
        <x:v>T1 tồn tại, OPERATOR hợp lệ.</x:v>
      </x:c>
      <x:c r="E13" s="11" t="str">
        <x:v>1. Chuẩn bị trạng thái và dữ liệu được nêu.
2. POST /operations/incidents.
3. Kiểm tra HTTP, phản hồi và dữ liệu sau thao tác.</x:v>
      </x:c>
      <x:c r="F13" s="11" t="str">
        <x:v>{"tripId":"T1","expectedTripVersion":1}; khóa mới.</x:v>
      </x:c>
      <x:c r="G13" s="11" t="str">
        <x:v>400 vì thiếu issueType/description; không đổi Trip.</x:v>
      </x:c>
      <x:c r="H13" s="11" t="str">
        <x:v>Medium</x:v>
      </x:c>
      <x:c r="I13" s="14" t="str">
        <x:v>FR14; FR15; FR17; FR18; FR21; FR22; AC08; AC09; AC12; AC14</x:v>
      </x:c>
      <x:c r="J13" s="14" t="str">
        <x:v>POST /operations/incidents</x:v>
      </x:c>
      <x:c r="K13" s="14" t="str">
        <x:v>Integration</x:v>
      </x:c>
      <x:c r="L13" s="14" t="str">
        <x:v>DEFINED</x:v>
      </x:c>
      <x:c r="M13" s="33"/>
      <x:c r="N13" s="33" t="str">
        <x:v>NOT_RUN</x:v>
      </x:c>
      <x:c r="O13" s="14" t="str">
        <x:v>Hợp đồng tham chiếu: 07-operations-api.yaml. Chưa chạy kiểm thử. Đối chiếu bản API 1.2 trong cuộc trao đổi; không xác nhận trạng thái commit GitHub.</x:v>
      </x:c>
      <x:c r="P13" s="14" t="str">
        <x:v>—</x:v>
      </x:c>
      <x:c r="Q13" s="14" t="str">
        <x:v>Request/response đã che token; dữ liệu trước/sau hoặc log kiểm tra có correlationId; môi trường, commit và thời gian chạy. Không ghi mật khẩu thật.</x:v>
      </x:c>
    </x:row>
    <x:row r="14" ht="104" customHeight="1">
      <x:c r="A14" s="11" t="str">
        <x:v>TC-ADMIN-013</x:v>
      </x:c>
      <x:c r="B14" s="11" t="str">
        <x:v>Quản lý và giám sát vận hành</x:v>
      </x:c>
      <x:c r="C14" s="11" t="str">
        <x:v>Xem danh sách khách hàng có tìm kiếm theo từ khóa</x:v>
      </x:c>
      <x:c r="D14" s="11" t="str">
        <x:v>Có nhiều khách hàng trong hệ thống Người gọi OPERATOR ACTIVE, Session hợp lệ trừ case kiểm tra quyền.</x:v>
      </x:c>
      <x:c r="E14" s="11" t="str">
        <x:v>1. Chuẩn bị dữ liệu và trạng thái trong Preconditions.
2. Gọi Chưa có hợp đồng tìm kiếm keyword với Test Data.
3. Đối chiếu HTTP, nội dung phản hồi và trạng thái lưu trữ với Expected Result.</x:v>
      </x:c>
      <x:c r="F14" s="11" t="str">
        <x:v>keyword: Nguyen</x:v>
      </x:c>
      <x:c r="G14" s="11" t="str">
        <x:v>Không yêu cầu tìm theo keyword trong phiên bản 1.2. Không tính ca này vào phạm vi đang áp dụng.</x:v>
      </x:c>
      <x:c r="H14" s="11" t="str">
        <x:v>Low</x:v>
      </x:c>
      <x:c r="I14" s="14" t="str">
        <x:v>FR14; FR15; FR17; FR18; FR21; FR22; AC08; AC09; AC12; AC14</x:v>
      </x:c>
      <x:c r="J14" s="14" t="str">
        <x:v>Chưa có hợp đồng tìm kiếm keyword</x:v>
      </x:c>
      <x:c r="K14" s="14" t="str">
        <x:v>Integration</x:v>
      </x:c>
      <x:c r="L14" s="14" t="str">
        <x:v>OUT_OF_SCOPE</x:v>
      </x:c>
      <x:c r="M14" s="33"/>
      <x:c r="N14" s="33" t="str">
        <x:v>NOT_RUN</x:v>
      </x:c>
      <x:c r="O14" s="14" t="str">
        <x:v>API 07 không khai báo keyword. Query ngoài hợp đồng được kiểm tra riêng và trả 400.</x:v>
      </x:c>
      <x:c r="P14" s="14" t="str">
        <x:v>—</x:v>
      </x:c>
      <x:c r="Q14" s="14" t="str">
        <x:v>Request/response đã che token; dữ liệu trước/sau hoặc log kiểm tra có correlationId; môi trường, commit và thời gian chạy. Không ghi mật khẩu thật.</x:v>
      </x:c>
    </x:row>
    <x:row r="15" ht="104" customHeight="1">
      <x:c r="A15" s="11" t="str">
        <x:v>TC-ADMIN-014</x:v>
      </x:c>
      <x:c r="B15" s="11" t="str">
        <x:v>Quản lý và giám sát vận hành</x:v>
      </x:c>
      <x:c r="C15" s="11" t="str">
        <x:v>Xem danh sách tài xế lọc theo trạng thái</x:v>
      </x:c>
      <x:c r="D15" s="11" t="str">
        <x:v>Có tài xế ở nhiều trạng thái khác nhau Người gọi OPERATOR ACTIVE, Session hợp lệ trừ case kiểm tra quyền.</x:v>
      </x:c>
      <x:c r="E15" s="11" t="str">
        <x:v>1. Chuẩn bị dữ liệu và trạng thái trong Preconditions.
2. Gọi GET /operations/drivers?driverStatus=AVAILABLE với Test Data.
3. Đối chiếu HTTP, nội dung phản hồi và trạng thái lưu trữ với Expected Result.</x:v>
      </x:c>
      <x:c r="F15" s="11" t="str">
        <x:v>driverStatus=AVAILABLE</x:v>
      </x:c>
      <x:c r="G15" s="11" t="str">
        <x:v>Trả về đúng danh sách chỉ gồm tài xế đang ở trạng thái AVAILABLE</x:v>
      </x:c>
      <x:c r="H15" s="11" t="str">
        <x:v>Medium</x:v>
      </x:c>
      <x:c r="I15" s="14" t="str">
        <x:v>FR14; FR15; FR17; FR18; FR21; FR22; AC08; AC09; AC12; AC14</x:v>
      </x:c>
      <x:c r="J15" s="14" t="str">
        <x:v>GET /operations/drivers?driverStatus=AVAILABLE</x:v>
      </x:c>
      <x:c r="K15" s="14" t="str">
        <x:v>Integration</x:v>
      </x:c>
      <x:c r="L15" s="14" t="str">
        <x:v>DEFINED</x:v>
      </x:c>
      <x:c r="M15" s="33"/>
      <x:c r="N15" s="33" t="str">
        <x:v>NOT_RUN</x:v>
      </x:c>
      <x:c r="O15" s="14" t="str">
        <x:v>Hợp đồng tham chiếu: 07-operations-api.yaml. Chưa chạy kiểm thử. Đối chiếu bản API 1.2 trong cuộc trao đổi; không xác nhận trạng thái commit GitHub.</x:v>
      </x:c>
      <x:c r="P15" s="14" t="str">
        <x:v>—</x:v>
      </x:c>
      <x:c r="Q15" s="14" t="str">
        <x:v>Request/response đã che token; dữ liệu trước/sau hoặc log kiểm tra có correlationId; môi trường, commit và thời gian chạy. Không ghi mật khẩu thật.</x:v>
      </x:c>
    </x:row>
    <x:row r="16" ht="90" customHeight="1">
      <x:c r="A16" s="11" t="str">
        <x:v>TC-ADMIN-015</x:v>
      </x:c>
      <x:c r="B16" s="11" t="str">
        <x:v>Quản lý và giám sát vận hành</x:v>
      </x:c>
      <x:c r="C16" s="11" t="str">
        <x:v>Xem danh sách chuyến đi có phân trang</x:v>
      </x:c>
      <x:c r="D16" s="11" t="str">
        <x:v>Có 45 Trip, dữ liệu không đổi khi đọc.</x:v>
      </x:c>
      <x:c r="E16" s="11" t="str">
        <x:v>1. Chuẩn bị trạng thái và dữ liệu được nêu.
2. GET /operations/trips?limit=20; tiếp tục bằng nextCursor.
3. Kiểm tra HTTP, phản hồi và dữ liệu sau thao tác.</x:v>
      </x:c>
      <x:c r="F16" s="11" t="str">
        <x:v>Dùng cursor nhận từ trang trước.</x:v>
      </x:c>
      <x:c r="G16" s="11" t="str">
        <x:v>Các trang 20/20/5 Trip, đúng thứ tự createdAt rồi tripId giảm dần; không trùng; trang cuối nextCursor=null.</x:v>
      </x:c>
      <x:c r="H16" s="11" t="str">
        <x:v>Low</x:v>
      </x:c>
      <x:c r="I16" s="14" t="str">
        <x:v>FR14; FR15; FR17; FR18; FR21; FR22; AC08; AC09; AC12; AC14</x:v>
      </x:c>
      <x:c r="J16" s="14" t="str">
        <x:v>GET /operations/trips?limit=20; tiếp tục bằng nextCursor</x:v>
      </x:c>
      <x:c r="K16" s="14" t="str">
        <x:v>Integration</x:v>
      </x:c>
      <x:c r="L16" s="14" t="str">
        <x:v>DEFINED</x:v>
      </x:c>
      <x:c r="M16" s="33"/>
      <x:c r="N16" s="33" t="str">
        <x:v>NOT_RUN</x:v>
      </x:c>
      <x:c r="O16" s="14" t="str">
        <x:v>Hợp đồng tham chiếu: 07-operations-api.yaml. Chưa chạy kiểm thử. Đối chiếu bản API 1.2 trong cuộc trao đổi; không xác nhận trạng thái commit GitHub.</x:v>
      </x:c>
      <x:c r="P16" s="14" t="str">
        <x:v>—</x:v>
      </x:c>
      <x:c r="Q16" s="14" t="str">
        <x:v>Request/response đã che token; dữ liệu trước/sau hoặc log kiểm tra có correlationId; môi trường, commit và thời gian chạy. Không ghi mật khẩu thật.</x:v>
      </x:c>
    </x:row>
    <x:row r="17" ht="104" customHeight="1">
      <x:c r="A17" s="11" t="str">
        <x:v>TC-ADMIN-016</x:v>
      </x:c>
      <x:c r="B17" s="11" t="str">
        <x:v>Quản lý và giám sát vận hành</x:v>
      </x:c>
      <x:c r="C17" s="11" t="str">
        <x:v>Truy cập chức năng quản trị khi chưa đăng nhập</x:v>
      </x:c>
      <x:c r="D17" s="11" t="str">
        <x:v>Không có access token hợp lệ Người gọi OPERATOR ACTIVE, Session hợp lệ trừ case kiểm tra quyền.</x:v>
      </x:c>
      <x:c r="E17" s="11" t="str">
        <x:v>1. Chuẩn bị dữ liệu và trạng thái trong Preconditions.
2. Gọi GET /operations/accounts với Test Data.
3. Đối chiếu HTTP, nội dung phản hồi và trạng thái lưu trữ với Expected Result.</x:v>
      </x:c>
      <x:c r="F17" s="11" t="str">
        <x:v>Header Authorization: (không có)</x:v>
      </x:c>
      <x:c r="G17" s="11" t="str">
        <x:v>API trả lỗi 401 Unauthorized</x:v>
      </x:c>
      <x:c r="H17" s="11" t="str">
        <x:v>High</x:v>
      </x:c>
      <x:c r="I17" s="14" t="str">
        <x:v>FR14; FR15; FR17; FR18; FR21; FR22; AC08; AC09; AC12; AC14</x:v>
      </x:c>
      <x:c r="J17" s="14" t="str">
        <x:v>GET /operations/accounts</x:v>
      </x:c>
      <x:c r="K17" s="14" t="str">
        <x:v>Integration</x:v>
      </x:c>
      <x:c r="L17" s="14" t="str">
        <x:v>DEFINED</x:v>
      </x:c>
      <x:c r="M17" s="33"/>
      <x:c r="N17" s="33" t="str">
        <x:v>NOT_RUN</x:v>
      </x:c>
      <x:c r="O17" s="14" t="str">
        <x:v>Hợp đồng tham chiếu: 07-operations-api.yaml. Chưa chạy kiểm thử. Đối chiếu bản API 1.2 trong cuộc trao đổi; không xác nhận trạng thái commit GitHub.</x:v>
      </x:c>
      <x:c r="P17" s="14" t="str">
        <x:v>—</x:v>
      </x:c>
      <x:c r="Q17" s="14" t="str">
        <x:v>Request/response đã che token; dữ liệu trước/sau hoặc log kiểm tra có correlationId; môi trường, commit và thời gian chạy. Không ghi mật khẩu thật.</x:v>
      </x:c>
    </x:row>
    <x:row r="18" ht="90" customHeight="1">
      <x:c r="A18" s="11" t="str">
        <x:v>TC-ADMIN-017</x:v>
      </x:c>
      <x:c r="B18" s="11" t="str">
        <x:v>Quản lý và giám sát vận hành</x:v>
      </x:c>
      <x:c r="C18" s="11" t="str">
        <x:v>Khôi phục ERROR và ghi nhận toàn bộ xử lý</x:v>
      </x:c>
      <x:c r="D18" s="11" t="str">
        <x:v>T1 ERROR; statusBeforeError=IN_PROGRESS; hai Incident OPEN; tài xế/xe đủ điều kiện.</x:v>
      </x:c>
      <x:c r="E18" s="11" t="str">
        <x:v>1. Chuẩn bị trạng thái và dữ liệu được nêu.
2. POST /operations/trips/T1/resolve-error.
3. Kiểm tra HTTP, phản hồi và dữ liệu sau thao tác.</x:v>
      </x:c>
      <x:c r="F18" s="11" t="str">
        <x:v>expectedTripVersion hiện tại; resolutionAction=RESTORE_PREVIOUS_STATUS; resolutionNote="Đã xác minh có thể tiếp tục"; khóa mới.</x:v>
      </x:c>
      <x:c r="G18" s="11" t="str">
        <x:v>200; T1 trở lại IN_PROGRESS, giữ startedAt; Driver BUSY; hai Incident RESOLVED, cùng action/note/resolvedAt/resolvedByAccountId; có audit.</x:v>
      </x:c>
      <x:c r="H18" s="11" t="str">
        <x:v>Medium</x:v>
      </x:c>
      <x:c r="I18" s="14" t="str">
        <x:v>FR14; FR15; FR17; FR18; FR21; FR22; AC08; AC09; AC12; AC14</x:v>
      </x:c>
      <x:c r="J18" s="14" t="str">
        <x:v>POST /operations/trips/T1/resolve-error</x:v>
      </x:c>
      <x:c r="K18" s="14" t="str">
        <x:v>Integration</x:v>
      </x:c>
      <x:c r="L18" s="14" t="str">
        <x:v>DEFINED</x:v>
      </x:c>
      <x:c r="M18" s="33"/>
      <x:c r="N18" s="33" t="str">
        <x:v>NOT_RUN</x:v>
      </x:c>
      <x:c r="O18" s="14" t="str">
        <x:v>Hợp đồng tham chiếu: 07-operations-api.yaml. Chưa chạy kiểm thử. Đối chiếu bản API 1.2 trong cuộc trao đổi; không xác nhận trạng thái commit GitHub.</x:v>
      </x:c>
      <x:c r="P18" s="14" t="str">
        <x:v>—</x:v>
      </x:c>
      <x:c r="Q18" s="14" t="str">
        <x:v>Request/response đã che token; dữ liệu trước/sau hoặc log kiểm tra có correlationId; môi trường, commit và thời gian chạy. Không ghi mật khẩu thật.</x:v>
      </x:c>
    </x:row>
    <x:row r="19" ht="90" customHeight="1">
      <x:c r="A19" s="11" t="str">
        <x:v>TC-ADMIN-018</x:v>
      </x:c>
      <x:c r="B19" s="11" t="str">
        <x:v>Quản lý và giám sát vận hành</x:v>
      </x:c>
      <x:c r="C19" s="11" t="str">
        <x:v>Nhân viên vận hành xem chi tiết một chuyến để hỗ trợ xử lý khi khách hàng phản ánh</x:v>
      </x:c>
      <x:c r="D19" s="11" t="str">
        <x:v>OPERATOR hợp lệ; T1 tồn tại.</x:v>
      </x:c>
      <x:c r="E19" s="11" t="str">
        <x:v>1. Chuẩn bị trạng thái và dữ liệu được nêu.
2. GET /trips/T1.
3. Kiểm tra HTTP, phản hồi và dữ liệu sau thao tác.</x:v>
      </x:c>
      <x:c r="F19" s="11" t="str">
        <x:v>Token OPERATOR.</x:v>
      </x:c>
      <x:c r="G19" s="11" t="str">
        <x:v>200; đúng Trip, khách/tài xế liên quan, trạng thái và lịch sử; không lộ thông tin xác thực.</x:v>
      </x:c>
      <x:c r="H19" s="11" t="str">
        <x:v>Medium</x:v>
      </x:c>
      <x:c r="I19" s="14" t="str">
        <x:v>FR14; FR15; FR17; FR18; FR21; FR22; AC08; AC09; AC12; AC14</x:v>
      </x:c>
      <x:c r="J19" s="14" t="str">
        <x:v>GET /trips/T1</x:v>
      </x:c>
      <x:c r="K19" s="14" t="str">
        <x:v>Integration</x:v>
      </x:c>
      <x:c r="L19" s="14" t="str">
        <x:v>DEFINED</x:v>
      </x:c>
      <x:c r="M19" s="33"/>
      <x:c r="N19" s="33" t="str">
        <x:v>NOT_RUN</x:v>
      </x:c>
      <x:c r="O19" s="14" t="str">
        <x:v>Hợp đồng tham chiếu: 07-operations-api.yaml. Chưa chạy kiểm thử. Đối chiếu bản API 1.2 trong cuộc trao đổi; không xác nhận trạng thái commit GitHub.</x:v>
      </x:c>
      <x:c r="P19" s="14" t="str">
        <x:v>—</x:v>
      </x:c>
      <x:c r="Q19" s="14" t="str">
        <x:v>Request/response đã che token; dữ liệu trước/sau hoặc log kiểm tra có correlationId; môi trường, commit và thời gian chạy. Không ghi mật khẩu thật.</x:v>
      </x:c>
    </x:row>
    <x:row r="20" ht="90" customHeight="1">
      <x:c r="A20" s="11" t="str">
        <x:v>TC-ADMIN-019</x:v>
      </x:c>
      <x:c r="B20" s="11" t="str">
        <x:v>Quản lý và giám sát vận hành</x:v>
      </x:c>
      <x:c r="C20" s="11" t="str">
        <x:v>Các thao tác quản trị nhạy cảm đều được ghi log đầy đủ</x:v>
      </x:c>
      <x:c r="D20" s="11" t="str">
        <x:v>Chuẩn bị Account và Trip ERROR đủ điều kiện thao tác.</x:v>
      </x:c>
      <x:c r="E20" s="11" t="str">
        <x:v>1. Chuẩn bị trạng thái và dữ liệu được nêu.
2. Khóa Account; xử lý Trip ERROR; kiểm tra AuditLog.
3. Kiểm tra HTTP, phản hồi và dữ liệu sau thao tác.</x:v>
      </x:c>
      <x:c r="F20" s="11" t="str">
        <x:v>Mỗi thao tác có version/khóa/lý do hợp lệ.</x:v>
      </x:c>
      <x:c r="G20" s="11" t="str">
        <x:v>Audit chứa actorAccountId, đối tượng, hành động, thời điểm, lý do/correlationId; không có password/token; phát lại cùng khóa không tạo thay đổi nghiệp vụ mới.</x:v>
      </x:c>
      <x:c r="H20" s="11" t="str">
        <x:v>Medium</x:v>
      </x:c>
      <x:c r="I20" s="14" t="str">
        <x:v>FR14; FR15; FR17; FR18; FR21; FR22; AC08; AC09; AC12; AC14</x:v>
      </x:c>
      <x:c r="J20" s="14" t="str">
        <x:v>Khóa Account; xử lý Trip ERROR; kiểm tra AuditLog</x:v>
      </x:c>
      <x:c r="K20" s="14" t="str">
        <x:v>Integration</x:v>
      </x:c>
      <x:c r="L20" s="14" t="str">
        <x:v>DEFINED</x:v>
      </x:c>
      <x:c r="M20" s="33"/>
      <x:c r="N20" s="33" t="str">
        <x:v>NOT_RUN</x:v>
      </x:c>
      <x:c r="O20" s="14" t="str">
        <x:v>Hợp đồng tham chiếu: 07-operations-api.yaml. Chưa chạy kiểm thử. Đối chiếu bản API 1.2 trong cuộc trao đổi; không xác nhận trạng thái commit GitHub.</x:v>
      </x:c>
      <x:c r="P20" s="14" t="str">
        <x:v>—</x:v>
      </x:c>
      <x:c r="Q20" s="14" t="str">
        <x:v>Request/response đã che token; dữ liệu trước/sau hoặc log kiểm tra có correlationId; môi trường, commit và thời gian chạy. Không ghi mật khẩu thật.</x:v>
      </x:c>
    </x:row>
    <x:row r="21" ht="90" customHeight="1">
      <x:c r="A21" s="11" t="str">
        <x:v>TC-ADMIN-020</x:v>
      </x:c>
      <x:c r="B21" s="11" t="str">
        <x:v>Quản lý và giám sát vận hành</x:v>
      </x:c>
      <x:c r="C21" s="11" t="str">
        <x:v>Nhân viên vận hành xem đồng thời nhiều chuyến đang diễn ra không bị nhầm lẫn dữ liệu</x:v>
      </x:c>
      <x:c r="D21" s="11" t="str">
        <x:v>T1,T2,T3 đang hoạt động với ba Driver khác nhau.</x:v>
      </x:c>
      <x:c r="E21" s="11" t="str">
        <x:v>1. Chuẩn bị trạng thái và dữ liệu được nêu.
2. GET /operations/trips; GET /trips/{tripId}/tracking cho từng Trip.
3. Kiểm tra HTTP, phản hồi và dữ liệu sau thao tác.</x:v>
      </x:c>
      <x:c r="F21" s="11" t="str">
        <x:v>T1,T2,T3; nguồn GPS riêng từng Driver.</x:v>
      </x:c>
      <x:c r="G21" s="11" t="str">
        <x:v>Mỗi response đúng tripId/driverId/location; dữ liệu các chuyến không lẫn nhau.</x:v>
      </x:c>
      <x:c r="H21" s="11" t="str">
        <x:v>Medium</x:v>
      </x:c>
      <x:c r="I21" s="14" t="str">
        <x:v>FR14; FR15; FR17; FR18; FR21; FR22; AC08; AC09; AC12; AC14</x:v>
      </x:c>
      <x:c r="J21" s="14" t="str">
        <x:v>GET /operations/trips; GET /trips/{tripId}/tracking cho từng Trip</x:v>
      </x:c>
      <x:c r="K21" s="14" t="str">
        <x:v>Integration</x:v>
      </x:c>
      <x:c r="L21" s="14" t="str">
        <x:v>DEFINED</x:v>
      </x:c>
      <x:c r="M21" s="33"/>
      <x:c r="N21" s="33" t="str">
        <x:v>NOT_RUN</x:v>
      </x:c>
      <x:c r="O21" s="14" t="str">
        <x:v>Hợp đồng tham chiếu: 07-operations-api.yaml. Chưa chạy kiểm thử. Đối chiếu bản API 1.2 trong cuộc trao đổi; không xác nhận trạng thái commit GitHub.</x:v>
      </x:c>
      <x:c r="P21" s="14" t="str">
        <x:v>—</x:v>
      </x:c>
      <x:c r="Q21" s="14" t="str">
        <x:v>Request/response đã che token; dữ liệu trước/sau hoặc log kiểm tra có correlationId; môi trường, commit và thời gian chạy. Không ghi mật khẩu thật.</x:v>
      </x:c>
    </x:row>
    <x:row r="22" ht="90" customHeight="1">
      <x:c r="A22" s="14" t="str">
        <x:v>TC-ADMIN-021</x:v>
      </x:c>
      <x:c r="B22" s="14" t="str">
        <x:v>Quản lý và giám sát vận hành</x:v>
      </x:c>
      <x:c r="C22" s="14" t="str">
        <x:v>Tạo Account và Driver nhất quán</x:v>
      </x:c>
      <x:c r="D22" s="14" t="str">
        <x:v>OPERATOR ACTIVE; email/phone/license chưa tồn tại.</x:v>
      </x:c>
      <x:c r="E22" s="14" t="str">
        <x:v>1. Thiết lập fixture và trạng thái theo Preconditions.
2. POST /operations/drivers với Test Data.
3. Đối chiếu phản hồi và dữ liệu lưu trữ theo Expected Result.</x:v>
      </x:c>
      <x:c r="F22" s="14" t="str">
        <x:v>fullName="Tài xế Test"; email=driver-new@example.com; phone=+84900000003; initialPassword=Password@123; licenseNumber=TEST-LIC-001; khóa mới.</x:v>
      </x:c>
      <x:c r="G22" s="14" t="str">
        <x:v>Không thực thi đường dẫn cũ. Xem ca thay thế TC-DREG-008.</x:v>
      </x:c>
      <x:c r="H22" s="14" t="str">
        <x:v>High</x:v>
      </x:c>
      <x:c r="I22" s="14" t="str">
        <x:v>FR14; FR15; FR17; FR18; FR21; FR22; AC08; AC09; AC12; AC14</x:v>
      </x:c>
      <x:c r="J22" s="14" t="str">
        <x:v>POST /operations/drivers</x:v>
      </x:c>
      <x:c r="K22" s="14" t="str">
        <x:v>Integration</x:v>
      </x:c>
      <x:c r="L22" s="14" t="str">
        <x:v>SUPERSEDED</x:v>
      </x:c>
      <x:c r="M22" s="33"/>
      <x:c r="N22" s="33" t="str">
        <x:v>NOT_RUN</x:v>
      </x:c>
      <x:c r="O22" s="14" t="str">
        <x:v>Giữ nguyên mã và API cũ chỉ để truy vết; API 07 phiên bản 1.2 đã bỏ thao tác này. Không tính ca vào phạm vi chạy.</x:v>
      </x:c>
      <x:c r="P22" s="14" t="str">
        <x:v>—</x:v>
      </x:c>
      <x:c r="Q22" s="14" t="str">
        <x:v>Request/response đã che token; dữ liệu trước/sau hoặc log kiểm tra có correlationId; môi trường, commit và thời gian chạy. Không ghi mật khẩu thật.</x:v>
      </x:c>
    </x:row>
    <x:row r="23" ht="90" customHeight="1">
      <x:c r="A23" s="14" t="str">
        <x:v>TC-ADMIN-022</x:v>
      </x:c>
      <x:c r="B23" s="14" t="str">
        <x:v>Quản lý và giám sát vận hành</x:v>
      </x:c>
      <x:c r="C23" s="14" t="str">
        <x:v>Duyệt hồ sơ không tự bật AVAILABLE</x:v>
      </x:c>
      <x:c r="D23" s="14" t="str">
        <x:v>O1 OPERATOR; Application A1 SUBMITTED; D1 PENDING_APPROVAL/OFFLINE; Account ACTIVE; xe khai báo chưa tồn tại; chưa có Trip hoặc phân công.</x:v>
      </x:c>
      <x:c r="E23" s="14" t="str">
        <x:v>1. Đọc version A1 và D1.
2. Gửi review APPROVED.
3. Đọc Application, Driver, VehicleAssignment, Vehicle và outbox trong cơ sở dữ liệu kiểm thử.</x:v>
      </x:c>
      <x:c r="F23" s="14" t="str">
        <x:v>decision=APPROVED; expectedVersion của A1 và expectedDriverVersion đúng; Idempotency-Key mới.</x:v>
      </x:c>
      <x:c r="G23" s="14" t="str">
        <x:v>200; Application APPROVED, Driver APPROVED/OFFLINE; tạo xe ACTIVE và phân công nguyên tử; hai version tăng một lần; có DRIVER_APPLICATION_APPROVED. Không tự online.</x:v>
      </x:c>
      <x:c r="H23" s="14" t="str">
        <x:v>High</x:v>
      </x:c>
      <x:c r="I23" s="14" t="str">
        <x:v>FR14; FR15; FR17; FR18; FR21; FR22; AC08; AC09; AC12; AC14</x:v>
      </x:c>
      <x:c r="J23" s="14" t="str">
        <x:v>POST /operations/driver-applications/A1/review</x:v>
      </x:c>
      <x:c r="K23" s="14" t="str">
        <x:v>Integration</x:v>
      </x:c>
      <x:c r="L23" s="14" t="str">
        <x:v>DEFINED</x:v>
      </x:c>
      <x:c r="M23" s="33"/>
      <x:c r="N23" s="33" t="str">
        <x:v>NOT_RUN</x:v>
      </x:c>
      <x:c r="O23" s="14" t="str">
        <x:v>Bổ sung theo thiết kế đã duyệt; chưa chạy kiểm thử. Tham chiếu: 07-operations-api.yaml. Đối chiếu bản API 1.2 trong cuộc trao đổi; không xác nhận trạng thái commit GitHub.</x:v>
      </x:c>
      <x:c r="P23" s="14" t="str">
        <x:v>R22</x:v>
      </x:c>
      <x:c r="Q23" s="14" t="str">
        <x:v>Request/response đã che token; dữ liệu trước/sau hoặc log kiểm tra có correlationId; môi trường, commit và thời gian chạy. Không ghi mật khẩu thật.</x:v>
      </x:c>
    </x:row>
    <x:row r="24" ht="104" customHeight="1">
      <x:c r="A24" s="14" t="str">
        <x:v>TC-ADMIN-023</x:v>
      </x:c>
      <x:c r="B24" s="14" t="str">
        <x:v>Quản lý và giám sát vận hành</x:v>
      </x:c>
      <x:c r="C24" s="14" t="str">
        <x:v>Một xe không gán đồng thời cho hai tài xế</x:v>
      </x:c>
      <x:c r="D24" s="14" t="str">
        <x:v>D1/D2 OFFLINE, hồ sơ APPROVED, Account ACTIVE; V1 ACTIVE chưa gán.</x:v>
      </x:c>
      <x:c r="E24" s="14" t="str">
        <x:v>1. Thiết lập fixture và trạng thái theo Preconditions.
2. Gửi đồng thời PUT /operations/drivers/{driverId}/vehicle cho D1/D2 với Test Data.
3. Đối chiếu phản hồi và dữ liệu lưu trữ theo Expected Result.</x:v>
      </x:c>
      <x:c r="F24" s="14" t="str">
        <x:v>Cùng vehicleId=V1; version driver/vehicle đúng tại lúc đọc; hai khóa riêng.</x:v>
      </x:c>
      <x:c r="G24" s="14" t="str">
        <x:v>Chỉ một phân công thành công; yêu cầu kia 409; liên kết Driver/Vehicle nhất quán, không có hai tài xế cùng xe.</x:v>
      </x:c>
      <x:c r="H24" s="14" t="str">
        <x:v>High</x:v>
      </x:c>
      <x:c r="I24" s="14" t="str">
        <x:v>FR14; FR15; FR17; FR18; FR21; FR22; AC08; AC09; AC12; AC14</x:v>
      </x:c>
      <x:c r="J24" s="14" t="str">
        <x:v>Gửi đồng thời PUT /operations/drivers/{driverId}/vehicle cho D1/D2</x:v>
      </x:c>
      <x:c r="K24" s="14" t="str">
        <x:v>Integration</x:v>
      </x:c>
      <x:c r="L24" s="14" t="str">
        <x:v>DEFINED</x:v>
      </x:c>
      <x:c r="M24" s="33"/>
      <x:c r="N24" s="33" t="str">
        <x:v>NOT_RUN</x:v>
      </x:c>
      <x:c r="O24" s="14" t="str">
        <x:v>Bổ sung theo thiết kế đã duyệt; chưa chạy kiểm thử. Tham chiếu: 07-operations-api.yaml. Đối chiếu bản API 1.2 trong cuộc trao đổi; không xác nhận trạng thái commit GitHub.</x:v>
      </x:c>
      <x:c r="P24" s="14" t="str">
        <x:v>—</x:v>
      </x:c>
      <x:c r="Q24" s="14" t="str">
        <x:v>Request/response đã che token; dữ liệu trước/sau hoặc log kiểm tra có correlationId; môi trường, commit và thời gian chạy. Không ghi mật khẩu thật.</x:v>
      </x:c>
    </x:row>
    <x:row r="25" ht="104" customHeight="1">
      <x:c r="A25" s="14" t="str">
        <x:v>TC-ADMIN-024</x:v>
      </x:c>
      <x:c r="B25" s="14" t="str">
        <x:v>Quản lý và giám sát vận hành</x:v>
      </x:c>
      <x:c r="C25" s="14" t="str">
        <x:v>BUSY không được tự chuyển OFFLINE</x:v>
      </x:c>
      <x:c r="D25" s="14" t="str">
        <x:v>D1 BUSY với T1 đang hoạt động; token DRIVER D1.</x:v>
      </x:c>
      <x:c r="E25" s="14" t="str">
        <x:v>1. Thiết lập fixture và trạng thái theo Preconditions.
2. PUT /drivers/me/availability với Test Data.
3. Đối chiếu phản hồi và dữ liệu lưu trữ theo Expected Result.</x:v>
      </x:c>
      <x:c r="F25" s="14" t="str">
        <x:v>{"driverStatus":"OFFLINE","expectedVersion":3}; khóa mới.</x:v>
      </x:c>
      <x:c r="G25" s="14" t="str">
        <x:v>409; Driver BUSY; T1 không bị hủy hoặc giải phóng.</x:v>
      </x:c>
      <x:c r="H25" s="14" t="str">
        <x:v>High</x:v>
      </x:c>
      <x:c r="I25" s="14" t="str">
        <x:v>FR18; AC09</x:v>
      </x:c>
      <x:c r="J25" s="14" t="str">
        <x:v>PUT /drivers/me/availability</x:v>
      </x:c>
      <x:c r="K25" s="14" t="str">
        <x:v>Integration</x:v>
      </x:c>
      <x:c r="L25" s="14" t="str">
        <x:v>DEFINED</x:v>
      </x:c>
      <x:c r="M25" s="33"/>
      <x:c r="N25" s="33" t="str">
        <x:v>NOT_RUN</x:v>
      </x:c>
      <x:c r="O25" s="14" t="str">
        <x:v>Bổ sung theo thiết kế đã duyệt; chưa chạy kiểm thử. Tham chiếu: 07-operations-api.yaml. Đối chiếu bản API 1.2 trong cuộc trao đổi; không xác nhận trạng thái commit GitHub.</x:v>
      </x:c>
      <x:c r="P25" s="14" t="str">
        <x:v>R23</x:v>
      </x:c>
      <x:c r="Q25" s="14" t="str">
        <x:v>Request/response đã che token; dữ liệu trước/sau hoặc log kiểm tra có correlationId; môi trường, commit và thời gian chạy. Không ghi mật khẩu thật.</x:v>
      </x:c>
    </x:row>
    <x:row r="26" ht="104" customHeight="1">
      <x:c r="A26" s="14" t="str">
        <x:v>TC-ADMIN-025</x:v>
      </x:c>
      <x:c r="B26" s="14" t="str">
        <x:v>Quản lý và giám sát vận hành</x:v>
      </x:c>
      <x:c r="C26" s="14" t="str">
        <x:v>Đóng ERROR bất thường không giả COMPLETED</x:v>
      </x:c>
      <x:c r="D26" s="14" t="str">
        <x:v>T1 ERROR chưa đóng; có Incident OPEN; D1 không đủ điều kiện AVAILABLE do GPS cũ.</x:v>
      </x:c>
      <x:c r="E26" s="14" t="str">
        <x:v>1. Thiết lập fixture và trạng thái theo Preconditions.
2. POST /operations/trips/T1/resolve-error với Test Data.
3. Đối chiếu phản hồi và dữ liệu lưu trữ theo Expected Result.</x:v>
      </x:c>
      <x:c r="F26" s="14" t="str">
        <x:v>CLOSE_ABNORMALLY; version hiện tại; resolutionNote="Không thể tiếp tục"; khóa mới.</x:v>
      </x:c>
      <x:c r="G26" s="14" t="str">
        <x:v>200; T1 vẫn ERROR, có closedAt/closeReason, không completedAt; Incident RESOLVED; D1 OFFLINE; không tự tạo Fare/Payment.</x:v>
      </x:c>
      <x:c r="H26" s="14" t="str">
        <x:v>High</x:v>
      </x:c>
      <x:c r="I26" s="14" t="str">
        <x:v>FR14; FR15; FR17; FR18; FR21; FR22; AC08; AC09; AC12; AC14</x:v>
      </x:c>
      <x:c r="J26" s="14" t="str">
        <x:v>POST /operations/trips/T1/resolve-error</x:v>
      </x:c>
      <x:c r="K26" s="14" t="str">
        <x:v>Integration</x:v>
      </x:c>
      <x:c r="L26" s="14" t="str">
        <x:v>DEFINED</x:v>
      </x:c>
      <x:c r="M26" s="33"/>
      <x:c r="N26" s="33" t="str">
        <x:v>NOT_RUN</x:v>
      </x:c>
      <x:c r="O26" s="14" t="str">
        <x:v>Bổ sung theo thiết kế đã duyệt; chưa chạy kiểm thử. Tham chiếu: 07-operations-api.yaml. Đối chiếu bản API 1.2 trong cuộc trao đổi; không xác nhận trạng thái commit GitHub.</x:v>
      </x:c>
      <x:c r="P26" s="14" t="str">
        <x:v>—</x:v>
      </x:c>
      <x:c r="Q26" s="14" t="str">
        <x:v>Request/response đã che token; dữ liệu trước/sau hoặc log kiểm tra có correlationId; môi trường, commit và thời gian chạy. Không ghi mật khẩu thật.</x:v>
      </x:c>
    </x:row>
    <x:row r="27" ht="104" customHeight="1">
      <x:c r="A27" s="14" t="str">
        <x:v>TC-ADMIN-026</x:v>
      </x:c>
      <x:c r="B27" s="14" t="str">
        <x:v>Quản lý và giám sát vận hành</x:v>
      </x:c>
      <x:c r="C27" s="14" t="str">
        <x:v>Giá tương lai áp dụng đúng thời điểm</x:v>
      </x:c>
      <x:c r="D27" s="14" t="str">
        <x:v>V1 hiệu lực hiện tại; V2 cùng loại xe có effectiveFrom=t1 trong tương lai; dùng hai Customer độc lập.</x:v>
      </x:c>
      <x:c r="E27" s="14" t="str">
        <x:v>1. Thiết lập fixture và trạng thái theo Preconditions.
2. POST /operations/pricing; tạo Booking trước và sau t1 với Test Data.
3. Đối chiếu phản hồi và dữ liệu lưu trữ theo Expected Result.</x:v>
      </x:c>
      <x:c r="F27" s="14" t="str">
        <x:v>V1/V2 có giá khác; mỗi Booking có khóa mới và đủ điều kiện.</x:v>
      </x:c>
      <x:c r="G27" s="14" t="str">
        <x:v>Booking trước t1 dùng V1; từ t1 dùng V2; Booking trước không đổi snapshot; không hồi tố giá.</x:v>
      </x:c>
      <x:c r="H27" s="14" t="str">
        <x:v>High</x:v>
      </x:c>
      <x:c r="I27" s="14" t="str">
        <x:v>FR14; FR15; FR17; FR18; FR21; FR22; AC08; AC09; AC12; AC14</x:v>
      </x:c>
      <x:c r="J27" s="14" t="str">
        <x:v>POST /operations/pricing; tạo Booking trước và sau t1</x:v>
      </x:c>
      <x:c r="K27" s="14" t="str">
        <x:v>Integration</x:v>
      </x:c>
      <x:c r="L27" s="14" t="str">
        <x:v>DEFINED</x:v>
      </x:c>
      <x:c r="M27" s="33"/>
      <x:c r="N27" s="33" t="str">
        <x:v>NOT_RUN</x:v>
      </x:c>
      <x:c r="O27" s="14" t="str">
        <x:v>Bổ sung theo thiết kế đã duyệt; chưa chạy kiểm thử. Tham chiếu: 07-operations-api.yaml. Đối chiếu bản API 1.2 trong cuộc trao đổi; không xác nhận trạng thái commit GitHub.</x:v>
      </x:c>
      <x:c r="P27" s="14" t="str">
        <x:v>—</x:v>
      </x:c>
      <x:c r="Q27" s="14" t="str">
        <x:v>Request/response đã che token; dữ liệu trước/sau hoặc log kiểm tra có correlationId; môi trường, commit và thời gian chạy. Không ghi mật khẩu thật.</x:v>
      </x:c>
    </x:row>
    <x:row r="28" ht="104" customHeight="1">
      <x:c r="A28" s="14" t="str">
        <x:v>TC-ADMIN-027</x:v>
      </x:c>
      <x:c r="B28" s="14" t="str">
        <x:v>Quản lý và giám sát vận hành</x:v>
      </x:c>
      <x:c r="C28" s="14" t="str">
        <x:v>Báo cáo không tính khoản chưa thu và chia cho 0</x:v>
      </x:c>
      <x:c r="D28" s="14" t="str">
        <x:v>Khoảng [from,to) không có Trip mới; P1 SUCCESS paidAt trong kỳ=55000; P2 PENDING=30000; P3 UNKNOWN=40000; P4 SUCCESS paidAt=to.</x:v>
      </x:c>
      <x:c r="E28" s="14" t="str">
        <x:v>1. Thiết lập fixture và trạng thái theo Preconditions.
2. GET /operations/reports/summary với Test Data.
3. Đối chiếu phản hồi và dữ liệu lưu trữ theo Expected Result.</x:v>
      </x:c>
      <x:c r="F28" s="14" t="str">
        <x:v>from/to có timezone; các Payment thuộc Trip tạo trước kỳ.</x:v>
      </x:c>
      <x:c r="G28" s="14" t="str">
        <x:v>totalTrips=0; cancellationRate=null; successfulPayments=1; collectedRevenue=55000 VND; không tính P2/P3 hoặc P4 ở biên to.</x:v>
      </x:c>
      <x:c r="H28" s="14" t="str">
        <x:v>High</x:v>
      </x:c>
      <x:c r="I28" s="14" t="str">
        <x:v>FR22; AC14</x:v>
      </x:c>
      <x:c r="J28" s="14" t="str">
        <x:v>GET /operations/reports/summary</x:v>
      </x:c>
      <x:c r="K28" s="14" t="str">
        <x:v>Integration</x:v>
      </x:c>
      <x:c r="L28" s="14" t="str">
        <x:v>DEFINED</x:v>
      </x:c>
      <x:c r="M28" s="33"/>
      <x:c r="N28" s="33" t="str">
        <x:v>NOT_RUN</x:v>
      </x:c>
      <x:c r="O28" s="14" t="str">
        <x:v>Báo cáo là phạm vi tùy chọn của SRS; kiểm thử khi chức năng này được triển khai. Tham chiếu: 07-operations-api.yaml. Đối chiếu bản API 1.2 trong cuộc trao đổi; không xác nhận trạng thái commit GitHub.</x:v>
      </x:c>
      <x:c r="P28" s="14" t="str">
        <x:v>—</x:v>
      </x:c>
      <x:c r="Q28" s="14" t="str">
        <x:v>Request/response đã che token; dữ liệu trước/sau hoặc log kiểm tra có correlationId; môi trường, commit và thời gian chạy. Không ghi mật khẩu thật.</x:v>
      </x:c>
    </x:row>
    <x:row r="29" ht="119" customHeight="1">
      <x:c r="A29" s="14" t="str">
        <x:v>TC-ADMIN-028</x:v>
      </x:c>
      <x:c r="B29" s="14" t="str">
        <x:v>Quản lý và giám sát vận hành</x:v>
      </x:c>
      <x:c r="C29" s="14" t="str">
        <x:v>Khóa Driver đang có Trip không tự kết thúc chuyến</x:v>
      </x:c>
      <x:c r="D29" s="14" t="str">
        <x:v>D1 Account ACTIVE, nhiều Session, Driver BUSY với T1 IN_PROGRESS.</x:v>
      </x:c>
      <x:c r="E29" s="14" t="str">
        <x:v>1. Thiết lập fixture và trạng thái theo Preconditions.
2. PATCH /operations/accounts/{accountId}/status; thử lại token và điều phối với Test Data.
3. Đối chiếu phản hồi và dữ liệu lưu trữ theo Expected Result.</x:v>
      </x:c>
      <x:c r="F29" s="14" t="str">
        <x:v>SUSPENDED; expectedVersion đúng; reason; khóa mới.</x:v>
      </x:c>
      <x:c r="G29" s="14" t="str">
        <x:v>Thu hồi mọi Session; chặn phân công mới; Driver giữ BUSY; T1 không tự COMPLETED/CANCELLED; activeTripIds có T1 để OPERATOR xử lý tiếp.</x:v>
      </x:c>
      <x:c r="H29" s="14" t="str">
        <x:v>High</x:v>
      </x:c>
      <x:c r="I29" s="14" t="str">
        <x:v>FR14; FR15; FR17; FR18; FR21; FR22; AC08; AC09; AC12; AC14</x:v>
      </x:c>
      <x:c r="J29" s="14" t="str">
        <x:v>PATCH /operations/accounts/{accountId}/status; thử lại token và điều phối</x:v>
      </x:c>
      <x:c r="K29" s="14" t="str">
        <x:v>Integration</x:v>
      </x:c>
      <x:c r="L29" s="14" t="str">
        <x:v>DEFINED</x:v>
      </x:c>
      <x:c r="M29" s="33"/>
      <x:c r="N29" s="33" t="str">
        <x:v>NOT_RUN</x:v>
      </x:c>
      <x:c r="O29" s="14" t="str">
        <x:v>Bổ sung theo thiết kế đã duyệt; chưa chạy kiểm thử. Tham chiếu: 07-operations-api.yaml. Đối chiếu bản API 1.2 trong cuộc trao đổi; không xác nhận trạng thái commit GitHub.</x:v>
      </x:c>
      <x:c r="P29" s="14" t="str">
        <x:v>—</x:v>
      </x:c>
      <x:c r="Q29" s="14" t="str">
        <x:v>Request/response đã che token; dữ liệu trước/sau hoặc log kiểm tra có correlationId; môi trường, commit và thời gian chạy. Không ghi mật khẩu thật.</x:v>
      </x:c>
    </x:row>
    <x:row r="30" ht="119" customHeight="1">
      <x:c r="A30" s="14" t="str">
        <x:v>TC-ADMIN-029</x:v>
      </x:c>
      <x:c r="B30" s="14" t="str">
        <x:v>Admin</x:v>
      </x:c>
      <x:c r="C30" s="14" t="str">
        <x:v>Phân công xe đồng thời giữ nguồn VehicleAssignment duy nhất</x:v>
      </x:c>
      <x:c r="D30" s="14" t="str">
        <x:v>Hai Driver APPROVED/OFFLINE; V1 ACTIVE chưa gán.</x:v>
      </x:c>
      <x:c r="E30" s="14" t="str">
        <x:v>1. Chuẩn bị fixture độc lập theo Preconditions.
2. PUT /operations/drivers/{driverId}/vehicle đồng thời với Test Data; lưu phản hồi và correlationId.
3. Đối chiếu từng điều kiện Expected Result với dữ liệu sau thao tác.</x:v>
      </x:c>
      <x:c r="F30" s="14" t="str">
        <x:v>D1/D2 cùng V1 và version lúc đọc; hai key</x:v>
      </x:c>
      <x:c r="G30" s="14" t="str">
        <x:v>Một thao tác thành công; thao tác kia 409; VehicleAssignment có một liên kết hiệu lực; projection Driver/Vehicle nhất quán.</x:v>
      </x:c>
      <x:c r="H30" s="14" t="str">
        <x:v>High</x:v>
      </x:c>
      <x:c r="I30" s="14" t="str">
        <x:v>API 1.2; rubric liên kết</x:v>
      </x:c>
      <x:c r="J30" s="14" t="str">
        <x:v>PUT /operations/drivers/{driverId}/vehicle đồng thời</x:v>
      </x:c>
      <x:c r="K30" s="14" t="str">
        <x:v>Integration</x:v>
      </x:c>
      <x:c r="L30" s="14" t="str">
        <x:v>DEFINED</x:v>
      </x:c>
      <x:c r="M30" s="33"/>
      <x:c r="N30" s="33" t="str">
        <x:v>NOT_RUN</x:v>
      </x:c>
      <x:c r="O30" s="14" t="str">
        <x:v>Chưa chạy. Fixture giả trong môi trường kiểm thử cô lập.</x:v>
      </x:c>
      <x:c r="P30" s="14" t="str">
        <x:v>R23</x:v>
      </x:c>
      <x:c r="Q30" s="14" t="str">
        <x:v>Request/response đã che token; dữ liệu trước/sau hoặc log kiểm tra có correlationId; môi trường, commit và thời gian chạy. Không ghi mật khẩu thật.</x:v>
      </x:c>
    </x:row>
    <x:row r="31" ht="104" customHeight="1">
      <x:c r="A31" s="14" t="str">
        <x:v>TC-ADMIN-030</x:v>
      </x:c>
      <x:c r="B31" s="14" t="str">
        <x:v>Admin</x:v>
      </x:c>
      <x:c r="C31" s="14" t="str">
        <x:v>Replay resolve-error không giải phóng chuyến mới</x:v>
      </x:c>
      <x:c r="D31" s="14" t="str">
        <x:v>T1 đã đóng ERROR bằng K1; C1/D1 có công việc mới sau đó.</x:v>
      </x:c>
      <x:c r="E31" s="14" t="str">
        <x:v>1. Chuẩn bị fixture độc lập theo Preconditions.
2. POST /operations/trips/T1/resolve-error với Test Data; lưu phản hồi và correlationId.
3. Đối chiếu từng điều kiện Expected Result với dữ liệu sau thao tác.</x:v>
      </x:c>
      <x:c r="F31" s="14" t="str">
        <x:v>K1 và body đã thành công</x:v>
      </x:c>
      <x:c r="G31" s="14" t="str">
        <x:v>200 snapshot cũ; guard/công việc mới không thay đổi; không outbox/audit nghiệp vụ lần hai.</x:v>
      </x:c>
      <x:c r="H31" s="14" t="str">
        <x:v>High</x:v>
      </x:c>
      <x:c r="I31" s="14" t="str">
        <x:v>API 1.2; rubric liên kết</x:v>
      </x:c>
      <x:c r="J31" s="14" t="str">
        <x:v>POST /operations/trips/T1/resolve-error</x:v>
      </x:c>
      <x:c r="K31" s="14" t="str">
        <x:v>Integration</x:v>
      </x:c>
      <x:c r="L31" s="14" t="str">
        <x:v>DEFINED</x:v>
      </x:c>
      <x:c r="M31" s="33"/>
      <x:c r="N31" s="33" t="str">
        <x:v>NOT_RUN</x:v>
      </x:c>
      <x:c r="O31" s="14" t="str">
        <x:v>Chưa chạy. Fixture giả trong môi trường kiểm thử cô lập.</x:v>
      </x:c>
      <x:c r="P31" s="14" t="str">
        <x:v>—</x:v>
      </x:c>
      <x:c r="Q31" s="14" t="str">
        <x:v>Request/response đã che token; dữ liệu trước/sau hoặc log kiểm tra có correlationId; môi trường, commit và thời gian chạy. Không ghi mật khẩu thật.</x:v>
      </x:c>
    </x:row>
    <x:row r="32" ht="119" customHeight="1">
      <x:c r="A32" s="14" t="str">
        <x:v>TC-ADMIN-031</x:v>
      </x:c>
      <x:c r="B32" s="14" t="str">
        <x:v>Admin</x:v>
      </x:c>
      <x:c r="C32" s="14" t="str">
        <x:v>Thêm Incident cạnh tranh với resolve-error</x:v>
      </x:c>
      <x:c r="D32" s="14" t="str">
        <x:v>T1 ERROR version v; có Incident OPEN; hai request cùng đọc v.</x:v>
      </x:c>
      <x:c r="E32" s="14" t="str">
        <x:v>1. Chuẩn bị fixture độc lập theo Preconditions.
2. POST thêm Incident và POST resolve-error đồng thời với Test Data; lưu phản hồi và correlationId.
3. Đối chiếu từng điều kiện Expected Result với dữ liệu sau thao tác.</x:v>
      </x:c>
      <x:c r="F32" s="14" t="str">
        <x:v>Hai key khác nhau; cùng expectedTripVersion=v</x:v>
      </x:c>
      <x:c r="G32" s="14" t="str">
        <x:v>Một request commit trước; request version cũ trả 409; không đóng Trip rồi để Incident OPEN bị bỏ sót.</x:v>
      </x:c>
      <x:c r="H32" s="14" t="str">
        <x:v>High</x:v>
      </x:c>
      <x:c r="I32" s="14" t="str">
        <x:v>API 1.2; rubric liên kết</x:v>
      </x:c>
      <x:c r="J32" s="14" t="str">
        <x:v>POST thêm Incident và POST resolve-error đồng thời</x:v>
      </x:c>
      <x:c r="K32" s="14" t="str">
        <x:v>Integration</x:v>
      </x:c>
      <x:c r="L32" s="14" t="str">
        <x:v>DEFINED</x:v>
      </x:c>
      <x:c r="M32" s="33"/>
      <x:c r="N32" s="33" t="str">
        <x:v>NOT_RUN</x:v>
      </x:c>
      <x:c r="O32" s="14" t="str">
        <x:v>Chưa chạy. Fixture giả trong môi trường kiểm thử cô lập.</x:v>
      </x:c>
      <x:c r="P32" s="14" t="str">
        <x:v>—</x:v>
      </x:c>
      <x:c r="Q32" s="14" t="str">
        <x:v>Request/response đã che token; dữ liệu trước/sau hoặc log kiểm tra có correlationId; môi trường, commit và thời gian chạy. Không ghi mật khẩu thật.</x:v>
      </x:c>
    </x:row>
    <x:row r="33" ht="119" customHeight="1">
      <x:c r="A33" s="14" t="str">
        <x:v>TC-ADMIN-032</x:v>
      </x:c>
      <x:c r="B33" s="14" t="str">
        <x:v>Admin</x:v>
      </x:c>
      <x:c r="C33" s="14" t="str">
        <x:v>Version xe cũ không được chiếm phân công</x:v>
      </x:c>
      <x:c r="D33" s="14" t="str">
        <x:v>O1 đang xét duyệt A1 với V1; version V1 đã thay đổi sau khi đọc.</x:v>
      </x:c>
      <x:c r="E33" s="14" t="str">
        <x:v>1. Chuẩn bị fixture độc lập theo Preconditions.
2. POST /operations/driver-applications/A1/review với Test Data; lưu phản hồi và correlationId.
3. Đối chiếu từng điều kiện Expected Result với dữ liệu sau thao tác.</x:v>
      </x:c>
      <x:c r="F33" s="14" t="str">
        <x:v>APPROVED với expectedVehicleVersion cũ</x:v>
      </x:c>
      <x:c r="G33" s="14" t="str">
        <x:v>409 VERSION_CONFLICT; A1/D1/VehicleAssignment không thay đổi một phần.</x:v>
      </x:c>
      <x:c r="H33" s="14" t="str">
        <x:v>High</x:v>
      </x:c>
      <x:c r="I33" s="14" t="str">
        <x:v>API 1.2; rubric liên kết</x:v>
      </x:c>
      <x:c r="J33" s="14" t="str">
        <x:v>POST /operations/driver-applications/A1/review</x:v>
      </x:c>
      <x:c r="K33" s="14" t="str">
        <x:v>Integration</x:v>
      </x:c>
      <x:c r="L33" s="14" t="str">
        <x:v>DEFINED</x:v>
      </x:c>
      <x:c r="M33" s="33"/>
      <x:c r="N33" s="33" t="str">
        <x:v>NOT_RUN</x:v>
      </x:c>
      <x:c r="O33" s="14" t="str">
        <x:v>Chưa chạy. Fixture giả trong môi trường kiểm thử cô lập.</x:v>
      </x:c>
      <x:c r="P33" s="14" t="str">
        <x:v>R22</x:v>
      </x:c>
      <x:c r="Q33" s="14" t="str">
        <x:v>Request/response đã che token; dữ liệu trước/sau hoặc log kiểm tra có correlationId; môi trường, commit và thời gian chạy. Không ghi mật khẩu thật.</x:v>
      </x:c>
    </x:row>
  </x:sheetData>
  <x:conditionalFormatting sqref="L2:L29">
    <x:cfRule type="containsText" dxfId="30" priority="1" operator="containsText" text="NEEDS_DECISION"/>
  </x:conditionalFormatting>
  <x:conditionalFormatting sqref="N2:N29">
    <x:cfRule type="containsText" dxfId="31" priority="2" operator="containsText" text="FAIL"/>
    <x:cfRule type="containsText" dxfId="32" priority="3" operator="containsText" text="BLOCKED"/>
  </x:conditionalFormatting>
  <x:conditionalFormatting sqref="L2:L33">
    <x:cfRule type="containsText" dxfId="83" priority="4" operator="containsText" text="NEEDS_DECISION"/>
    <x:cfRule type="containsText" dxfId="84" priority="5" operator="containsText" text="OUT_OF_SCOPE"/>
    <x:cfRule type="containsText" dxfId="85" priority="6" operator="containsText" text="SUPERSEDED"/>
  </x:conditionalFormatting>
  <x:conditionalFormatting sqref="N2:N33">
    <x:cfRule type="containsText" dxfId="86" priority="7" operator="containsText" text="FAIL"/>
    <x:cfRule type="containsText" dxfId="87" priority="8" operator="containsText" text="BLOCKED"/>
  </x:conditionalFormatting>
  <x:dataValidations count="3">
    <x:dataValidation type="list" sqref="L2:L33">
      <x:formula1>"DEFINED,NEEDS_DECISION,OUT_OF_SCOPE,SUPERSEDED"</x:formula1>
    </x:dataValidation>
    <x:dataValidation type="list" sqref="N2:N33">
      <x:formula1>"NOT_RUN,PASS,FAIL,BLOCKED"</x:formula1>
    </x:dataValidation>
    <x:dataValidation type="list" sqref="K2:K33">
      <x:formula1>"API,Integration,UI,Performance,Review,Security"</x:formula1>
    </x:dataValidation>
  </x:dataValidations>
  <x:pageMargins left="0.7" right="0.7" top="0.75" bottom="0.75" header="0.3" footer="0.3"/>
  <x:tableParts count="1">
    <x:tablePart xmlns:r="http://schemas.openxmlformats.org/officeDocument/2006/relationships" r:id="Ra53cf274cc71499b"/>
  </x:tableParts>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2" t="str">
        <x:v>Test Case ID</x:v>
      </x:c>
      <x:c r="B1" s="32" t="str">
        <x:v>Test Scenario</x:v>
      </x:c>
      <x:c r="C1" s="32" t="str">
        <x:v>Test Case</x:v>
      </x:c>
      <x:c r="D1" s="32" t="str">
        <x:v>Preconditions</x:v>
      </x:c>
      <x:c r="E1" s="32" t="str">
        <x:v>Test Steps</x:v>
      </x:c>
      <x:c r="F1" s="32" t="str">
        <x:v>Test Data</x:v>
      </x:c>
      <x:c r="G1" s="32" t="str">
        <x:v>Expected Result</x:v>
      </x:c>
      <x:c r="H1" s="32"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04" customHeight="1">
      <x:c r="A2" s="14" t="str">
        <x:v>TC-DREG-001</x:v>
      </x:c>
      <x:c r="B2" s="14" t="str">
        <x:v>Driver Registration</x:v>
      </x:c>
      <x:c r="C2" s="14" t="str">
        <x:v>Yêu cầu OTP tạo challenge và job bền vững</x:v>
      </x:c>
      <x:c r="D2" s="14" t="str">
        <x:v>Phone chưa có Account; adapter OTP thử nghiệm sẵn sàng.</x:v>
      </x:c>
      <x:c r="E2" s="14" t="str">
        <x:v>1. Chuẩn bị fixture độc lập theo Preconditions.
2. POST /auth/driver-registration/otp với Test Data; lưu phản hồi và correlationId.
3. Đối chiếu từng điều kiện Expected Result với dữ liệu sau thao tác.</x:v>
      </x:c>
      <x:c r="F2" s="14" t="str">
        <x:v>phone=+84900000101</x:v>
      </x:c>
      <x:c r="G2" s="14" t="str">
        <x:v>202; có challenge và thời hạn, job gửi bền vững; response không lộ mã OTP hoặc tạo Account.</x:v>
      </x:c>
      <x:c r="H2" s="14" t="str">
        <x:v>High</x:v>
      </x:c>
      <x:c r="I2" s="14" t="str">
        <x:v>API 1.2; rubric liên kết</x:v>
      </x:c>
      <x:c r="J2" s="14" t="str">
        <x:v>POST /auth/driver-registration/otp</x:v>
      </x:c>
      <x:c r="K2" s="14" t="str">
        <x:v>Integration</x:v>
      </x:c>
      <x:c r="L2" s="14" t="str">
        <x:v>DEFINED</x:v>
      </x:c>
      <x:c r="M2" s="33"/>
      <x:c r="N2" s="33" t="str">
        <x:v>NOT_RUN</x:v>
      </x:c>
      <x:c r="O2" s="14" t="str">
        <x:v>Chưa chạy. Fixture giả trong môi trường kiểm thử cô lập.</x:v>
      </x:c>
      <x:c r="P2" s="14" t="str">
        <x:v>R21</x:v>
      </x:c>
      <x:c r="Q2" s="14" t="str">
        <x:v>Request/response đã che token; dữ liệu trước/sau hoặc log kiểm tra có correlationId; môi trường, commit và thời gian chạy. Không ghi mật khẩu thật.</x:v>
      </x:c>
    </x:row>
    <x:row r="3" ht="104" customHeight="1">
      <x:c r="A3" s="14" t="str">
        <x:v>TC-DREG-002</x:v>
      </x:c>
      <x:c r="B3" s="14" t="str">
        <x:v>Driver Registration</x:v>
      </x:c>
      <x:c r="C3" s="14" t="str">
        <x:v>Gửi lại OTP trước thời gian chờ</x:v>
      </x:c>
      <x:c r="D3" s="14" t="str">
        <x:v>Vừa xin challenge cho cùng phone; cấu hình chờ 60 giây.</x:v>
      </x:c>
      <x:c r="E3" s="14" t="str">
        <x:v>1. Chuẩn bị fixture độc lập theo Preconditions.
2. POST /auth/driver-registration/otp với Test Data; lưu phản hồi và correlationId.
3. Đối chiếu từng điều kiện Expected Result với dữ liệu sau thao tác.</x:v>
      </x:c>
      <x:c r="F3" s="14" t="str">
        <x:v>Gửi lại tại t0+59 giây</x:v>
      </x:c>
      <x:c r="G3" s="14" t="str">
        <x:v>429 và Retry-After; không tạo challenge mới hoặc vô hiệu hóa challenge hiện tại.</x:v>
      </x:c>
      <x:c r="H3" s="14" t="str">
        <x:v>High</x:v>
      </x:c>
      <x:c r="I3" s="14" t="str">
        <x:v>API 1.2; rubric liên kết</x:v>
      </x:c>
      <x:c r="J3" s="14" t="str">
        <x:v>POST /auth/driver-registration/otp</x:v>
      </x:c>
      <x:c r="K3" s="14" t="str">
        <x:v>Integration</x:v>
      </x:c>
      <x:c r="L3" s="14" t="str">
        <x:v>DEFINED</x:v>
      </x:c>
      <x:c r="M3" s="33"/>
      <x:c r="N3" s="33" t="str">
        <x:v>NOT_RUN</x:v>
      </x:c>
      <x:c r="O3" s="14" t="str">
        <x:v>Chưa chạy. Fixture giả trong môi trường kiểm thử cô lập.</x:v>
      </x:c>
      <x:c r="P3" s="14" t="str">
        <x:v>R21</x:v>
      </x:c>
      <x:c r="Q3" s="14" t="str">
        <x:v>Request/response đã che token; dữ liệu trước/sau hoặc log kiểm tra có correlationId; môi trường, commit và thời gian chạy. Không ghi mật khẩu thật.</x:v>
      </x:c>
    </x:row>
    <x:row r="4" ht="119" customHeight="1">
      <x:c r="A4" s="14" t="str">
        <x:v>TC-DREG-003</x:v>
      </x:c>
      <x:c r="B4" s="14" t="str">
        <x:v>Driver Registration</x:v>
      </x:c>
      <x:c r="C4" s="14" t="str">
        <x:v>Gửi lại OTP sau thời gian chờ vô hiệu mã cũ</x:v>
      </x:c>
      <x:c r="D4" s="14" t="str">
        <x:v>Challenge cũ đã được tạo; đồng hồ kiểm soát.</x:v>
      </x:c>
      <x:c r="E4" s="14" t="str">
        <x:v>1. Chuẩn bị fixture độc lập theo Preconditions.
2. POST /auth/driver-registration/otp; POST /auth/driver-registration/otp/verify với Test Data; lưu phản hồi và correlationId.
3. Đối chiếu từng điều kiện Expected Result với dữ liệu sau thao tác.</x:v>
      </x:c>
      <x:c r="F4" s="14" t="str">
        <x:v>Resend tại t0+60 giây; thử mã challenge cũ</x:v>
      </x:c>
      <x:c r="G4" s="14" t="str">
        <x:v>202 cho lần gửi mới; mã cũ không xác minh được; verificationToken chưa dùng của lần cũ bị vô hiệu.</x:v>
      </x:c>
      <x:c r="H4" s="14" t="str">
        <x:v>High</x:v>
      </x:c>
      <x:c r="I4" s="14" t="str">
        <x:v>API 1.2; rubric liên kết</x:v>
      </x:c>
      <x:c r="J4" s="14" t="str">
        <x:v>POST /auth/driver-registration/otp; POST /auth/driver-registration/otp/verify</x:v>
      </x:c>
      <x:c r="K4" s="14" t="str">
        <x:v>Integration</x:v>
      </x:c>
      <x:c r="L4" s="14" t="str">
        <x:v>DEFINED</x:v>
      </x:c>
      <x:c r="M4" s="33"/>
      <x:c r="N4" s="33" t="str">
        <x:v>NOT_RUN</x:v>
      </x:c>
      <x:c r="O4" s="14" t="str">
        <x:v>Chưa chạy. Fixture giả trong môi trường kiểm thử cô lập.</x:v>
      </x:c>
      <x:c r="P4" s="14" t="str">
        <x:v>R21</x:v>
      </x:c>
      <x:c r="Q4" s="14" t="str">
        <x:v>Request/response đã che token; dữ liệu trước/sau hoặc log kiểm tra có correlationId; môi trường, commit và thời gian chạy. Không ghi mật khẩu thật.</x:v>
      </x:c>
    </x:row>
    <x:row r="5" ht="104" customHeight="1">
      <x:c r="A5" s="14" t="str">
        <x:v>TC-DREG-004</x:v>
      </x:c>
      <x:c r="B5" s="14" t="str">
        <x:v>Driver Registration</x:v>
      </x:c>
      <x:c r="C5" s="14" t="str">
        <x:v>OTP đúng cấp verificationToken đúng mục đích</x:v>
      </x:c>
      <x:c r="D5" s="14" t="str">
        <x:v>Challenge hợp lệ, chưa xác minh; test adapter cung cấp OTP đúng.</x:v>
      </x:c>
      <x:c r="E5" s="14" t="str">
        <x:v>1. Chuẩn bị fixture độc lập theo Preconditions.
2. POST /auth/driver-registration/otp/verify với Test Data; lưu phản hồi và correlationId.
3. Đối chiếu từng điều kiện Expected Result với dữ liệu sau thao tác.</x:v>
      </x:c>
      <x:c r="F5" s="14" t="str">
        <x:v>challengeId hợp lệ; otp đúng 6 chữ số</x:v>
      </x:c>
      <x:c r="G5" s="14" t="str">
        <x:v>200; verificationToken tối thiểu 32 ký tự, mục đích DRIVER_REGISTRATION, gắn đúng phone; chưa tạo Account; token có hạn theo API 01.</x:v>
      </x:c>
      <x:c r="H5" s="14" t="str">
        <x:v>High</x:v>
      </x:c>
      <x:c r="I5" s="14" t="str">
        <x:v>API 1.2; rubric liên kết</x:v>
      </x:c>
      <x:c r="J5" s="14" t="str">
        <x:v>POST /auth/driver-registration/otp/verify</x:v>
      </x:c>
      <x:c r="K5" s="14" t="str">
        <x:v>Integration</x:v>
      </x:c>
      <x:c r="L5" s="14" t="str">
        <x:v>DEFINED</x:v>
      </x:c>
      <x:c r="M5" s="33"/>
      <x:c r="N5" s="33" t="str">
        <x:v>NOT_RUN</x:v>
      </x:c>
      <x:c r="O5" s="14" t="str">
        <x:v>Chưa chạy. Fixture giả trong môi trường kiểm thử cô lập.</x:v>
      </x:c>
      <x:c r="P5" s="14" t="str">
        <x:v>R21</x:v>
      </x:c>
      <x:c r="Q5" s="14" t="str">
        <x:v>Request/response đã che token; dữ liệu trước/sau hoặc log kiểm tra có correlationId; môi trường, commit và thời gian chạy. Không ghi mật khẩu thật.</x:v>
      </x:c>
    </x:row>
    <x:row r="6" ht="104" customHeight="1">
      <x:c r="A6" s="14" t="str">
        <x:v>TC-DREG-005</x:v>
      </x:c>
      <x:c r="B6" s="14" t="str">
        <x:v>Driver Registration</x:v>
      </x:c>
      <x:c r="C6" s="14" t="str">
        <x:v>OTP sai đủ giới hạn bị vô hiệu</x:v>
      </x:c>
      <x:c r="D6" s="14" t="str">
        <x:v>Challenge mới; cấu hình tối đa 5 lần sai.</x:v>
      </x:c>
      <x:c r="E6" s="14" t="str">
        <x:v>1. Chuẩn bị fixture độc lập theo Preconditions.
2. POST /auth/driver-registration/otp/verify với Test Data; lưu phản hồi và correlationId.
3. Đối chiếu từng điều kiện Expected Result với dữ liệu sau thao tác.</x:v>
      </x:c>
      <x:c r="F6" s="14" t="str">
        <x:v>5 mã sai liên tiếp; sau đó mã đúng của challenge đó</x:v>
      </x:c>
      <x:c r="G6" s="14" t="str">
        <x:v>Mỗi lần sai bị từ chối; sau ngưỡng challenge không thể xác minh bằng mã đúng; không cấp token.</x:v>
      </x:c>
      <x:c r="H6" s="14" t="str">
        <x:v>High</x:v>
      </x:c>
      <x:c r="I6" s="14" t="str">
        <x:v>API 1.2; rubric liên kết</x:v>
      </x:c>
      <x:c r="J6" s="14" t="str">
        <x:v>POST /auth/driver-registration/otp/verify</x:v>
      </x:c>
      <x:c r="K6" s="14" t="str">
        <x:v>Integration</x:v>
      </x:c>
      <x:c r="L6" s="14" t="str">
        <x:v>DEFINED</x:v>
      </x:c>
      <x:c r="M6" s="33"/>
      <x:c r="N6" s="33" t="str">
        <x:v>NOT_RUN</x:v>
      </x:c>
      <x:c r="O6" s="14" t="str">
        <x:v>Chưa chạy. Fixture giả trong môi trường kiểm thử cô lập.</x:v>
      </x:c>
      <x:c r="P6" s="14" t="str">
        <x:v>R21</x:v>
      </x:c>
      <x:c r="Q6" s="14" t="str">
        <x:v>Request/response đã che token; dữ liệu trước/sau hoặc log kiểm tra có correlationId; môi trường, commit và thời gian chạy. Không ghi mật khẩu thật.</x:v>
      </x:c>
    </x:row>
    <x:row r="7" ht="104" customHeight="1">
      <x:c r="A7" s="14" t="str">
        <x:v>TC-DREG-006</x:v>
      </x:c>
      <x:c r="B7" s="14" t="str">
        <x:v>Driver Registration</x:v>
      </x:c>
      <x:c r="C7" s="14" t="str">
        <x:v>OTP hết hạn tại biên thời gian</x:v>
      </x:c>
      <x:c r="D7" s="14" t="str">
        <x:v>Challenge hết hạn sau 5 phút; thời gian server kiểm soát.</x:v>
      </x:c>
      <x:c r="E7" s="14" t="str">
        <x:v>1. Chuẩn bị fixture độc lập theo Preconditions.
2. POST /auth/driver-registration/otp/verify với Test Data; lưu phản hồi và correlationId.
3. Đối chiếu từng điều kiện Expected Result với dữ liệu sau thao tác.</x:v>
      </x:c>
      <x:c r="F7" s="14" t="str">
        <x:v>otp đúng nhưng serverTime=expiresAt</x:v>
      </x:c>
      <x:c r="G7" s="14" t="str">
        <x:v>400 OTP_INVALID_OR_EXPIRED; không cấp token; không kéo dài hạn.</x:v>
      </x:c>
      <x:c r="H7" s="14" t="str">
        <x:v>High</x:v>
      </x:c>
      <x:c r="I7" s="14" t="str">
        <x:v>API 1.2; rubric liên kết</x:v>
      </x:c>
      <x:c r="J7" s="14" t="str">
        <x:v>POST /auth/driver-registration/otp/verify</x:v>
      </x:c>
      <x:c r="K7" s="14" t="str">
        <x:v>Integration</x:v>
      </x:c>
      <x:c r="L7" s="14" t="str">
        <x:v>DEFINED</x:v>
      </x:c>
      <x:c r="M7" s="33"/>
      <x:c r="N7" s="33" t="str">
        <x:v>NOT_RUN</x:v>
      </x:c>
      <x:c r="O7" s="14" t="str">
        <x:v>Chưa chạy. Fixture giả trong môi trường kiểm thử cô lập.</x:v>
      </x:c>
      <x:c r="P7" s="14" t="str">
        <x:v>R21</x:v>
      </x:c>
      <x:c r="Q7" s="14" t="str">
        <x:v>Request/response đã che token; dữ liệu trước/sau hoặc log kiểm tra có correlationId; môi trường, commit và thời gian chạy. Không ghi mật khẩu thật.</x:v>
      </x:c>
    </x:row>
    <x:row r="8" ht="104" customHeight="1">
      <x:c r="A8" s="14" t="str">
        <x:v>TC-DREG-007</x:v>
      </x:c>
      <x:c r="B8" s="14" t="str">
        <x:v>Driver Registration</x:v>
      </x:c>
      <x:c r="C8" s="14" t="str">
        <x:v>Không cấp lại verificationToken từ OTP đã xác minh</x:v>
      </x:c>
      <x:c r="D8" s="14" t="str">
        <x:v>Challenge đã verify thành công.</x:v>
      </x:c>
      <x:c r="E8" s="14" t="str">
        <x:v>1. Chuẩn bị fixture độc lập theo Preconditions.
2. POST /auth/driver-registration/otp/verify với Test Data; lưu phản hồi và correlationId.
3. Đối chiếu từng điều kiện Expected Result với dữ liệu sau thao tác.</x:v>
      </x:c>
      <x:c r="F8" s="14" t="str">
        <x:v>Gửi lại cùng challengeId và OTP</x:v>
      </x:c>
      <x:c r="G8" s="14" t="str">
        <x:v>409 OTP_ALREADY_VERIFIED; không cấp token thứ hai. Mất response phải xin challenge mới theo thời gian chờ.</x:v>
      </x:c>
      <x:c r="H8" s="14" t="str">
        <x:v>High</x:v>
      </x:c>
      <x:c r="I8" s="14" t="str">
        <x:v>API 1.2; rubric liên kết</x:v>
      </x:c>
      <x:c r="J8" s="14" t="str">
        <x:v>POST /auth/driver-registration/otp/verify</x:v>
      </x:c>
      <x:c r="K8" s="14" t="str">
        <x:v>Integration</x:v>
      </x:c>
      <x:c r="L8" s="14" t="str">
        <x:v>DEFINED</x:v>
      </x:c>
      <x:c r="M8" s="33"/>
      <x:c r="N8" s="33" t="str">
        <x:v>NOT_RUN</x:v>
      </x:c>
      <x:c r="O8" s="14" t="str">
        <x:v>Chưa chạy. Fixture giả trong môi trường kiểm thử cô lập.</x:v>
      </x:c>
      <x:c r="P8" s="14" t="str">
        <x:v>R21</x:v>
      </x:c>
      <x:c r="Q8" s="14" t="str">
        <x:v>Request/response đã che token; dữ liệu trước/sau hoặc log kiểm tra có correlationId; môi trường, commit và thời gian chạy. Không ghi mật khẩu thật.</x:v>
      </x:c>
    </x:row>
    <x:row r="9" ht="104" customHeight="1">
      <x:c r="A9" s="14" t="str">
        <x:v>TC-DREG-008</x:v>
      </x:c>
      <x:c r="B9" s="14" t="str">
        <x:v>Driver Registration</x:v>
      </x:c>
      <x:c r="C9" s="14" t="str">
        <x:v>Nộp hồ sơ tạo Account–Driver–Application nguyên tử</x:v>
      </x:c>
      <x:c r="D9" s="14" t="str">
        <x:v>Có verificationToken đúng phone, chưa dùng, còn hạn; email/license mới.</x:v>
      </x:c>
      <x:c r="E9" s="14" t="str">
        <x:v>1. Chuẩn bị fixture độc lập theo Preconditions.
2. POST /driver-applications với Test Data; lưu phản hồi và correlationId.
3. Đối chiếu từng điều kiện Expected Result với dữ liệu sau thao tác.</x:v>
      </x:c>
      <x:c r="F9" s="14" t="str">
        <x:v>Token; fullName="Tài xế Test"; email=d1@example.test; password=Password@123; licenseNumber=TEST-LIC-101; vehicle={plateNumber:"TEST-101",vehicleType:"STANDARD"}; key K1</x:v>
      </x:c>
      <x:c r="G9" s="14" t="str">
        <x:v>201; Account DRIVER ACTIVE; Driver PENDING_APPROVAL/OFFLINE, vehicleId=null; Application SUBMITTED; chưa tạo xe/phân công; token đã tiêu thụ; outbox SUBMITTED; không access/refresh token.</x:v>
      </x:c>
      <x:c r="H9" s="14" t="str">
        <x:v>High</x:v>
      </x:c>
      <x:c r="I9" s="14" t="str">
        <x:v>API 1.2; rubric liên kết</x:v>
      </x:c>
      <x:c r="J9" s="14" t="str">
        <x:v>POST /driver-applications</x:v>
      </x:c>
      <x:c r="K9" s="14" t="str">
        <x:v>Integration</x:v>
      </x:c>
      <x:c r="L9" s="14" t="str">
        <x:v>DEFINED</x:v>
      </x:c>
      <x:c r="M9" s="33"/>
      <x:c r="N9" s="33" t="str">
        <x:v>NOT_RUN</x:v>
      </x:c>
      <x:c r="O9" s="14" t="str">
        <x:v>Chưa chạy. Fixture giả trong môi trường kiểm thử cô lập.</x:v>
      </x:c>
      <x:c r="P9" s="14" t="str">
        <x:v>R21</x:v>
      </x:c>
      <x:c r="Q9" s="14" t="str">
        <x:v>Request/response đã che token; dữ liệu trước/sau hoặc log kiểm tra có correlationId; môi trường, commit và thời gian chạy. Không ghi mật khẩu thật.</x:v>
      </x:c>
    </x:row>
    <x:row r="10" ht="104" customHeight="1">
      <x:c r="A10" s="14" t="str">
        <x:v>TC-DREG-009</x:v>
      </x:c>
      <x:c r="B10" s="14" t="str">
        <x:v>Driver Registration</x:v>
      </x:c>
      <x:c r="C10" s="14" t="str">
        <x:v>Đăng ký không nhận phone hoặc quyền do client đặt</x:v>
      </x:c>
      <x:c r="D10" s="14" t="str">
        <x:v>Token hợp lệ; dữ liệu khác hợp lệ.</x:v>
      </x:c>
      <x:c r="E10" s="14" t="str">
        <x:v>1. Chuẩn bị fixture độc lập theo Preconditions.
2. POST /driver-applications với Test Data; lưu phản hồi và correlationId.
3. Đối chiếu từng điều kiện Expected Result với dữ liệu sau thao tác.</x:v>
      </x:c>
      <x:c r="F10" s="14" t="str">
        <x:v>Từng lượt thêm phone, role, approvalStatus hoặc driverStatus vào body</x:v>
      </x:c>
      <x:c r="G10" s="14" t="str">
        <x:v>Mỗi lượt 400; không tạo dữ liệu và không tiêu thụ token. Reset fixture giữa các lượt.</x:v>
      </x:c>
      <x:c r="H10" s="14" t="str">
        <x:v>High</x:v>
      </x:c>
      <x:c r="I10" s="14" t="str">
        <x:v>API 1.2; rubric liên kết</x:v>
      </x:c>
      <x:c r="J10" s="14" t="str">
        <x:v>POST /driver-applications</x:v>
      </x:c>
      <x:c r="K10" s="14" t="str">
        <x:v>Integration</x:v>
      </x:c>
      <x:c r="L10" s="14" t="str">
        <x:v>DEFINED</x:v>
      </x:c>
      <x:c r="M10" s="33"/>
      <x:c r="N10" s="33" t="str">
        <x:v>NOT_RUN</x:v>
      </x:c>
      <x:c r="O10" s="14" t="str">
        <x:v>Chưa chạy. Fixture giả trong môi trường kiểm thử cô lập.</x:v>
      </x:c>
      <x:c r="P10" s="14" t="str">
        <x:v>R21</x:v>
      </x:c>
      <x:c r="Q10" s="14" t="str">
        <x:v>Request/response đã che token; dữ liệu trước/sau hoặc log kiểm tra có correlationId; môi trường, commit và thời gian chạy. Không ghi mật khẩu thật.</x:v>
      </x:c>
    </x:row>
    <x:row r="11" ht="104" customHeight="1">
      <x:c r="A11" s="14" t="str">
        <x:v>TC-DREG-010</x:v>
      </x:c>
      <x:c r="B11" s="14" t="str">
        <x:v>Driver Registration</x:v>
      </x:c>
      <x:c r="C11" s="14" t="str">
        <x:v>Verification token hết hạn hoặc sai mục đích</x:v>
      </x:c>
      <x:c r="D11" s="14" t="str">
        <x:v>Chưa có kết quả idempotency thành công cho token.</x:v>
      </x:c>
      <x:c r="E11" s="14" t="str">
        <x:v>1. Chuẩn bị fixture độc lập theo Preconditions.
2. POST /driver-applications với Test Data; lưu phản hồi và correlationId.
3. Đối chiếu từng điều kiện Expected Result với dữ liệu sau thao tác.</x:v>
      </x:c>
      <x:c r="F11" s="14" t="str">
        <x:v>Token hết hạn; token sai mục đích; thực thi từng lượt</x:v>
      </x:c>
      <x:c r="G11" s="14" t="str">
        <x:v>400 VERIFICATION_TOKEN_INVALID_OR_EXPIRED; không tạo Account/Driver/Application.</x:v>
      </x:c>
      <x:c r="H11" s="14" t="str">
        <x:v>High</x:v>
      </x:c>
      <x:c r="I11" s="14" t="str">
        <x:v>API 1.2; rubric liên kết</x:v>
      </x:c>
      <x:c r="J11" s="14" t="str">
        <x:v>POST /driver-applications</x:v>
      </x:c>
      <x:c r="K11" s="14" t="str">
        <x:v>Integration</x:v>
      </x:c>
      <x:c r="L11" s="14" t="str">
        <x:v>DEFINED</x:v>
      </x:c>
      <x:c r="M11" s="33"/>
      <x:c r="N11" s="33" t="str">
        <x:v>NOT_RUN</x:v>
      </x:c>
      <x:c r="O11" s="14" t="str">
        <x:v>Chưa chạy. Fixture giả trong môi trường kiểm thử cô lập.</x:v>
      </x:c>
      <x:c r="P11" s="14" t="str">
        <x:v>R21</x:v>
      </x:c>
      <x:c r="Q11" s="14" t="str">
        <x:v>Request/response đã che token; dữ liệu trước/sau hoặc log kiểm tra có correlationId; môi trường, commit và thời gian chạy. Không ghi mật khẩu thật.</x:v>
      </x:c>
    </x:row>
    <x:row r="12" ht="104" customHeight="1">
      <x:c r="A12" s="14" t="str">
        <x:v>TC-DREG-011</x:v>
      </x:c>
      <x:c r="B12" s="14" t="str">
        <x:v>Driver Registration</x:v>
      </x:c>
      <x:c r="C12" s="14" t="str">
        <x:v>Replay đăng ký sau khi token đã tiêu thụ</x:v>
      </x:c>
      <x:c r="D12" s="14" t="str">
        <x:v>Đã thực hiện TC-DREG-008 với K1 thành công.</x:v>
      </x:c>
      <x:c r="E12" s="14" t="str">
        <x:v>1. Chuẩn bị fixture độc lập theo Preconditions.
2. POST /driver-applications với Test Data; lưu phản hồi và correlationId.
3. Đối chiếu từng điều kiện Expected Result với dữ liệu sau thao tác.</x:v>
      </x:c>
      <x:c r="F12" s="14" t="str">
        <x:v>Cùng token, K1 và nội dung; thử cả sau khi token hết hạn</x:v>
      </x:c>
      <x:c r="G12" s="14" t="str">
        <x:v>201 và cùng snapshot kết quả ban đầu; đúng một Account/Driver/Application; không cấp quyền hoặc token đăng nhập mới.</x:v>
      </x:c>
      <x:c r="H12" s="14" t="str">
        <x:v>High</x:v>
      </x:c>
      <x:c r="I12" s="14" t="str">
        <x:v>API 1.2; rubric liên kết</x:v>
      </x:c>
      <x:c r="J12" s="14" t="str">
        <x:v>POST /driver-applications</x:v>
      </x:c>
      <x:c r="K12" s="14" t="str">
        <x:v>Integration</x:v>
      </x:c>
      <x:c r="L12" s="14" t="str">
        <x:v>DEFINED</x:v>
      </x:c>
      <x:c r="M12" s="33"/>
      <x:c r="N12" s="33" t="str">
        <x:v>NOT_RUN</x:v>
      </x:c>
      <x:c r="O12" s="14" t="str">
        <x:v>Chưa chạy. Fixture giả trong môi trường kiểm thử cô lập.</x:v>
      </x:c>
      <x:c r="P12" s="14" t="str">
        <x:v>R21</x:v>
      </x:c>
      <x:c r="Q12" s="14" t="str">
        <x:v>Request/response đã che token; dữ liệu trước/sau hoặc log kiểm tra có correlationId; môi trường, commit và thời gian chạy. Không ghi mật khẩu thật.</x:v>
      </x:c>
    </x:row>
    <x:row r="13" ht="104" customHeight="1">
      <x:c r="A13" s="14" t="str">
        <x:v>TC-DREG-012</x:v>
      </x:c>
      <x:c r="B13" s="14" t="str">
        <x:v>Driver Registration</x:v>
      </x:c>
      <x:c r="C13" s="14" t="str">
        <x:v>Key mới không tái sử dụng verificationToken</x:v>
      </x:c>
      <x:c r="D13" s="14" t="str">
        <x:v>Token đã tiêu thụ bởi một đăng ký thành công.</x:v>
      </x:c>
      <x:c r="E13" s="14" t="str">
        <x:v>1. Chuẩn bị fixture độc lập theo Preconditions.
2. POST /driver-applications với Test Data; lưu phản hồi và correlationId.
3. Đối chiếu từng điều kiện Expected Result với dữ liệu sau thao tác.</x:v>
      </x:c>
      <x:c r="F13" s="14" t="str">
        <x:v>Cùng token, key K2 mới</x:v>
      </x:c>
      <x:c r="G13" s="14" t="str">
        <x:v>409 VERIFICATION_TOKEN_USED; không tạo tài khoản thứ hai.</x:v>
      </x:c>
      <x:c r="H13" s="14" t="str">
        <x:v>High</x:v>
      </x:c>
      <x:c r="I13" s="14" t="str">
        <x:v>API 1.2; rubric liên kết</x:v>
      </x:c>
      <x:c r="J13" s="14" t="str">
        <x:v>POST /driver-applications</x:v>
      </x:c>
      <x:c r="K13" s="14" t="str">
        <x:v>Integration</x:v>
      </x:c>
      <x:c r="L13" s="14" t="str">
        <x:v>DEFINED</x:v>
      </x:c>
      <x:c r="M13" s="33"/>
      <x:c r="N13" s="33" t="str">
        <x:v>NOT_RUN</x:v>
      </x:c>
      <x:c r="O13" s="14" t="str">
        <x:v>Chưa chạy. Fixture giả trong môi trường kiểm thử cô lập.</x:v>
      </x:c>
      <x:c r="P13" s="14" t="str">
        <x:v>R21</x:v>
      </x:c>
      <x:c r="Q13" s="14" t="str">
        <x:v>Request/response đã che token; dữ liệu trước/sau hoặc log kiểm tra có correlationId; môi trường, commit và thời gian chạy. Không ghi mật khẩu thật.</x:v>
      </x:c>
    </x:row>
    <x:row r="14" ht="104" customHeight="1">
      <x:c r="A14" s="14" t="str">
        <x:v>TC-DREG-013</x:v>
      </x:c>
      <x:c r="B14" s="14" t="str">
        <x:v>Driver Registration</x:v>
      </x:c>
      <x:c r="C14" s="14" t="str">
        <x:v>Không có kết quả đăng ký dở dang khi transaction lỗi</x:v>
      </x:c>
      <x:c r="D14" s="14" t="str">
        <x:v>Token hợp lệ; fault injection sau tạo Account nhưng trước commit.</x:v>
      </x:c>
      <x:c r="E14" s="14" t="str">
        <x:v>1. Chuẩn bị fixture độc lập theo Preconditions.
2. POST /driver-applications; retry cùng key với Test Data; lưu phản hồi và correlationId.
3. Đối chiếu từng điều kiện Expected Result với dữ liệu sau thao tác.</x:v>
      </x:c>
      <x:c r="F14" s="14" t="str">
        <x:v>Fixture K1; lỗi transaction có kiểm soát rồi bỏ lỗi</x:v>
      </x:c>
      <x:c r="G14" s="14" t="str">
        <x:v>Lượt lỗi không để Account/Driver/Application hoặc outbox dở dang; token chưa bị tiêu thụ độc lập. Lượt retry hợp lệ tạo đủ bộ một lần.</x:v>
      </x:c>
      <x:c r="H14" s="14" t="str">
        <x:v>High</x:v>
      </x:c>
      <x:c r="I14" s="14" t="str">
        <x:v>API 1.2; rubric liên kết</x:v>
      </x:c>
      <x:c r="J14" s="14" t="str">
        <x:v>POST /driver-applications; retry cùng key</x:v>
      </x:c>
      <x:c r="K14" s="14" t="str">
        <x:v>Integration</x:v>
      </x:c>
      <x:c r="L14" s="14" t="str">
        <x:v>DEFINED</x:v>
      </x:c>
      <x:c r="M14" s="33"/>
      <x:c r="N14" s="33" t="str">
        <x:v>NOT_RUN</x:v>
      </x:c>
      <x:c r="O14" s="14" t="str">
        <x:v>Chưa chạy. Fixture giả trong môi trường kiểm thử cô lập.</x:v>
      </x:c>
      <x:c r="P14" s="14" t="str">
        <x:v>R21</x:v>
      </x:c>
      <x:c r="Q14" s="14" t="str">
        <x:v>Log fault injection; dữ liệu trước/sau rollback và retry; token digest không lộ token gốc.</x:v>
      </x:c>
    </x:row>
    <x:row r="15" ht="104" customHeight="1">
      <x:c r="A15" s="14" t="str">
        <x:v>TC-DREG-014</x:v>
      </x:c>
      <x:c r="B15" s="14" t="str">
        <x:v>Driver Registration</x:v>
      </x:c>
      <x:c r="C15" s="14" t="str">
        <x:v>Chống trùng email/phone/license khi đăng ký</x:v>
      </x:c>
      <x:c r="D15" s="14" t="str">
        <x:v>Mỗi lượt chỉ một giá trị trùng bản ghi có sẵn, các giá trị khác mới.</x:v>
      </x:c>
      <x:c r="E15" s="14" t="str">
        <x:v>1. Chuẩn bị fixture độc lập theo Preconditions.
2. POST /driver-applications với Test Data; lưu phản hồi và correlationId.
3. Đối chiếu từng điều kiện Expected Result với dữ liệu sau thao tác.</x:v>
      </x:c>
      <x:c r="F15" s="14" t="str">
        <x:v>Email khác hoa thường; phone đã tồn tại; license khác cách viết hoa/trim</x:v>
      </x:c>
      <x:c r="G15" s="14" t="str">
        <x:v>409 theo CONTACT_ALREADY_EXISTS hoặc LICENSE_ALREADY_EXISTS; không có bản ghi mồ côi. Mỗi loại trùng là một lượt độc lập.</x:v>
      </x:c>
      <x:c r="H15" s="14" t="str">
        <x:v>High</x:v>
      </x:c>
      <x:c r="I15" s="14" t="str">
        <x:v>API 1.2; rubric liên kết</x:v>
      </x:c>
      <x:c r="J15" s="14" t="str">
        <x:v>POST /driver-applications</x:v>
      </x:c>
      <x:c r="K15" s="14" t="str">
        <x:v>Integration</x:v>
      </x:c>
      <x:c r="L15" s="14" t="str">
        <x:v>DEFINED</x:v>
      </x:c>
      <x:c r="M15" s="33"/>
      <x:c r="N15" s="33" t="str">
        <x:v>NOT_RUN</x:v>
      </x:c>
      <x:c r="O15" s="14" t="str">
        <x:v>Chưa chạy. Fixture giả trong môi trường kiểm thử cô lập.</x:v>
      </x:c>
      <x:c r="P15" s="14" t="str">
        <x:v>R21</x:v>
      </x:c>
      <x:c r="Q15" s="14" t="str">
        <x:v>Request/response đã che token; dữ liệu trước/sau hoặc log kiểm tra có correlationId; môi trường, commit và thời gian chạy. Không ghi mật khẩu thật.</x:v>
      </x:c>
    </x:row>
    <x:row r="16" ht="119" customHeight="1">
      <x:c r="A16" s="14" t="str">
        <x:v>TC-DREG-015</x:v>
      </x:c>
      <x:c r="B16" s="14" t="str">
        <x:v>Driver Registration</x:v>
      </x:c>
      <x:c r="C16" s="14" t="str">
        <x:v>Driver chờ duyệt đăng nhập và đọc hồ sơ/hộp thư</x:v>
      </x:c>
      <x:c r="D16" s="14" t="str">
        <x:v>Account ACTIVE, Driver PENDING_APPROVAL, Application SUBMITTED.</x:v>
      </x:c>
      <x:c r="E16" s="14" t="str">
        <x:v>1. Chuẩn bị fixture độc lập theo Preconditions.
2. POST /auth/login; GET /driver-applications/me; GET /drivers/me; GET /notifications với Test Data; lưu phản hồi và correlationId.
3. Đối chiếu từng điều kiện Expected Result với dữ liệu sau thao tác.</x:v>
      </x:c>
      <x:c r="F16" s="14" t="str">
        <x:v>Tài khoản D1 hợp lệ</x:v>
      </x:c>
      <x:c r="G16" s="14" t="str">
        <x:v>Các API thành công 200; chỉ hồ sơ và hộp thư D1; không tự APPROVED/AVAILABLE.</x:v>
      </x:c>
      <x:c r="H16" s="14" t="str">
        <x:v>High</x:v>
      </x:c>
      <x:c r="I16" s="14" t="str">
        <x:v>API 1.2; rubric liên kết</x:v>
      </x:c>
      <x:c r="J16" s="14" t="str">
        <x:v>POST /auth/login; GET /driver-applications/me; GET /drivers/me; GET /notifications</x:v>
      </x:c>
      <x:c r="K16" s="14" t="str">
        <x:v>Integration</x:v>
      </x:c>
      <x:c r="L16" s="14" t="str">
        <x:v>DEFINED</x:v>
      </x:c>
      <x:c r="M16" s="33"/>
      <x:c r="N16" s="33" t="str">
        <x:v>NOT_RUN</x:v>
      </x:c>
      <x:c r="O16" s="14" t="str">
        <x:v>Chưa chạy. Fixture giả trong môi trường kiểm thử cô lập.</x:v>
      </x:c>
      <x:c r="P16" s="14" t="str">
        <x:v>R10; R21</x:v>
      </x:c>
      <x:c r="Q16" s="14" t="str">
        <x:v>Request/response đã che token; dữ liệu trước/sau hoặc log kiểm tra có correlationId; môi trường, commit và thời gian chạy. Không ghi mật khẩu thật.</x:v>
      </x:c>
    </x:row>
    <x:row r="17" ht="104" customHeight="1">
      <x:c r="A17" s="14" t="str">
        <x:v>TC-DREG-016</x:v>
      </x:c>
      <x:c r="B17" s="14" t="str">
        <x:v>Driver Registration</x:v>
      </x:c>
      <x:c r="C17" s="14" t="str">
        <x:v>Driver chưa được duyệt không online</x:v>
      </x:c>
      <x:c r="D17" s="14" t="str">
        <x:v>D1 PENDING_APPROVAL; Account ACTIVE; vị trí mới.</x:v>
      </x:c>
      <x:c r="E17" s="14" t="str">
        <x:v>1. Chuẩn bị fixture độc lập theo Preconditions.
2. PUT /drivers/me/availability với Test Data; lưu phản hồi và correlationId.
3. Đối chiếu từng điều kiện Expected Result với dữ liệu sau thao tác.</x:v>
      </x:c>
      <x:c r="F17" s="14" t="str">
        <x:v>AVAILABLE; expectedVersion hiện tại; key mới</x:v>
      </x:c>
      <x:c r="G17" s="14" t="str">
        <x:v>409 DRIVER_NOT_ELIGIBLE; D1 vẫn OFFLINE; không tạo phân công hoặc TripRequest mới.</x:v>
      </x:c>
      <x:c r="H17" s="14" t="str">
        <x:v>High</x:v>
      </x:c>
      <x:c r="I17" s="14" t="str">
        <x:v>API 1.2; rubric liên kết</x:v>
      </x:c>
      <x:c r="J17" s="14" t="str">
        <x:v>PUT /drivers/me/availability</x:v>
      </x:c>
      <x:c r="K17" s="14" t="str">
        <x:v>Integration</x:v>
      </x:c>
      <x:c r="L17" s="14" t="str">
        <x:v>DEFINED</x:v>
      </x:c>
      <x:c r="M17" s="33"/>
      <x:c r="N17" s="33" t="str">
        <x:v>NOT_RUN</x:v>
      </x:c>
      <x:c r="O17" s="14" t="str">
        <x:v>Chưa chạy. Fixture giả trong môi trường kiểm thử cô lập.</x:v>
      </x:c>
      <x:c r="P17" s="14" t="str">
        <x:v>R21; R23</x:v>
      </x:c>
      <x:c r="Q17" s="14" t="str">
        <x:v>Request/response đã che token; dữ liệu trước/sau hoặc log kiểm tra có correlationId; môi trường, commit và thời gian chạy. Không ghi mật khẩu thật.</x:v>
      </x:c>
    </x:row>
    <x:row r="18" ht="119" customHeight="1">
      <x:c r="A18" s="14" t="str">
        <x:v>TC-DREG-017</x:v>
      </x:c>
      <x:c r="B18" s="14" t="str">
        <x:v>Driver Registration</x:v>
      </x:c>
      <x:c r="C18" s="14" t="str">
        <x:v>Duyệt hồ sơ với xe mới</x:v>
      </x:c>
      <x:c r="D18" s="14" t="str">
        <x:v>O1; A1 SUBMITTED; D1 OFFLINE; plate TEST-101 chưa tồn tại.</x:v>
      </x:c>
      <x:c r="E18" s="14" t="str">
        <x:v>1. Chuẩn bị fixture độc lập theo Preconditions.
2. POST /operations/driver-applications/A1/review với Test Data; lưu phản hồi và correlationId.
3. Đối chiếu từng điều kiện Expected Result với dữ liệu sau thao tác.</x:v>
      </x:c>
      <x:c r="F18" s="14" t="str">
        <x:v>APPROVED; version A1/D1 đúng; key mới; không vehicleId</x:v>
      </x:c>
      <x:c r="G18" s="14" t="str">
        <x:v>200; A1 và D1 APPROVED, tạo xe ACTIVE và VehicleAssignment; D1 vẫn OFFLINE; audit/outbox cùng transaction; thông báo đúng D1 qua RabbitMQ.</x:v>
      </x:c>
      <x:c r="H18" s="14" t="str">
        <x:v>High</x:v>
      </x:c>
      <x:c r="I18" s="14" t="str">
        <x:v>API 1.2; rubric liên kết</x:v>
      </x:c>
      <x:c r="J18" s="14" t="str">
        <x:v>POST /operations/driver-applications/A1/review</x:v>
      </x:c>
      <x:c r="K18" s="14" t="str">
        <x:v>Integration</x:v>
      </x:c>
      <x:c r="L18" s="14" t="str">
        <x:v>DEFINED</x:v>
      </x:c>
      <x:c r="M18" s="33"/>
      <x:c r="N18" s="33" t="str">
        <x:v>NOT_RUN</x:v>
      </x:c>
      <x:c r="O18" s="14" t="str">
        <x:v>Chưa chạy. Fixture giả trong môi trường kiểm thử cô lập.</x:v>
      </x:c>
      <x:c r="P18" s="14" t="str">
        <x:v>R22; R07</x:v>
      </x:c>
      <x:c r="Q18" s="14" t="str">
        <x:v>Request/response đã che token; dữ liệu trước/sau hoặc log kiểm tra có correlationId; môi trường, commit và thời gian chạy. Không ghi mật khẩu thật.</x:v>
      </x:c>
    </x:row>
    <x:row r="19" ht="119" customHeight="1">
      <x:c r="A19" s="14" t="str">
        <x:v>TC-DREG-018</x:v>
      </x:c>
      <x:c r="B19" s="14" t="str">
        <x:v>Driver Registration</x:v>
      </x:c>
      <x:c r="C19" s="14" t="str">
        <x:v>Duyệt với xe có sẵn phù hợp</x:v>
      </x:c>
      <x:c r="D19" s="14" t="str">
        <x:v>V1 ACTIVE chưa phân công, cùng plate và vehicleType đã nộp.</x:v>
      </x:c>
      <x:c r="E19" s="14" t="str">
        <x:v>1. Chuẩn bị fixture độc lập theo Preconditions.
2. POST /operations/driver-applications/A1/review với Test Data; lưu phản hồi và correlationId.
3. Đối chiếu từng điều kiện Expected Result với dữ liệu sau thao tác.</x:v>
      </x:c>
      <x:c r="F19" s="14" t="str">
        <x:v>APPROVED; vehicleId=V1; expectedVehicleVersion, expectedDriverVersion, expectedVersion đúng</x:v>
      </x:c>
      <x:c r="G19" s="14" t="str">
        <x:v>200; dùng V1, không tạo xe thứ hai; phân công duy nhất; các version liên quan tăng theo thay đổi; D1 OFFLINE.</x:v>
      </x:c>
      <x:c r="H19" s="14" t="str">
        <x:v>High</x:v>
      </x:c>
      <x:c r="I19" s="14" t="str">
        <x:v>API 1.2; rubric liên kết</x:v>
      </x:c>
      <x:c r="J19" s="14" t="str">
        <x:v>POST /operations/driver-applications/A1/review</x:v>
      </x:c>
      <x:c r="K19" s="14" t="str">
        <x:v>Integration</x:v>
      </x:c>
      <x:c r="L19" s="14" t="str">
        <x:v>DEFINED</x:v>
      </x:c>
      <x:c r="M19" s="33"/>
      <x:c r="N19" s="33" t="str">
        <x:v>NOT_RUN</x:v>
      </x:c>
      <x:c r="O19" s="14" t="str">
        <x:v>Chưa chạy. Fixture giả trong môi trường kiểm thử cô lập.</x:v>
      </x:c>
      <x:c r="P19" s="14" t="str">
        <x:v>R22</x:v>
      </x:c>
      <x:c r="Q19" s="14" t="str">
        <x:v>Request/response đã che token; dữ liệu trước/sau hoặc log kiểm tra có correlationId; môi trường, commit và thời gian chạy. Không ghi mật khẩu thật.</x:v>
      </x:c>
    </x:row>
    <x:row r="20" ht="119" customHeight="1">
      <x:c r="A20" s="14" t="str">
        <x:v>TC-DREG-019</x:v>
      </x:c>
      <x:c r="B20" s="14" t="str">
        <x:v>Driver Registration</x:v>
      </x:c>
      <x:c r="C20" s="14" t="str">
        <x:v>Từ chối hồ sơ có lý do</x:v>
      </x:c>
      <x:c r="D20" s="14" t="str">
        <x:v>A1 SUBMITTED; D1 chưa có xe; O1 hợp lệ.</x:v>
      </x:c>
      <x:c r="E20" s="14" t="str">
        <x:v>1. Chuẩn bị fixture độc lập theo Preconditions.
2. POST /operations/driver-applications/A1/review với Test Data; lưu phản hồi và correlationId.
3. Đối chiếu từng điều kiện Expected Result với dữ liệu sau thao tác.</x:v>
      </x:c>
      <x:c r="F20" s="14" t="str">
        <x:v>REJECTED; rejectionReason="Giấy phép cần kiểm tra"; versions đúng; key mới</x:v>
      </x:c>
      <x:c r="G20" s="14" t="str">
        <x:v>200; Application/Driver REJECTED, D1 OFFLINE; không xe/phân công; Account vẫn ACTIVE; thông báo nêu lý do an toàn.</x:v>
      </x:c>
      <x:c r="H20" s="14" t="str">
        <x:v>High</x:v>
      </x:c>
      <x:c r="I20" s="14" t="str">
        <x:v>API 1.2; rubric liên kết</x:v>
      </x:c>
      <x:c r="J20" s="14" t="str">
        <x:v>POST /operations/driver-applications/A1/review</x:v>
      </x:c>
      <x:c r="K20" s="14" t="str">
        <x:v>Integration</x:v>
      </x:c>
      <x:c r="L20" s="14" t="str">
        <x:v>DEFINED</x:v>
      </x:c>
      <x:c r="M20" s="33"/>
      <x:c r="N20" s="33" t="str">
        <x:v>NOT_RUN</x:v>
      </x:c>
      <x:c r="O20" s="14" t="str">
        <x:v>Chưa chạy. Fixture giả trong môi trường kiểm thử cô lập.</x:v>
      </x:c>
      <x:c r="P20" s="14" t="str">
        <x:v>R22; R07</x:v>
      </x:c>
      <x:c r="Q20" s="14" t="str">
        <x:v>Request/response đã che token; dữ liệu trước/sau hoặc log kiểm tra có correlationId; môi trường, commit và thời gian chạy. Không ghi mật khẩu thật.</x:v>
      </x:c>
    </x:row>
    <x:row r="21" ht="119" customHeight="1">
      <x:c r="A21" s="14" t="str">
        <x:v>TC-DREG-020</x:v>
      </x:c>
      <x:c r="B21" s="14" t="str">
        <x:v>Driver Registration</x:v>
      </x:c>
      <x:c r="C21" s="14" t="str">
        <x:v>Từ chối thiếu lý do hoặc truyền xe bị từ chối</x:v>
      </x:c>
      <x:c r="D21" s="14" t="str">
        <x:v>A1 SUBMITTED; O1 hợp lệ.</x:v>
      </x:c>
      <x:c r="E21" s="14" t="str">
        <x:v>1. Chuẩn bị fixture độc lập theo Preconditions.
2. POST /operations/driver-applications/A1/review với Test Data; lưu phản hồi và correlationId.
3. Đối chiếu từng điều kiện Expected Result với dữ liệu sau thao tác.</x:v>
      </x:c>
      <x:c r="F21" s="14" t="str">
        <x:v>REJECTED thiếu reason; REJECTED kèm vehicleId; hai lượt riêng</x:v>
      </x:c>
      <x:c r="G21" s="14" t="str">
        <x:v>400 mỗi lượt; Application, Driver và xe không đổi.</x:v>
      </x:c>
      <x:c r="H21" s="14" t="str">
        <x:v>High</x:v>
      </x:c>
      <x:c r="I21" s="14" t="str">
        <x:v>API 1.2; rubric liên kết</x:v>
      </x:c>
      <x:c r="J21" s="14" t="str">
        <x:v>POST /operations/driver-applications/A1/review</x:v>
      </x:c>
      <x:c r="K21" s="14" t="str">
        <x:v>Integration</x:v>
      </x:c>
      <x:c r="L21" s="14" t="str">
        <x:v>DEFINED</x:v>
      </x:c>
      <x:c r="M21" s="33"/>
      <x:c r="N21" s="33" t="str">
        <x:v>NOT_RUN</x:v>
      </x:c>
      <x:c r="O21" s="14" t="str">
        <x:v>Chưa chạy. Fixture giả trong môi trường kiểm thử cô lập.</x:v>
      </x:c>
      <x:c r="P21" s="14" t="str">
        <x:v>R22</x:v>
      </x:c>
      <x:c r="Q21" s="14" t="str">
        <x:v>Request/response đã che token; dữ liệu trước/sau hoặc log kiểm tra có correlationId; môi trường, commit và thời gian chạy. Không ghi mật khẩu thật.</x:v>
      </x:c>
    </x:row>
    <x:row r="22" ht="119" customHeight="1">
      <x:c r="A22" s="14" t="str">
        <x:v>TC-DREG-021</x:v>
      </x:c>
      <x:c r="B22" s="14" t="str">
        <x:v>Driver Registration</x:v>
      </x:c>
      <x:c r="C22" s="14" t="str">
        <x:v>Hai điều hành viên duyệt đồng thời</x:v>
      </x:c>
      <x:c r="D22" s="14" t="str">
        <x:v>Hai OPERATOR; cùng A1/D1 và versions ban đầu.</x:v>
      </x:c>
      <x:c r="E22" s="14" t="str">
        <x:v>1. Chuẩn bị fixture độc lập theo Preconditions.
2. Gửi đồng thời POST review APPROVED và REJECTED với Test Data; lưu phản hồi và correlationId.
3. Đối chiếu từng điều kiện Expected Result với dữ liệu sau thao tác.</x:v>
      </x:c>
      <x:c r="F22" s="14" t="str">
        <x:v>Hai key khác nhau, cùng version; fixture xe hợp lệ</x:v>
      </x:c>
      <x:c r="G22" s="14" t="str">
        <x:v>Chỉ một quyết định thành công; bên thua 409; Application/Driver/VehicleAssignment không mâu thuẫn; một sự kiện quyết định.</x:v>
      </x:c>
      <x:c r="H22" s="14" t="str">
        <x:v>High</x:v>
      </x:c>
      <x:c r="I22" s="14" t="str">
        <x:v>API 1.2; rubric liên kết</x:v>
      </x:c>
      <x:c r="J22" s="14" t="str">
        <x:v>Gửi đồng thời POST review APPROVED và REJECTED</x:v>
      </x:c>
      <x:c r="K22" s="14" t="str">
        <x:v>Integration</x:v>
      </x:c>
      <x:c r="L22" s="14" t="str">
        <x:v>DEFINED</x:v>
      </x:c>
      <x:c r="M22" s="33"/>
      <x:c r="N22" s="33" t="str">
        <x:v>NOT_RUN</x:v>
      </x:c>
      <x:c r="O22" s="14" t="str">
        <x:v>Chưa chạy. Fixture giả trong môi trường kiểm thử cô lập.</x:v>
      </x:c>
      <x:c r="P22" s="14" t="str">
        <x:v>R22</x:v>
      </x:c>
      <x:c r="Q22" s="14" t="str">
        <x:v>Request/response đã che token; dữ liệu trước/sau hoặc log kiểm tra có correlationId; môi trường, commit và thời gian chạy. Không ghi mật khẩu thật.</x:v>
      </x:c>
    </x:row>
    <x:row r="23" ht="104" customHeight="1">
      <x:c r="A23" s="14" t="str">
        <x:v>TC-DREG-022</x:v>
      </x:c>
      <x:c r="B23" s="14" t="str">
        <x:v>Driver Registration</x:v>
      </x:c>
      <x:c r="C23" s="14" t="str">
        <x:v>Replay quyết định không phát thêm thông báo</x:v>
      </x:c>
      <x:c r="D23" s="14" t="str">
        <x:v>A1 đã APPROVED bởi key K1.</x:v>
      </x:c>
      <x:c r="E23" s="14" t="str">
        <x:v>1. Chuẩn bị fixture độc lập theo Preconditions.
2. POST review cùng K1; sau đó key K2 với Test Data; lưu phản hồi và correlationId.
3. Đối chiếu từng điều kiện Expected Result với dữ liệu sau thao tác.</x:v>
      </x:c>
      <x:c r="F23" s="14" t="str">
        <x:v>Cùng nội dung K1; K2 là request mới trên hồ sơ đã quyết định</x:v>
      </x:c>
      <x:c r="G23" s="14" t="str">
        <x:v>K1 trả 200 snapshot cũ, không tăng version/outbox; K2 trả 409 APPLICATION_ALREADY_REVIEWED.</x:v>
      </x:c>
      <x:c r="H23" s="14" t="str">
        <x:v>High</x:v>
      </x:c>
      <x:c r="I23" s="14" t="str">
        <x:v>API 1.2; rubric liên kết</x:v>
      </x:c>
      <x:c r="J23" s="14" t="str">
        <x:v>POST review cùng K1; sau đó key K2</x:v>
      </x:c>
      <x:c r="K23" s="14" t="str">
        <x:v>Integration</x:v>
      </x:c>
      <x:c r="L23" s="14" t="str">
        <x:v>DEFINED</x:v>
      </x:c>
      <x:c r="M23" s="33"/>
      <x:c r="N23" s="33" t="str">
        <x:v>NOT_RUN</x:v>
      </x:c>
      <x:c r="O23" s="14" t="str">
        <x:v>Chưa chạy. Fixture giả trong môi trường kiểm thử cô lập.</x:v>
      </x:c>
      <x:c r="P23" s="14" t="str">
        <x:v>R22</x:v>
      </x:c>
      <x:c r="Q23" s="14" t="str">
        <x:v>Request/response đã che token; dữ liệu trước/sau hoặc log kiểm tra có correlationId; môi trường, commit và thời gian chạy. Không ghi mật khẩu thật.</x:v>
      </x:c>
    </x:row>
    <x:row r="24" ht="119" customHeight="1">
      <x:c r="A24" s="14" t="str">
        <x:v>TC-DREG-023</x:v>
      </x:c>
      <x:c r="B24" s="14" t="str">
        <x:v>Driver Registration</x:v>
      </x:c>
      <x:c r="C24" s="14" t="str">
        <x:v>Không duyệt hồ sơ bằng xe sai hoặc đang được gán</x:v>
      </x:c>
      <x:c r="D24" s="14" t="str">
        <x:v>A1 SUBMITTED; các fixture xe riêng cho từng nhánh.</x:v>
      </x:c>
      <x:c r="E24" s="14" t="str">
        <x:v>1. Chuẩn bị fixture độc lập theo Preconditions.
2. POST /operations/driver-applications/A1/review với Test Data; lưu phản hồi và correlationId.
3. Đối chiếu từng điều kiện Expected Result với dữ liệu sau thao tác.</x:v>
      </x:c>
      <x:c r="F24" s="14" t="str">
        <x:v>V1 sai plate/type; V2 INACTIVE; V3 đã phân công; reset giữa lượt</x:v>
      </x:c>
      <x:c r="G24" s="14" t="str">
        <x:v>409 tương ứng; không duyệt một phần hoặc chiếm xe tài xế khác; A1 còn SUBMITTED.</x:v>
      </x:c>
      <x:c r="H24" s="14" t="str">
        <x:v>High</x:v>
      </x:c>
      <x:c r="I24" s="14" t="str">
        <x:v>API 1.2; rubric liên kết</x:v>
      </x:c>
      <x:c r="J24" s="14" t="str">
        <x:v>POST /operations/driver-applications/A1/review</x:v>
      </x:c>
      <x:c r="K24" s="14" t="str">
        <x:v>Integration</x:v>
      </x:c>
      <x:c r="L24" s="14" t="str">
        <x:v>DEFINED</x:v>
      </x:c>
      <x:c r="M24" s="33"/>
      <x:c r="N24" s="33" t="str">
        <x:v>NOT_RUN</x:v>
      </x:c>
      <x:c r="O24" s="14" t="str">
        <x:v>Chưa chạy. Fixture giả trong môi trường kiểm thử cô lập.</x:v>
      </x:c>
      <x:c r="P24" s="14" t="str">
        <x:v>R22</x:v>
      </x:c>
      <x:c r="Q24" s="14" t="str">
        <x:v>Request/response đã che token; dữ liệu trước/sau hoặc log kiểm tra có correlationId; môi trường, commit và thời gian chạy. Không ghi mật khẩu thật.</x:v>
      </x:c>
    </x:row>
    <x:row r="25" ht="134" customHeight="1">
      <x:c r="A25" s="14" t="str">
        <x:v>TC-DREG-024</x:v>
      </x:c>
      <x:c r="B25" s="14" t="str">
        <x:v>Driver Registration</x:v>
      </x:c>
      <x:c r="C25" s="14" t="str">
        <x:v>Không có hồ sơ đăng ký để xét duyệt</x:v>
      </x:c>
      <x:c r="D25" s="14" t="str">
        <x:v>O1 hợp lệ; A999 không tồn tại.</x:v>
      </x:c>
      <x:c r="E25" s="14" t="str">
        <x:v>1. Chuẩn bị fixture độc lập theo Preconditions.
2. GET /operations/driver-applications/A999; POST /operations/driver-applications/A999/review với Test Data; lưu phản hồi và correlationId.
3. Đối chiếu từng điều kiện Expected Result với dữ liệu sau thao tác.</x:v>
      </x:c>
      <x:c r="F25" s="14" t="str">
        <x:v>Request review đầy đủ, key mới</x:v>
      </x:c>
      <x:c r="G25" s="14" t="str">
        <x:v>Cả hai 404 APPLICATION_NOT_FOUND; không đổi hồ sơ khác.</x:v>
      </x:c>
      <x:c r="H25" s="14" t="str">
        <x:v>High</x:v>
      </x:c>
      <x:c r="I25" s="14" t="str">
        <x:v>API 1.2; rubric liên kết</x:v>
      </x:c>
      <x:c r="J25" s="14" t="str">
        <x:v>GET /operations/driver-applications/A999; POST /operations/driver-applications/A999/review</x:v>
      </x:c>
      <x:c r="K25" s="14" t="str">
        <x:v>Integration</x:v>
      </x:c>
      <x:c r="L25" s="14" t="str">
        <x:v>DEFINED</x:v>
      </x:c>
      <x:c r="M25" s="33"/>
      <x:c r="N25" s="33" t="str">
        <x:v>NOT_RUN</x:v>
      </x:c>
      <x:c r="O25" s="14" t="str">
        <x:v>Chưa chạy. Fixture giả trong môi trường kiểm thử cô lập.</x:v>
      </x:c>
      <x:c r="P25" s="14" t="str">
        <x:v>R22</x:v>
      </x:c>
      <x:c r="Q25" s="14" t="str">
        <x:v>Request/response đã che token; dữ liệu trước/sau hoặc log kiểm tra có correlationId; môi trường, commit và thời gian chạy. Không ghi mật khẩu thật.</x:v>
      </x:c>
    </x:row>
    <x:row r="26" ht="119" customHeight="1">
      <x:c r="A26" s="14" t="str">
        <x:v>TC-DREG-025</x:v>
      </x:c>
      <x:c r="B26" s="14" t="str">
        <x:v>Driver Registration</x:v>
      </x:c>
      <x:c r="C26" s="14" t="str">
        <x:v>Customer không duyệt được tài xế</x:v>
      </x:c>
      <x:c r="D26" s="14" t="str">
        <x:v>C1 ACTIVE; A1 có thật.</x:v>
      </x:c>
      <x:c r="E26" s="14" t="str">
        <x:v>1. Chuẩn bị fixture độc lập theo Preconditions.
2. POST /operations/driver-applications/A1/review với Test Data; lưu phản hồi và correlationId.
3. Đối chiếu từng điều kiện Expected Result với dữ liệu sau thao tác.</x:v>
      </x:c>
      <x:c r="F26" s="14" t="str">
        <x:v>User JWT C1, body hợp lệ</x:v>
      </x:c>
      <x:c r="G26" s="14" t="str">
        <x:v>403; Application/Driver/xe/outbox không thay đổi.</x:v>
      </x:c>
      <x:c r="H26" s="14" t="str">
        <x:v>High</x:v>
      </x:c>
      <x:c r="I26" s="14" t="str">
        <x:v>API 1.2; rubric liên kết</x:v>
      </x:c>
      <x:c r="J26" s="14" t="str">
        <x:v>POST /operations/driver-applications/A1/review</x:v>
      </x:c>
      <x:c r="K26" s="14" t="str">
        <x:v>Integration</x:v>
      </x:c>
      <x:c r="L26" s="14" t="str">
        <x:v>DEFINED</x:v>
      </x:c>
      <x:c r="M26" s="33"/>
      <x:c r="N26" s="33" t="str">
        <x:v>NOT_RUN</x:v>
      </x:c>
      <x:c r="O26" s="14" t="str">
        <x:v>Chưa chạy. Fixture giả trong môi trường kiểm thử cô lập.</x:v>
      </x:c>
      <x:c r="P26" s="14" t="str">
        <x:v>R22; R28</x:v>
      </x:c>
      <x:c r="Q26" s="14" t="str">
        <x:v>Request/response đã che token; dữ liệu trước/sau hoặc log kiểm tra có correlationId; môi trường, commit và thời gian chạy. Không ghi mật khẩu thật.</x:v>
      </x:c>
    </x:row>
    <x:row r="27" ht="104" customHeight="1">
      <x:c r="A27" s="14" t="str">
        <x:v>TC-DREG-026</x:v>
      </x:c>
      <x:c r="B27" s="14" t="str">
        <x:v>Driver Registration</x:v>
      </x:c>
      <x:c r="C27" s="14" t="str">
        <x:v>Online và offline đúng điều kiện</x:v>
      </x:c>
      <x:c r="D27" s="14" t="str">
        <x:v>D1 APPROVED, Account ACTIVE, V1 ACTIVE đã phân công, không Trip, GPS tuổi 5 giây.</x:v>
      </x:c>
      <x:c r="E27" s="14" t="str">
        <x:v>1. Chuẩn bị fixture độc lập theo Preconditions.
2. PUT /drivers/me/availability với Test Data; lưu phản hồi và correlationId.
3. Đối chiếu từng điều kiện Expected Result với dữ liệu sau thao tác.</x:v>
      </x:c>
      <x:c r="F27" s="14" t="str">
        <x:v>AVAILABLE rồi OFFLINE; mỗi lượt đọc version mới và key mới</x:v>
      </x:c>
      <x:c r="G27" s="14" t="str">
        <x:v>Hai lượt 200; AVAILABLE chỉ sau đủ điều kiện; OFFLINE vô hiệu đề nghị PENDING và giữ phân công xe.</x:v>
      </x:c>
      <x:c r="H27" s="14" t="str">
        <x:v>High</x:v>
      </x:c>
      <x:c r="I27" s="14" t="str">
        <x:v>API 1.2; rubric liên kết</x:v>
      </x:c>
      <x:c r="J27" s="14" t="str">
        <x:v>PUT /drivers/me/availability</x:v>
      </x:c>
      <x:c r="K27" s="14" t="str">
        <x:v>Integration</x:v>
      </x:c>
      <x:c r="L27" s="14" t="str">
        <x:v>DEFINED</x:v>
      </x:c>
      <x:c r="M27" s="33"/>
      <x:c r="N27" s="33" t="str">
        <x:v>NOT_RUN</x:v>
      </x:c>
      <x:c r="O27" s="14" t="str">
        <x:v>Chưa chạy. Fixture giả trong môi trường kiểm thử cô lập.</x:v>
      </x:c>
      <x:c r="P27" s="14" t="str">
        <x:v>R23</x:v>
      </x:c>
      <x:c r="Q27" s="14" t="str">
        <x:v>Request/response đã che token; dữ liệu trước/sau hoặc log kiểm tra có correlationId; môi trường, commit và thời gian chạy. Không ghi mật khẩu thật.</x:v>
      </x:c>
    </x:row>
    <x:row r="28" ht="104" customHeight="1">
      <x:c r="A28" s="14" t="str">
        <x:v>TC-DREG-027</x:v>
      </x:c>
      <x:c r="B28" s="14" t="str">
        <x:v>Driver Registration</x:v>
      </x:c>
      <x:c r="C28" s="14" t="str">
        <x:v>GPS cũ chặn online</x:v>
      </x:c>
      <x:c r="D28" s="14" t="str">
        <x:v>D1 đủ mọi điều kiện khác; recordedAt cách server 31 giây, receivedAt mới.</x:v>
      </x:c>
      <x:c r="E28" s="14" t="str">
        <x:v>1. Chuẩn bị fixture độc lập theo Preconditions.
2. PUT /drivers/me/availability với Test Data; lưu phản hồi và correlationId.
3. Đối chiếu từng điều kiện Expected Result với dữ liệu sau thao tác.</x:v>
      </x:c>
      <x:c r="F28" s="14" t="str">
        <x:v>AVAILABLE; version đúng; key mới</x:v>
      </x:c>
      <x:c r="G28" s="14" t="str">
        <x:v>409 LOCATION_STALE; vẫn OFFLINE; không dùng receivedAt để làm mới tuổi GPS.</x:v>
      </x:c>
      <x:c r="H28" s="14" t="str">
        <x:v>High</x:v>
      </x:c>
      <x:c r="I28" s="14" t="str">
        <x:v>API 1.2; rubric liên kết</x:v>
      </x:c>
      <x:c r="J28" s="14" t="str">
        <x:v>PUT /drivers/me/availability</x:v>
      </x:c>
      <x:c r="K28" s="14" t="str">
        <x:v>Integration</x:v>
      </x:c>
      <x:c r="L28" s="14" t="str">
        <x:v>DEFINED</x:v>
      </x:c>
      <x:c r="M28" s="33"/>
      <x:c r="N28" s="33" t="str">
        <x:v>NOT_RUN</x:v>
      </x:c>
      <x:c r="O28" s="14" t="str">
        <x:v>Chưa chạy. Fixture giả trong môi trường kiểm thử cô lập.</x:v>
      </x:c>
      <x:c r="P28" s="14" t="str">
        <x:v>R23</x:v>
      </x:c>
      <x:c r="Q28" s="14" t="str">
        <x:v>Request/response đã che token; dữ liệu trước/sau hoặc log kiểm tra có correlationId; môi trường, commit và thời gian chạy. Không ghi mật khẩu thật.</x:v>
      </x:c>
    </x:row>
    <x:row r="29" ht="119" customHeight="1">
      <x:c r="A29" s="14" t="str">
        <x:v>TC-DREG-028</x:v>
      </x:c>
      <x:c r="B29" s="14" t="str">
        <x:v>Driver Registration</x:v>
      </x:c>
      <x:c r="C29" s="14" t="str">
        <x:v>Offline tranh chấp với accept</x:v>
      </x:c>
      <x:c r="D29" s="14" t="str">
        <x:v>D1 AVAILABLE; TripRequest hợp lệ còn hạn; không Trip hoạt động.</x:v>
      </x:c>
      <x:c r="E29" s="14" t="str">
        <x:v>1. Chuẩn bị fixture độc lập theo Preconditions.
2. Gửi đồng thời PUT availability OFFLINE và POST accept với Test Data; lưu phản hồi và correlationId.
3. Đối chiếu từng điều kiện Expected Result với dữ liệu sau thao tác.</x:v>
      </x:c>
      <x:c r="F29" s="14" t="str">
        <x:v>Hai request được đồng bộ bằng barrier trong test</x:v>
      </x:c>
      <x:c r="G29" s="14" t="str">
        <x:v>Chỉ một kết quả nghiệp vụ thắng: OFFLINE thì accept thất bại, hoặc accept tạo Trip và OFFLINE trả 409; không có Driver OFFLINE đang giữ Trip mới.</x:v>
      </x:c>
      <x:c r="H29" s="14" t="str">
        <x:v>High</x:v>
      </x:c>
      <x:c r="I29" s="14" t="str">
        <x:v>API 1.2; rubric liên kết</x:v>
      </x:c>
      <x:c r="J29" s="14" t="str">
        <x:v>Gửi đồng thời PUT availability OFFLINE và POST accept</x:v>
      </x:c>
      <x:c r="K29" s="14" t="str">
        <x:v>Integration</x:v>
      </x:c>
      <x:c r="L29" s="14" t="str">
        <x:v>DEFINED</x:v>
      </x:c>
      <x:c r="M29" s="33"/>
      <x:c r="N29" s="33" t="str">
        <x:v>NOT_RUN</x:v>
      </x:c>
      <x:c r="O29" s="14" t="str">
        <x:v>Chưa chạy. Fixture giả trong môi trường kiểm thử cô lập.</x:v>
      </x:c>
      <x:c r="P29" s="14" t="str">
        <x:v>R16; R23</x:v>
      </x:c>
      <x:c r="Q29" s="14" t="str">
        <x:v>Request/response đã che token; dữ liệu trước/sau hoặc log kiểm tra có correlationId; môi trường, commit và thời gian chạy. Không ghi mật khẩu thật.</x:v>
      </x:c>
    </x:row>
    <x:row r="30" ht="119" customHeight="1">
      <x:c r="A30" s="14" t="str">
        <x:v>TC-DREG-029</x:v>
      </x:c>
      <x:c r="B30" s="14" t="str">
        <x:v>Driver Registration</x:v>
      </x:c>
      <x:c r="C30" s="14" t="str">
        <x:v>Hồ sơ REJECTED không làm mất quyền xem kết quả</x:v>
      </x:c>
      <x:c r="D30" s="14" t="str">
        <x:v>A1 REJECTED, Account D1 ACTIVE.</x:v>
      </x:c>
      <x:c r="E30" s="14" t="str">
        <x:v>1. Chuẩn bị fixture độc lập theo Preconditions.
2. POST /auth/login; GET /driver-applications/me; GET /notifications với Test Data; lưu phản hồi và correlationId.
3. Đối chiếu từng điều kiện Expected Result với dữ liệu sau thao tác.</x:v>
      </x:c>
      <x:c r="F30" s="14" t="str">
        <x:v>D1 đăng nhập hợp lệ</x:v>
      </x:c>
      <x:c r="G30" s="14" t="str">
        <x:v>200; thấy lý do từ chối và thông báo của mình; không được online hoặc tự đổi approvalStatus.</x:v>
      </x:c>
      <x:c r="H30" s="14" t="str">
        <x:v>High</x:v>
      </x:c>
      <x:c r="I30" s="14" t="str">
        <x:v>API 1.2; rubric liên kết</x:v>
      </x:c>
      <x:c r="J30" s="14" t="str">
        <x:v>POST /auth/login; GET /driver-applications/me; GET /notifications</x:v>
      </x:c>
      <x:c r="K30" s="14" t="str">
        <x:v>Integration</x:v>
      </x:c>
      <x:c r="L30" s="14" t="str">
        <x:v>DEFINED</x:v>
      </x:c>
      <x:c r="M30" s="33"/>
      <x:c r="N30" s="33" t="str">
        <x:v>NOT_RUN</x:v>
      </x:c>
      <x:c r="O30" s="14" t="str">
        <x:v>Chưa chạy. Fixture giả trong môi trường kiểm thử cô lập.</x:v>
      </x:c>
      <x:c r="P30" s="14" t="str">
        <x:v>R21; R22</x:v>
      </x:c>
      <x:c r="Q30" s="14" t="str">
        <x:v>Request/response đã che token; dữ liệu trước/sau hoặc log kiểm tra có correlationId; môi trường, commit và thời gian chạy. Không ghi mật khẩu thật.</x:v>
      </x:c>
    </x:row>
    <x:row r="31" ht="104" customHeight="1">
      <x:c r="A31" s="14" t="str">
        <x:v>TC-DREG-030</x:v>
      </x:c>
      <x:c r="B31" s="14" t="str">
        <x:v>Driver Registration</x:v>
      </x:c>
      <x:c r="C31" s="14" t="str">
        <x:v>Gửi OTP qua nhà cung cấp thực tế</x:v>
      </x:c>
      <x:c r="D31" s="14" t="str">
        <x:v>Chọn adapter OTP, môi trường và số thử nghiệm được phép nhận tin.</x:v>
      </x:c>
      <x:c r="E31" s="14" t="str">
        <x:v>1. Chuẩn bị fixture độc lập theo Preconditions.
2. Xin OTP và xác minh bằng mã nhận được với Test Data; lưu phản hồi và correlationId.
3. Đối chiếu từng điều kiện Expected Result với dữ liệu sau thao tác.</x:v>
      </x:c>
      <x:c r="F31" s="14" t="str">
        <x:v>Payload/cách nhận mã theo provider đã chọn</x:v>
      </x:c>
      <x:c r="G31" s="14" t="str">
        <x:v>Mã gửi đúng số đã yêu cầu, đúng hạn, không lộ qua API/log; xác minh được trước khi đăng ký. Job queued không được tính là đã nhận OTP.</x:v>
      </x:c>
      <x:c r="H31" s="14" t="str">
        <x:v>High</x:v>
      </x:c>
      <x:c r="I31" s="14" t="str">
        <x:v>API 1.2; rubric liên kết</x:v>
      </x:c>
      <x:c r="J31" s="14" t="str">
        <x:v>Xin OTP và xác minh bằng mã nhận được</x:v>
      </x:c>
      <x:c r="K31" s="14" t="str">
        <x:v>Integration</x:v>
      </x:c>
      <x:c r="L31" s="14" t="str">
        <x:v>NEEDS_DECISION</x:v>
      </x:c>
      <x:c r="M31" s="33"/>
      <x:c r="N31" s="33" t="str">
        <x:v>NOT_RUN</x:v>
      </x:c>
      <x:c r="O31" s="14" t="str">
        <x:v>Chờ chọn nhà cung cấp/kênh OTP và tài khoản thử nghiệm. Mock chỉ chứng minh logic nội bộ.</x:v>
      </x:c>
      <x:c r="P31" s="14" t="str">
        <x:v>R21</x:v>
      </x:c>
      <x:c r="Q31" s="14" t="str">
        <x:v>Biên nhận gửi của sandbox/provider và thời gian nhận/xác minh đã che phone; API/log redacted.</x:v>
      </x:c>
    </x:row>
  </x:sheetData>
  <x:conditionalFormatting sqref="L2:L31">
    <x:cfRule type="containsText" dxfId="88" priority="1" operator="containsText" text="NEEDS_DECISION"/>
    <x:cfRule type="containsText" dxfId="89" priority="2" operator="containsText" text="OUT_OF_SCOPE"/>
    <x:cfRule type="containsText" dxfId="90" priority="3" operator="containsText" text="SUPERSEDED"/>
  </x:conditionalFormatting>
  <x:conditionalFormatting sqref="N2:N31">
    <x:cfRule type="containsText" dxfId="91" priority="4" operator="containsText" text="FAIL"/>
    <x:cfRule type="containsText" dxfId="92" priority="5" operator="containsText" text="BLOCKED"/>
  </x:conditionalFormatting>
  <x:dataValidations count="3">
    <x:dataValidation type="list" sqref="L2:L31">
      <x:formula1>"DEFINED,NEEDS_DECISION,OUT_OF_SCOPE,SUPERSEDED"</x:formula1>
    </x:dataValidation>
    <x:dataValidation type="list" sqref="N2:N31">
      <x:formula1>"NOT_RUN,PASS,FAIL,BLOCKED"</x:formula1>
    </x:dataValidation>
    <x:dataValidation type="list" sqref="K2:K31">
      <x:formula1>"API,Integration,UI,Performance,Review,Security"</x:formula1>
    </x:dataValidation>
  </x:dataValidations>
  <x:pageMargins left="0.7" right="0.7" top="0.75" bottom="0.75" header="0.3" footer="0.3"/>
  <x:tableParts count="1">
    <x:tablePart xmlns:r="http://schemas.openxmlformats.org/officeDocument/2006/relationships" r:id="R0cdcd16155034044"/>
  </x:tableParts>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2" t="str">
        <x:v>Test Case ID</x:v>
      </x:c>
      <x:c r="B1" s="32" t="str">
        <x:v>Test Scenario</x:v>
      </x:c>
      <x:c r="C1" s="32" t="str">
        <x:v>Test Case</x:v>
      </x:c>
      <x:c r="D1" s="32" t="str">
        <x:v>Preconditions</x:v>
      </x:c>
      <x:c r="E1" s="32" t="str">
        <x:v>Test Steps</x:v>
      </x:c>
      <x:c r="F1" s="32" t="str">
        <x:v>Test Data</x:v>
      </x:c>
      <x:c r="G1" s="32" t="str">
        <x:v>Expected Result</x:v>
      </x:c>
      <x:c r="H1" s="32"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19" customHeight="1">
      <x:c r="A2" s="14" t="str">
        <x:v>TC-ARCH-001</x:v>
      </x:c>
      <x:c r="B2" s="14" t="str">
        <x:v>Architecture</x:v>
      </x:c>
      <x:c r="C2" s="14" t="str">
        <x:v>Cấu trúc source và ranh giới module/service</x:v>
      </x:c>
      <x:c r="D2" s="14" t="str">
        <x:v>Có commit triển khai cần đánh giá.</x:v>
      </x:c>
      <x:c r="E2" s="14" t="str">
        <x:v>1. Chuẩn bị fixture độc lập theo Preconditions.
2. Review cây source, cấu hình build và manifest với Test Data; lưu phản hồi và correlationId.
3. Đối chiếu từng điều kiện Expected Result với dữ liệu sau thao tác.</x:v>
      </x:c>
      <x:c r="F2" s="14" t="str">
        <x:v>Gateway, CAB Core API/worker, Rating, Notification; module Identity/Booking/Dispatch/Trip/Billing/Operations</x:v>
      </x:c>
      <x:c r="G2" s="14" t="str">
        <x:v>Xác định rõ 3 business service và Gateway; Core worker cùng service Core; entrypoint/build chạy được; không suy ra microservice chỉ từ tên thư mục.</x:v>
      </x:c>
      <x:c r="H2" s="14" t="str">
        <x:v>High</x:v>
      </x:c>
      <x:c r="I2" s="14" t="str">
        <x:v>API 1.2; rubric liên kết</x:v>
      </x:c>
      <x:c r="J2" s="14" t="str">
        <x:v>Review cây source, cấu hình build và manifest</x:v>
      </x:c>
      <x:c r="K2" s="14" t="str">
        <x:v>Review</x:v>
      </x:c>
      <x:c r="L2" s="14" t="str">
        <x:v>DEFINED</x:v>
      </x:c>
      <x:c r="M2" s="33"/>
      <x:c r="N2" s="33" t="str">
        <x:v>NOT_RUN</x:v>
      </x:c>
      <x:c r="O2" s="14" t="str">
        <x:v>Chưa chạy. Fixture giả trong môi trường kiểm thử cô lập.</x:v>
      </x:c>
      <x:c r="P2" s="14" t="str">
        <x:v>R01</x:v>
      </x:c>
      <x:c r="Q2" s="14" t="str">
        <x:v>Cây source, README và manifest tại commit cụ thể; log build/khởi động.</x:v>
      </x:c>
    </x:row>
    <x:row r="3" ht="119" customHeight="1">
      <x:c r="A3" s="14" t="str">
        <x:v>TC-ARCH-002</x:v>
      </x:c>
      <x:c r="B3" s="14" t="str">
        <x:v>Architecture</x:v>
      </x:c>
      <x:c r="C3" s="14" t="str">
        <x:v>Gitignore và cấu hình môi trường không chứa secret</x:v>
      </x:c>
      <x:c r="D3" s="14" t="str">
        <x:v>Có repository và bản .env.example.</x:v>
      </x:c>
      <x:c r="E3" s="14" t="str">
        <x:v>1. Chuẩn bị fixture độc lập theo Preconditions.
2. Kiểm tra file theo dõi bởi Git và cấu hình runtime với Test Data; lưu phản hồi và correlationId.
3. Đối chiếu từng điều kiện Expected Result với dữ liệu sau thao tác.</x:v>
      </x:c>
      <x:c r="F3" s="14" t="str">
        <x:v>Giá trị giả; kiểm tra .env, node_modules, file sinh và template env</x:v>
      </x:c>
      <x:c r="G3" s="14" t="str">
        <x:v>Secret thật không nằm trong file được theo dõi; .env.example chỉ placeholder, đủ tên biến; ứng dụng đọc cấu hình môi trường; không coi riêng dòng .gitignore là bằng chứng secret chưa từng commit.</x:v>
      </x:c>
      <x:c r="H3" s="14" t="str">
        <x:v>High</x:v>
      </x:c>
      <x:c r="I3" s="14" t="str">
        <x:v>API 1.2; rubric liên kết</x:v>
      </x:c>
      <x:c r="J3" s="14" t="str">
        <x:v>Kiểm tra file theo dõi bởi Git và cấu hình runtime</x:v>
      </x:c>
      <x:c r="K3" s="14" t="str">
        <x:v>Review</x:v>
      </x:c>
      <x:c r="L3" s="14" t="str">
        <x:v>DEFINED</x:v>
      </x:c>
      <x:c r="M3" s="33"/>
      <x:c r="N3" s="33" t="str">
        <x:v>NOT_RUN</x:v>
      </x:c>
      <x:c r="O3" s="14" t="str">
        <x:v>Chưa chạy. Fixture giả trong môi trường kiểm thử cô lập.</x:v>
      </x:c>
      <x:c r="P3" s="14" t="str">
        <x:v>R02</x:v>
      </x:c>
      <x:c r="Q3" s="14" t="str">
        <x:v>Danh sách file tracked và kết quả kiểm tra đã che secret; .env.example; log validation env không lộ giá trị.</x:v>
      </x:c>
    </x:row>
    <x:row r="4" ht="104" customHeight="1">
      <x:c r="A4" s="14" t="str">
        <x:v>TC-ARCH-003</x:v>
      </x:c>
      <x:c r="B4" s="14" t="str">
        <x:v>Architecture</x:v>
      </x:c>
      <x:c r="C4" s="14" t="str">
        <x:v>Gateway định tuyến đúng service</x:v>
      </x:c>
      <x:c r="D4" s="14" t="str">
        <x:v>Stack Compose chạy; chỉ Gateway mở cổng công khai.</x:v>
      </x:c>
      <x:c r="E4" s="14" t="str">
        <x:v>1. Chuẩn bị fixture độc lập theo Preconditions.
2. Gọi API qua Gateway và theo correlationId với Test Data; lưu phản hồi và correlationId.
3. Đối chiếu từng điều kiện Expected Result với dữ liệu sau thao tác.</x:v>
      </x:c>
      <x:c r="F4" s="14" t="str">
        <x:v>/bookings, /trips/T1/rating, /operations/ratings, /notifications</x:v>
      </x:c>
      <x:c r="G4" s="14" t="str">
        <x:v>Route cụ thể đi đúng Core/Rating/Notification; không nuốt route Rating bởi tiền tố /trips hoặc /operations; trace phản ánh service đích.</x:v>
      </x:c>
      <x:c r="H4" s="14" t="str">
        <x:v>High</x:v>
      </x:c>
      <x:c r="I4" s="14" t="str">
        <x:v>API 1.2; rubric liên kết</x:v>
      </x:c>
      <x:c r="J4" s="14" t="str">
        <x:v>Gọi API qua Gateway và theo correlationId</x:v>
      </x:c>
      <x:c r="K4" s="14" t="str">
        <x:v>Integration</x:v>
      </x:c>
      <x:c r="L4" s="14" t="str">
        <x:v>DEFINED</x:v>
      </x:c>
      <x:c r="M4" s="33"/>
      <x:c r="N4" s="33" t="str">
        <x:v>NOT_RUN</x:v>
      </x:c>
      <x:c r="O4" s="14" t="str">
        <x:v>Chưa chạy. Fixture giả trong môi trường kiểm thử cô lập.</x:v>
      </x:c>
      <x:c r="P4" s="14" t="str">
        <x:v>R03; R08</x:v>
      </x:c>
      <x:c r="Q4" s="14" t="str">
        <x:v>Request/response đã che token; dữ liệu trước/sau hoặc log kiểm tra có correlationId; môi trường, commit và thời gian chạy. Không ghi mật khẩu thật.</x:v>
      </x:c>
    </x:row>
    <x:row r="5" ht="104" customHeight="1">
      <x:c r="A5" s="14" t="str">
        <x:v>TC-ARCH-004</x:v>
      </x:c>
      <x:c r="B5" s="14" t="str">
        <x:v>Architecture</x:v>
      </x:c>
      <x:c r="C5" s="14" t="str">
        <x:v>HTTP Rating đến Core là IPC thực tế</x:v>
      </x:c>
      <x:c r="D5" s="14" t="str">
        <x:v>Rating/Core chạy container riêng với mạng nội bộ.</x:v>
      </x:c>
      <x:c r="E5" s="14" t="str">
        <x:v>1. Chuẩn bị fixture độc lập theo Preconditions.
2. Tạo Rating hợp lệ và quan sát HTTP trace với Test Data; lưu phản hồi và correlationId.
3. Đối chiếu từng điều kiện Expected Result với dữ liệu sau thao tác.</x:v>
      </x:c>
      <x:c r="F5" s="14" t="str">
        <x:v>Service JWT và user JWT đúng; T1 COMPLETED</x:v>
      </x:c>
      <x:c r="G5" s="14" t="str">
        <x:v>Có request rating-context thực tế tới Core; Core kiểm tra user/Trip; Rating ghi cab_rating; không truy cập trực tiếp cab_core.</x:v>
      </x:c>
      <x:c r="H5" s="14" t="str">
        <x:v>High</x:v>
      </x:c>
      <x:c r="I5" s="14" t="str">
        <x:v>API 1.2; rubric liên kết</x:v>
      </x:c>
      <x:c r="J5" s="14" t="str">
        <x:v>Tạo Rating hợp lệ và quan sát HTTP trace</x:v>
      </x:c>
      <x:c r="K5" s="14" t="str">
        <x:v>Integration</x:v>
      </x:c>
      <x:c r="L5" s="14" t="str">
        <x:v>DEFINED</x:v>
      </x:c>
      <x:c r="M5" s="33"/>
      <x:c r="N5" s="33" t="str">
        <x:v>NOT_RUN</x:v>
      </x:c>
      <x:c r="O5" s="14" t="str">
        <x:v>Chưa chạy. Fixture giả trong môi trường kiểm thử cô lập.</x:v>
      </x:c>
      <x:c r="P5" s="14" t="str">
        <x:v>R04; R20</x:v>
      </x:c>
      <x:c r="Q5" s="14" t="str">
        <x:v>Trace liên service, log route nội bộ, cấu hình DB theo service và Rating được tạo.</x:v>
      </x:c>
    </x:row>
    <x:row r="6" ht="104" customHeight="1">
      <x:c r="A6" s="14" t="str">
        <x:v>TC-ARCH-005</x:v>
      </x:c>
      <x:c r="B6" s="14" t="str">
        <x:v>Architecture</x:v>
      </x:c>
      <x:c r="C6" s="14" t="str">
        <x:v>Compose dựng đủ thành phần và healthcheck</x:v>
      </x:c>
      <x:c r="D6" s="14" t="str">
        <x:v>Máy thử có Docker, cấu hình env mẫu hợp lệ.</x:v>
      </x:c>
      <x:c r="E6" s="14" t="str">
        <x:v>1. Chuẩn bị fixture độc lập theo Preconditions.
2. Dựng stack từ checkout sạch theo README với Test Data; lưu phản hồi và correlationId.
3. Đối chiếu từng điều kiện Expected Result với dữ liệu sau thao tác.</x:v>
      </x:c>
      <x:c r="F6" s="14" t="str">
        <x:v>Gateway/Core API/Core worker/Rating/Notification/Postgres/Redis/RabbitMQ</x:v>
      </x:c>
      <x:c r="G6" s="14" t="str">
        <x:v>Các container cần thiết chạy, healthcheck có lệnh thật và trạng thái kiểm chứng; không phụ thuộc tiến trình backend chạy tay ngoài Compose.</x:v>
      </x:c>
      <x:c r="H6" s="14" t="str">
        <x:v>High</x:v>
      </x:c>
      <x:c r="I6" s="14" t="str">
        <x:v>API 1.2; rubric liên kết</x:v>
      </x:c>
      <x:c r="J6" s="14" t="str">
        <x:v>Dựng stack từ checkout sạch theo README</x:v>
      </x:c>
      <x:c r="K6" s="14" t="str">
        <x:v>Integration</x:v>
      </x:c>
      <x:c r="L6" s="14" t="str">
        <x:v>DEFINED</x:v>
      </x:c>
      <x:c r="M6" s="33"/>
      <x:c r="N6" s="33" t="str">
        <x:v>NOT_RUN</x:v>
      </x:c>
      <x:c r="O6" s="14" t="str">
        <x:v>Chưa chạy. Fixture giả trong môi trường kiểm thử cô lập.</x:v>
      </x:c>
      <x:c r="P6" s="14" t="str">
        <x:v>R05</x:v>
      </x:c>
      <x:c r="Q6" s="14" t="str">
        <x:v>Compose config đã che secret; compose ps; log build/start và inspect health từng container.</x:v>
      </x:c>
    </x:row>
    <x:row r="7" ht="119" customHeight="1">
      <x:c r="A7" s="14" t="str">
        <x:v>TC-ARCH-006</x:v>
      </x:c>
      <x:c r="B7" s="14" t="str">
        <x:v>Architecture</x:v>
      </x:c>
      <x:c r="C7" s="14" t="str">
        <x:v>Dữ liệu tồn tại sau restart container</x:v>
      </x:c>
      <x:c r="D7" s="14" t="str">
        <x:v>Có Booking, Rating và Notification test đã commit.</x:v>
      </x:c>
      <x:c r="E7" s="14" t="str">
        <x:v>1. Chuẩn bị fixture độc lập theo Preconditions.
2. Restart container qua Compose trong môi trường test với Test Data; lưu phản hồi và correlationId.
3. Đối chiếu từng điều kiện Expected Result với dữ liệu sau thao tác.</x:v>
      </x:c>
      <x:c r="F7" s="14" t="str">
        <x:v>Không xóa volume; dùng dữ liệu test có ID đã ghi</x:v>
      </x:c>
      <x:c r="G7" s="14" t="str">
        <x:v>Sau khởi động dữ liệu vẫn tồn tại; RabbitMQ khôi phục message bền vững chưa xử lý; không tạo trùng khi nhận lại.</x:v>
      </x:c>
      <x:c r="H7" s="14" t="str">
        <x:v>High</x:v>
      </x:c>
      <x:c r="I7" s="14" t="str">
        <x:v>API 1.2; rubric liên kết</x:v>
      </x:c>
      <x:c r="J7" s="14" t="str">
        <x:v>Restart container qua Compose trong môi trường test</x:v>
      </x:c>
      <x:c r="K7" s="14" t="str">
        <x:v>Integration</x:v>
      </x:c>
      <x:c r="L7" s="14" t="str">
        <x:v>DEFINED</x:v>
      </x:c>
      <x:c r="M7" s="33"/>
      <x:c r="N7" s="33" t="str">
        <x:v>NOT_RUN</x:v>
      </x:c>
      <x:c r="O7" s="14" t="str">
        <x:v>Chưa chạy. Fixture giả trong môi trường kiểm thử cô lập.</x:v>
      </x:c>
      <x:c r="P7" s="14" t="str">
        <x:v>R05; R07</x:v>
      </x:c>
      <x:c r="Q7" s="14" t="str">
        <x:v>Request/response đã che token; dữ liệu trước/sau hoặc log kiểm tra có correlationId; môi trường, commit và thời gian chạy. Không ghi mật khẩu thật.</x:v>
      </x:c>
    </x:row>
    <x:row r="8" ht="104" customHeight="1">
      <x:c r="A8" s="14" t="str">
        <x:v>TC-ARCH-007</x:v>
      </x:c>
      <x:c r="B8" s="14" t="str">
        <x:v>Architecture</x:v>
      </x:c>
      <x:c r="C8" s="14" t="str">
        <x:v>Liveness không giả thành readiness toàn hệ thống</x:v>
      </x:c>
      <x:c r="D8" s="14" t="str">
        <x:v>Gateway chạy, một dependency bắt buộc bị ngừng trong test.</x:v>
      </x:c>
      <x:c r="E8" s="14" t="str">
        <x:v>1. Chuẩn bị fixture độc lập theo Preconditions.
2. GET /health và GET /ready với Test Data; lưu phản hồi và correlationId.
3. Đối chiếu từng điều kiện Expected Result với dữ liệu sau thao tác.</x:v>
      </x:c>
      <x:c r="F8" s="14" t="str">
        <x:v>Route gốc không có /v1</x:v>
      </x:c>
      <x:c r="G8" s="14" t="str">
        <x:v>/health trả 200 UP nếu Gateway còn sống; /ready trả 503 NOT_READY khi dependency bắt buộc lỗi; response công khai không lộ topology/secret.</x:v>
      </x:c>
      <x:c r="H8" s="14" t="str">
        <x:v>High</x:v>
      </x:c>
      <x:c r="I8" s="14" t="str">
        <x:v>API 1.2; rubric liên kết</x:v>
      </x:c>
      <x:c r="J8" s="14" t="str">
        <x:v>GET /health và GET /ready</x:v>
      </x:c>
      <x:c r="K8" s="14" t="str">
        <x:v>Integration</x:v>
      </x:c>
      <x:c r="L8" s="14" t="str">
        <x:v>DEFINED</x:v>
      </x:c>
      <x:c r="M8" s="33"/>
      <x:c r="N8" s="33" t="str">
        <x:v>NOT_RUN</x:v>
      </x:c>
      <x:c r="O8" s="14" t="str">
        <x:v>Chưa chạy. Fixture giả trong môi trường kiểm thử cô lập.</x:v>
      </x:c>
      <x:c r="P8" s="14" t="str">
        <x:v>R06</x:v>
      </x:c>
      <x:c r="Q8" s="14" t="str">
        <x:v>Request/response đã che token; dữ liệu trước/sau hoặc log kiểm tra có correlationId; môi trường, commit và thời gian chạy. Không ghi mật khẩu thật.</x:v>
      </x:c>
    </x:row>
    <x:row r="9" ht="104" customHeight="1">
      <x:c r="A9" s="14" t="str">
        <x:v>TC-ARCH-008</x:v>
      </x:c>
      <x:c r="B9" s="14" t="str">
        <x:v>Architecture</x:v>
      </x:c>
      <x:c r="C9" s="14" t="str">
        <x:v>Health services chỉ Operator được xem</x:v>
      </x:c>
      <x:c r="D9" s="14" t="str">
        <x:v>Stack chạy; O1/C1/D1 token hợp lệ.</x:v>
      </x:c>
      <x:c r="E9" s="14" t="str">
        <x:v>1. Chuẩn bị fixture độc lập theo Preconditions.
2. GET /health/services với Test Data; lưu phản hồi và correlationId.
3. Đối chiếu từng điều kiện Expected Result với dữ liệu sau thao tác.</x:v>
      </x:c>
      <x:c r="F9" s="14" t="str">
        <x:v>O1, C1, D1 và không token; các lượt riêng</x:v>
      </x:c>
      <x:c r="G9" s="14" t="str">
        <x:v>O1 nhận trạng thái thực của tám thành phần; C1/D1 403; không token 401. Không trả connection string hoặc raw exception.</x:v>
      </x:c>
      <x:c r="H9" s="14" t="str">
        <x:v>High</x:v>
      </x:c>
      <x:c r="I9" s="14" t="str">
        <x:v>API 1.2; rubric liên kết</x:v>
      </x:c>
      <x:c r="J9" s="14" t="str">
        <x:v>GET /health/services</x:v>
      </x:c>
      <x:c r="K9" s="14" t="str">
        <x:v>Integration</x:v>
      </x:c>
      <x:c r="L9" s="14" t="str">
        <x:v>DEFINED</x:v>
      </x:c>
      <x:c r="M9" s="33"/>
      <x:c r="N9" s="33" t="str">
        <x:v>NOT_RUN</x:v>
      </x:c>
      <x:c r="O9" s="14" t="str">
        <x:v>Chưa chạy. Fixture giả trong môi trường kiểm thử cô lập.</x:v>
      </x:c>
      <x:c r="P9" s="14" t="str">
        <x:v>R06</x:v>
      </x:c>
      <x:c r="Q9" s="14" t="str">
        <x:v>Request/response đã che token; dữ liệu trước/sau hoặc log kiểm tra có correlationId; môi trường, commit và thời gian chạy. Không ghi mật khẩu thật.</x:v>
      </x:c>
    </x:row>
    <x:row r="10" ht="119" customHeight="1">
      <x:c r="A10" s="14" t="str">
        <x:v>TC-ARCH-009</x:v>
      </x:c>
      <x:c r="B10" s="14" t="str">
        <x:v>Architecture</x:v>
      </x:c>
      <x:c r="C10" s="14" t="str">
        <x:v>Worker mất heartbeat làm readiness không đạt</x:v>
      </x:c>
      <x:c r="D10" s="14" t="str">
        <x:v>Core worker ngừng, Gateway/Core API vẫn chạy.</x:v>
      </x:c>
      <x:c r="E10" s="14" t="str">
        <x:v>1. Chuẩn bị fixture độc lập theo Preconditions.
2. Chờ quá ngưỡng heartbeat cấu hình rồi đọc readiness với Test Data; lưu phản hồi và correlationId.
3. Đối chiếu từng điều kiện Expected Result với dữ liệu sau thao tác.</x:v>
      </x:c>
      <x:c r="F10" s="14" t="str">
        <x:v>Timeout và max-age probe đã cấu hình, không hard-code kết quả</x:v>
      </x:c>
      <x:c r="G10" s="14" t="str">
        <x:v>/ready 503; báo cáo của O1 có worker DOWN/UNKNOWN và reason phù hợp; không READY từ heartbeat quá cũ.</x:v>
      </x:c>
      <x:c r="H10" s="14" t="str">
        <x:v>High</x:v>
      </x:c>
      <x:c r="I10" s="14" t="str">
        <x:v>API 1.2; rubric liên kết</x:v>
      </x:c>
      <x:c r="J10" s="14" t="str">
        <x:v>Chờ quá ngưỡng heartbeat cấu hình rồi đọc readiness</x:v>
      </x:c>
      <x:c r="K10" s="14" t="str">
        <x:v>Integration</x:v>
      </x:c>
      <x:c r="L10" s="14" t="str">
        <x:v>DEFINED</x:v>
      </x:c>
      <x:c r="M10" s="33"/>
      <x:c r="N10" s="33" t="str">
        <x:v>NOT_RUN</x:v>
      </x:c>
      <x:c r="O10" s="14" t="str">
        <x:v>Chưa chạy. Fixture giả trong môi trường kiểm thử cô lập.</x:v>
      </x:c>
      <x:c r="P10" s="14" t="str">
        <x:v>R06</x:v>
      </x:c>
      <x:c r="Q10" s="14" t="str">
        <x:v>Request/response đã che token; dữ liệu trước/sau hoặc log kiểm tra có correlationId; môi trường, commit và thời gian chạy. Không ghi mật khẩu thật.</x:v>
      </x:c>
    </x:row>
    <x:row r="11" ht="119" customHeight="1">
      <x:c r="A11" s="14" t="str">
        <x:v>TC-ARCH-010</x:v>
      </x:c>
      <x:c r="B11" s="14" t="str">
        <x:v>Architecture</x:v>
      </x:c>
      <x:c r="C11" s="14" t="str">
        <x:v>Business event đi qua RabbitMQ đến Notification</x:v>
      </x:c>
      <x:c r="D11" s="14" t="str">
        <x:v>Booking mới hợp lệ; stack có broker thực.</x:v>
      </x:c>
      <x:c r="E11" s="14" t="str">
        <x:v>1. Chuẩn bị fixture độc lập theo Preconditions.
2. Tạo Booking, theo eventId qua outbox/broker/inbox với Test Data; lưu phản hồi và correlationId.
3. Đối chiếu từng điều kiện Expected Result với dữ liệu sau thao tác.</x:v>
      </x:c>
      <x:c r="F11" s="14" t="str">
        <x:v>C1 và dữ liệu Booking hợp lệ</x:v>
      </x:c>
      <x:c r="G11" s="14" t="str">
        <x:v>Outbox phát bằng publisher confirm, inbox lưu trước ACK; Notification SENT cho C1; không dùng HTTP trực tiếp để thay broker.</x:v>
      </x:c>
      <x:c r="H11" s="14" t="str">
        <x:v>High</x:v>
      </x:c>
      <x:c r="I11" s="14" t="str">
        <x:v>API 1.2; rubric liên kết</x:v>
      </x:c>
      <x:c r="J11" s="14" t="str">
        <x:v>Tạo Booking, theo eventId qua outbox/broker/inbox</x:v>
      </x:c>
      <x:c r="K11" s="14" t="str">
        <x:v>Integration</x:v>
      </x:c>
      <x:c r="L11" s="14" t="str">
        <x:v>DEFINED</x:v>
      </x:c>
      <x:c r="M11" s="33"/>
      <x:c r="N11" s="33" t="str">
        <x:v>NOT_RUN</x:v>
      </x:c>
      <x:c r="O11" s="14" t="str">
        <x:v>Chưa chạy. Fixture giả trong môi trường kiểm thử cô lập.</x:v>
      </x:c>
      <x:c r="P11" s="14" t="str">
        <x:v>R07</x:v>
      </x:c>
      <x:c r="Q11" s="14" t="str">
        <x:v>EventId nhất quán tại outbox, broker, inbox và Notification; log ACK/confirm hoặc quan sát fault injection.</x:v>
      </x:c>
    </x:row>
    <x:row r="12" ht="104" customHeight="1">
      <x:c r="A12" s="14" t="str">
        <x:v>TC-ARCH-011</x:v>
      </x:c>
      <x:c r="B12" s="14" t="str">
        <x:v>Architecture</x:v>
      </x:c>
      <x:c r="C12" s="14" t="str">
        <x:v>Broker ngừng không rollback nghiệp vụ</x:v>
      </x:c>
      <x:c r="D12" s="14" t="str">
        <x:v>RabbitMQ tạm ngừng trước khi tạo Booking; Core database còn hoạt động.</x:v>
      </x:c>
      <x:c r="E12" s="14" t="str">
        <x:v>1. Chuẩn bị fixture độc lập theo Preconditions.
2. Tạo Booking rồi phục hồi broker với Test Data; lưu phản hồi và correlationId.
3. Đối chiếu từng điều kiện Expected Result với dữ liệu sau thao tác.</x:v>
      </x:c>
      <x:c r="F12" s="14" t="str">
        <x:v>Key K1; đợi worker chạy lại</x:v>
      </x:c>
      <x:c r="G12" s="14" t="str">
        <x:v>Booking commit cùng outbox; không rollback do broker; sau phục hồi gửi event một lần về mặt nghiệp vụ, không mất thông báo.</x:v>
      </x:c>
      <x:c r="H12" s="14" t="str">
        <x:v>High</x:v>
      </x:c>
      <x:c r="I12" s="14" t="str">
        <x:v>API 1.2; rubric liên kết</x:v>
      </x:c>
      <x:c r="J12" s="14" t="str">
        <x:v>Tạo Booking rồi phục hồi broker</x:v>
      </x:c>
      <x:c r="K12" s="14" t="str">
        <x:v>Integration</x:v>
      </x:c>
      <x:c r="L12" s="14" t="str">
        <x:v>DEFINED</x:v>
      </x:c>
      <x:c r="M12" s="33"/>
      <x:c r="N12" s="33" t="str">
        <x:v>NOT_RUN</x:v>
      </x:c>
      <x:c r="O12" s="14" t="str">
        <x:v>Chưa chạy. Fixture giả trong môi trường kiểm thử cô lập.</x:v>
      </x:c>
      <x:c r="P12" s="14" t="str">
        <x:v>R07</x:v>
      </x:c>
      <x:c r="Q12" s="14" t="str">
        <x:v>Request/response đã che token; dữ liệu trước/sau hoặc log kiểm tra có correlationId; môi trường, commit và thời gian chạy. Không ghi mật khẩu thật.</x:v>
      </x:c>
    </x:row>
    <x:row r="13" ht="104" customHeight="1">
      <x:c r="A13" s="14" t="str">
        <x:v>TC-ARCH-012</x:v>
      </x:c>
      <x:c r="B13" s="14" t="str">
        <x:v>Architecture</x:v>
      </x:c>
      <x:c r="C13" s="14" t="str">
        <x:v>Không có route broker cho event được phát</x:v>
      </x:c>
      <x:c r="D13" s="14" t="str">
        <x:v>Trong test bỏ binding queue đích, bật phát hiện unroutable theo cấu hình.</x:v>
      </x:c>
      <x:c r="E13" s="14" t="str">
        <x:v>1. Chuẩn bị fixture độc lập theo Preconditions.
2. Publish outbox rồi khôi phục binding với Test Data; lưu phản hồi và correlationId.
3. Đối chiếu từng điều kiện Expected Result với dữ liệu sau thao tác.</x:v>
      </x:c>
      <x:c r="F13" s="14" t="str">
        <x:v>Event test E1</x:v>
      </x:c>
      <x:c r="G13" s="14" t="str">
        <x:v>Không đánh dấu đã chuyển thành công chỉ vì broker ACK không có route; giữ khả năng retry và cảnh báo; khôi phục route nhận được E1.</x:v>
      </x:c>
      <x:c r="H13" s="14" t="str">
        <x:v>High</x:v>
      </x:c>
      <x:c r="I13" s="14" t="str">
        <x:v>API 1.2; rubric liên kết</x:v>
      </x:c>
      <x:c r="J13" s="14" t="str">
        <x:v>Publish outbox rồi khôi phục binding</x:v>
      </x:c>
      <x:c r="K13" s="14" t="str">
        <x:v>Integration</x:v>
      </x:c>
      <x:c r="L13" s="14" t="str">
        <x:v>DEFINED</x:v>
      </x:c>
      <x:c r="M13" s="33"/>
      <x:c r="N13" s="33" t="str">
        <x:v>NOT_RUN</x:v>
      </x:c>
      <x:c r="O13" s="14" t="str">
        <x:v>Chưa chạy. Fixture giả trong môi trường kiểm thử cô lập.</x:v>
      </x:c>
      <x:c r="P13" s="14" t="str">
        <x:v>R07</x:v>
      </x:c>
      <x:c r="Q13" s="14" t="str">
        <x:v>Request/response đã che token; dữ liệu trước/sau hoặc log kiểm tra có correlationId; môi trường, commit và thời gian chạy. Không ghi mật khẩu thật.</x:v>
      </x:c>
    </x:row>
    <x:row r="14" ht="119" customHeight="1">
      <x:c r="A14" s="14" t="str">
        <x:v>TC-ARCH-013</x:v>
      </x:c>
      <x:c r="B14" s="14" t="str">
        <x:v>Architecture</x:v>
      </x:c>
      <x:c r="C14" s="14" t="str">
        <x:v>Không truy cập backend trực tiếp từ máy bên ngoài</x:v>
      </x:c>
      <x:c r="D14" s="14" t="str">
        <x:v>Stack theo Compose; máy kiểm tra ở ngoài mạng Docker.</x:v>
      </x:c>
      <x:c r="E14" s="14" t="str">
        <x:v>1. Chuẩn bị fixture độc lập theo Preconditions.
2. Kiểm tra cổng public và gọi URL backend trực tiếp với Test Data; lưu phản hồi và correlationId.
3. Đối chiếu từng điều kiện Expected Result với dữ liệu sau thao tác.</x:v>
      </x:c>
      <x:c r="F14" s="14" t="str">
        <x:v>Gateway public; Core/Rating/Notification không publish host port</x:v>
      </x:c>
      <x:c r="G14" s="14" t="str">
        <x:v>Chỉ Gateway truy cập được từ ngoài; service nội bộ không mở đường bỏ qua xác thực/rate limit của Gateway.</x:v>
      </x:c>
      <x:c r="H14" s="14" t="str">
        <x:v>High</x:v>
      </x:c>
      <x:c r="I14" s="14" t="str">
        <x:v>API 1.2; rubric liên kết</x:v>
      </x:c>
      <x:c r="J14" s="14" t="str">
        <x:v>Kiểm tra cổng public và gọi URL backend trực tiếp</x:v>
      </x:c>
      <x:c r="K14" s="14" t="str">
        <x:v>Integration</x:v>
      </x:c>
      <x:c r="L14" s="14" t="str">
        <x:v>DEFINED</x:v>
      </x:c>
      <x:c r="M14" s="33"/>
      <x:c r="N14" s="33" t="str">
        <x:v>NOT_RUN</x:v>
      </x:c>
      <x:c r="O14" s="14" t="str">
        <x:v>Chưa chạy. Fixture giả trong môi trường kiểm thử cô lập.</x:v>
      </x:c>
      <x:c r="P14" s="14" t="str">
        <x:v>R08</x:v>
      </x:c>
      <x:c r="Q14" s="14" t="str">
        <x:v>Compose ports/networks và kiểm tra kết nối từ ngoài mạng nội bộ.</x:v>
      </x:c>
    </x:row>
    <x:row r="15" ht="104" customHeight="1">
      <x:c r="A15" s="14" t="str">
        <x:v>TC-ARCH-014</x:v>
      </x:c>
      <x:c r="B15" s="14" t="str">
        <x:v>Architecture</x:v>
      </x:c>
      <x:c r="C15" s="14" t="str">
        <x:v>Gateway không công khai route nội bộ</x:v>
      </x:c>
      <x:c r="D15" s="14" t="str">
        <x:v>Gateway và service nội bộ đang chạy.</x:v>
      </x:c>
      <x:c r="E15" s="14" t="str">
        <x:v>1. Chuẩn bị fixture độc lập theo Preconditions.
2. Gọi các route nội bộ qua Gateway với Test Data; lưu phản hồi và correlationId.
3. Đối chiếu từng điều kiện Expected Result với dữ liệu sau thao tác.</x:v>
      </x:c>
      <x:c r="F15" s="14" t="str">
        <x:v>dispatch, reconcile, POST /notifications, /internal/rating/identity và rating-context</x:v>
      </x:c>
      <x:c r="G15" s="14" t="str">
        <x:v>Không request nào đi tới handler nội bộ qua Gateway. Mã chặn theo cấu hình route; không suy diễn handler trả 401 là đã chặn ở Gateway.</x:v>
      </x:c>
      <x:c r="H15" s="14" t="str">
        <x:v>High</x:v>
      </x:c>
      <x:c r="I15" s="14" t="str">
        <x:v>API 1.2; rubric liên kết</x:v>
      </x:c>
      <x:c r="J15" s="14" t="str">
        <x:v>Gọi các route nội bộ qua Gateway</x:v>
      </x:c>
      <x:c r="K15" s="14" t="str">
        <x:v>Integration</x:v>
      </x:c>
      <x:c r="L15" s="14" t="str">
        <x:v>DEFINED</x:v>
      </x:c>
      <x:c r="M15" s="33"/>
      <x:c r="N15" s="33" t="str">
        <x:v>NOT_RUN</x:v>
      </x:c>
      <x:c r="O15" s="14" t="str">
        <x:v>Chưa chạy. Fixture giả trong môi trường kiểm thử cô lập.</x:v>
      </x:c>
      <x:c r="P15" s="14" t="str">
        <x:v>R08</x:v>
      </x:c>
      <x:c r="Q15" s="14" t="str">
        <x:v>Response Gateway và access log downstream chứng minh handler không nhận request; đối chiếu route config.</x:v>
      </x:c>
    </x:row>
    <x:row r="16" ht="119" customHeight="1">
      <x:c r="A16" s="14" t="str">
        <x:v>TC-ARCH-015</x:v>
      </x:c>
      <x:c r="B16" s="14" t="str">
        <x:v>Architecture</x:v>
      </x:c>
      <x:c r="C16" s="14" t="str">
        <x:v>Scope service không bị thay bằng user JWT</x:v>
      </x:c>
      <x:c r="D16" s="14" t="str">
        <x:v>Các endpoint nội bộ có thể truy cập từ mạng test nội bộ.</x:v>
      </x:c>
      <x:c r="E16" s="14" t="str">
        <x:v>1. Chuẩn bị fixture độc lập theo Preconditions.
2. Gọi endpoint nội bộ bằng token sai loại/scope với Test Data; lưu phản hồi và correlationId.
3. Đối chiếu từng điều kiện Expected Result với dữ liệu sau thao tác.</x:v>
      </x:c>
      <x:c r="F16" s="14" t="str">
        <x:v>User JWT O1, service JWT sai audience và thiếu scope; các lượt riêng</x:v>
      </x:c>
      <x:c r="G16" s="14" t="str">
        <x:v>Từ chối 401/403 đúng loại lỗi; không thực hiện dispatch/reconcile/tạo Notification; không lấy role OPERATOR thay scope dịch vụ.</x:v>
      </x:c>
      <x:c r="H16" s="14" t="str">
        <x:v>High</x:v>
      </x:c>
      <x:c r="I16" s="14" t="str">
        <x:v>API 1.2; rubric liên kết</x:v>
      </x:c>
      <x:c r="J16" s="14" t="str">
        <x:v>Gọi endpoint nội bộ bằng token sai loại/scope</x:v>
      </x:c>
      <x:c r="K16" s="14" t="str">
        <x:v>Integration</x:v>
      </x:c>
      <x:c r="L16" s="14" t="str">
        <x:v>DEFINED</x:v>
      </x:c>
      <x:c r="M16" s="33"/>
      <x:c r="N16" s="33" t="str">
        <x:v>NOT_RUN</x:v>
      </x:c>
      <x:c r="O16" s="14" t="str">
        <x:v>Chưa chạy. Fixture giả trong môi trường kiểm thử cô lập.</x:v>
      </x:c>
      <x:c r="P16" s="14" t="str">
        <x:v>R04; R08</x:v>
      </x:c>
      <x:c r="Q16" s="14" t="str">
        <x:v>Request/response đã che token; dữ liệu trước/sau hoặc log kiểm tra có correlationId; môi trường, commit và thời gian chạy. Không ghi mật khẩu thật.</x:v>
      </x:c>
    </x:row>
    <x:row r="17" ht="119" customHeight="1">
      <x:c r="A17" s="14" t="str">
        <x:v>TC-ARCH-016</x:v>
      </x:c>
      <x:c r="B17" s="14" t="str">
        <x:v>Architecture</x:v>
      </x:c>
      <x:c r="C17" s="14" t="str">
        <x:v>Database service có quyền riêng</x:v>
      </x:c>
      <x:c r="D17" s="14" t="str">
        <x:v>Postgres chứa cab_core, cab_rating, cab_notification với credentials tách biệt.</x:v>
      </x:c>
      <x:c r="E17" s="14" t="str">
        <x:v>1. Chuẩn bị fixture độc lập theo Preconditions.
2. Kiểm tra grants và thử truy cập chéo bằng user ứng dụng với Test Data; lưu phản hồi và correlationId.
3. Đối chiếu từng điều kiện Expected Result với dữ liệu sau thao tác.</x:v>
      </x:c>
      <x:c r="F17" s="14" t="str">
        <x:v>Dùng credential Rating để truy cập dữ liệu Core trong môi trường test</x:v>
      </x:c>
      <x:c r="G17" s="14" t="str">
        <x:v>Không được truy cập dữ liệu Core ngoài quyền được cấp; ứng dụng sử dụng HTTP để xác minh; không dùng superuser chung.</x:v>
      </x:c>
      <x:c r="H17" s="14" t="str">
        <x:v>High</x:v>
      </x:c>
      <x:c r="I17" s="14" t="str">
        <x:v>API 1.2; rubric liên kết</x:v>
      </x:c>
      <x:c r="J17" s="14" t="str">
        <x:v>Kiểm tra grants và thử truy cập chéo bằng user ứng dụng</x:v>
      </x:c>
      <x:c r="K17" s="14" t="str">
        <x:v>Integration</x:v>
      </x:c>
      <x:c r="L17" s="14" t="str">
        <x:v>DEFINED</x:v>
      </x:c>
      <x:c r="M17" s="33"/>
      <x:c r="N17" s="33" t="str">
        <x:v>NOT_RUN</x:v>
      </x:c>
      <x:c r="O17" s="14" t="str">
        <x:v>Chưa chạy. Fixture giả trong môi trường kiểm thử cô lập.</x:v>
      </x:c>
      <x:c r="P17" s="14" t="str">
        <x:v>R04</x:v>
      </x:c>
      <x:c r="Q17" s="14" t="str">
        <x:v>Grant đã che credentials và kết quả kiểm tra truy cập chéo; không xuất dữ liệu thật.</x:v>
      </x:c>
    </x:row>
    <x:row r="18" ht="104" customHeight="1">
      <x:c r="A18" s="14" t="str">
        <x:v>TC-ARCH-017</x:v>
      </x:c>
      <x:c r="B18" s="14" t="str">
        <x:v>Architecture</x:v>
      </x:c>
      <x:c r="C18" s="14" t="str">
        <x:v>Sức khỏe database kiểm tra quyền truy cập thực tế</x:v>
      </x:c>
      <x:c r="D18" s="14" t="str">
        <x:v>Postgres vẫn mở cổng nhưng user service bị từ chối truy cập database test.</x:v>
      </x:c>
      <x:c r="E18" s="14" t="str">
        <x:v>1. Chuẩn bị fixture độc lập theo Preconditions.
2. Đọc /ready và /health/services với Test Data; lưu phản hồi và correlationId.
3. Đối chiếu từng điều kiện Expected Result với dữ liệu sau thao tác.</x:v>
      </x:c>
      <x:c r="F18" s="14" t="str">
        <x:v>Mô phỏng quyền/DB không sẵn sàng trong môi trường cô lập</x:v>
      </x:c>
      <x:c r="G18" s="14" t="str">
        <x:v>Readiness không READY chỉ vì port Postgres mở; trạng thái dependency phản ánh lỗi truy cập.</x:v>
      </x:c>
      <x:c r="H18" s="14" t="str">
        <x:v>High</x:v>
      </x:c>
      <x:c r="I18" s="14" t="str">
        <x:v>API 1.2; rubric liên kết</x:v>
      </x:c>
      <x:c r="J18" s="14" t="str">
        <x:v>Đọc /ready và /health/services</x:v>
      </x:c>
      <x:c r="K18" s="14" t="str">
        <x:v>Integration</x:v>
      </x:c>
      <x:c r="L18" s="14" t="str">
        <x:v>DEFINED</x:v>
      </x:c>
      <x:c r="M18" s="33"/>
      <x:c r="N18" s="33" t="str">
        <x:v>NOT_RUN</x:v>
      </x:c>
      <x:c r="O18" s="14" t="str">
        <x:v>Chưa chạy. Fixture giả trong môi trường kiểm thử cô lập.</x:v>
      </x:c>
      <x:c r="P18" s="14" t="str">
        <x:v>R06</x:v>
      </x:c>
      <x:c r="Q18" s="14" t="str">
        <x:v>Request/response đã che token; dữ liệu trước/sau hoặc log kiểm tra có correlationId; môi trường, commit và thời gian chạy. Không ghi mật khẩu thật.</x:v>
      </x:c>
    </x:row>
  </x:sheetData>
  <x:conditionalFormatting sqref="L2:L18">
    <x:cfRule type="containsText" dxfId="93" priority="1" operator="containsText" text="NEEDS_DECISION"/>
    <x:cfRule type="containsText" dxfId="94" priority="2" operator="containsText" text="OUT_OF_SCOPE"/>
    <x:cfRule type="containsText" dxfId="95" priority="3" operator="containsText" text="SUPERSEDED"/>
  </x:conditionalFormatting>
  <x:conditionalFormatting sqref="N2:N18">
    <x:cfRule type="containsText" dxfId="96" priority="4" operator="containsText" text="FAIL"/>
    <x:cfRule type="containsText" dxfId="97" priority="5" operator="containsText" text="BLOCKED"/>
  </x:conditionalFormatting>
  <x:dataValidations count="3">
    <x:dataValidation type="list" sqref="L2:L18">
      <x:formula1>"DEFINED,NEEDS_DECISION,OUT_OF_SCOPE,SUPERSEDED"</x:formula1>
    </x:dataValidation>
    <x:dataValidation type="list" sqref="N2:N18">
      <x:formula1>"NOT_RUN,PASS,FAIL,BLOCKED"</x:formula1>
    </x:dataValidation>
    <x:dataValidation type="list" sqref="K2:K18">
      <x:formula1>"API,Integration,UI,Performance,Review,Security"</x:formula1>
    </x:dataValidation>
  </x:dataValidations>
  <x:pageMargins left="0.7" right="0.7" top="0.75" bottom="0.75" header="0.3" footer="0.3"/>
  <x:tableParts count="1">
    <x:tablePart xmlns:r="http://schemas.openxmlformats.org/officeDocument/2006/relationships" r:id="Ra6375e9dc7fb442c"/>
  </x:tableParts>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42" hidden="0" customWidth="1"/>
    <x:col min="4" max="4" width="50" hidden="0" customWidth="1"/>
    <x:col min="5" max="5" width="58" hidden="0" customWidth="1"/>
    <x:col min="6" max="6" width="52" hidden="0" customWidth="1"/>
    <x:col min="7" max="7" width="68" hidden="0" customWidth="1"/>
    <x:col min="8" max="8" width="14" hidden="0" customWidth="1"/>
    <x:col min="9" max="9" width="26" hidden="0" customWidth="1"/>
    <x:col min="10" max="10" width="48" hidden="0" customWidth="1"/>
    <x:col min="11" max="11" width="18" hidden="0" customWidth="1"/>
    <x:col min="12" max="12" width="24" hidden="0" customWidth="1"/>
    <x:col min="13" max="13" width="52" hidden="0" customWidth="1"/>
    <x:col min="14" max="14" width="24" hidden="0" customWidth="1"/>
    <x:col min="15" max="15" width="64" hidden="0" customWidth="1"/>
    <x:col min="16" max="16" width="18" hidden="0" customWidth="1"/>
    <x:col min="17" max="17" width="64" hidden="0" customWidth="1"/>
  </x:cols>
  <x:sheetData>
    <x:row r="1" ht="36" customHeight="1">
      <x:c r="A1" s="32" t="str">
        <x:v>Test Case ID</x:v>
      </x:c>
      <x:c r="B1" s="32" t="str">
        <x:v>Test Scenario</x:v>
      </x:c>
      <x:c r="C1" s="32" t="str">
        <x:v>Test Case</x:v>
      </x:c>
      <x:c r="D1" s="32" t="str">
        <x:v>Preconditions</x:v>
      </x:c>
      <x:c r="E1" s="32" t="str">
        <x:v>Test Steps</x:v>
      </x:c>
      <x:c r="F1" s="32" t="str">
        <x:v>Test Data</x:v>
      </x:c>
      <x:c r="G1" s="32" t="str">
        <x:v>Expected Result</x:v>
      </x:c>
      <x:c r="H1" s="32" t="str">
        <x:v>Priority</x:v>
      </x:c>
      <x:c r="I1" s="32" t="str">
        <x:v>Requirement ID</x:v>
      </x:c>
      <x:c r="J1" s="32" t="str">
        <x:v>API / Operation</x:v>
      </x:c>
      <x:c r="K1" s="32" t="str">
        <x:v>Test Level</x:v>
      </x:c>
      <x:c r="L1" s="32" t="str">
        <x:v>Design Status</x:v>
      </x:c>
      <x:c r="M1" s="32" t="str">
        <x:v>Actual Result</x:v>
      </x:c>
      <x:c r="N1" s="32" t="str">
        <x:v>Execution Status</x:v>
      </x:c>
      <x:c r="O1" s="32" t="str">
        <x:v>Evidence / Notes</x:v>
      </x:c>
      <x:c r="P1" s="32" t="str">
        <x:v>Rubric ID</x:v>
      </x:c>
      <x:c r="Q1" s="32" t="str">
        <x:v>Required Evidence</x:v>
      </x:c>
    </x:row>
    <x:row r="2" ht="119" customHeight="1">
      <x:c r="A2" s="14" t="str">
        <x:v>TC-SEC-001</x:v>
      </x:c>
      <x:c r="B2" s="14" t="str">
        <x:v>Security</x:v>
      </x:c>
      <x:c r="C2" s="14" t="str">
        <x:v>Email, phone và license được mã hóa khi lưu</x:v>
      </x:c>
      <x:c r="D2" s="14" t="str">
        <x:v>Tạo tài khoản test và hồ sơ Driver bằng API; biết plaintext giả.</x:v>
      </x:c>
      <x:c r="E2" s="14" t="str">
        <x:v>1. Chuẩn bị fixture độc lập theo Preconditions.
2. Review schema, truy vấn lưu trữ có kiểm soát và thử API đúng quyền với Test Data; lưu phản hồi và correlationId.
3. Đối chiếu từng điều kiện Expected Result với dữ liệu sau thao tác.</x:v>
      </x:c>
      <x:c r="F2" s="14" t="str">
        <x:v>Email/phone/license fixture riêng biệt</x:v>
      </x:c>
      <x:c r="G2" s="14" t="str">
        <x:v>Không có cột hoặc snapshot plaintext tương ứng; ciphertext lưu trữ, lookup HMAC; API đúng quyền vẫn đọc được; log/idempotency không làm lộ dữ liệu.</x:v>
      </x:c>
      <x:c r="H2" s="14" t="str">
        <x:v>High</x:v>
      </x:c>
      <x:c r="I2" s="14" t="str">
        <x:v>API 1.2; rubric liên kết</x:v>
      </x:c>
      <x:c r="J2" s="14" t="str">
        <x:v>Review schema, truy vấn lưu trữ có kiểm soát và thử API đúng quyền</x:v>
      </x:c>
      <x:c r="K2" s="14" t="str">
        <x:v>Security</x:v>
      </x:c>
      <x:c r="L2" s="14" t="str">
        <x:v>DEFINED</x:v>
      </x:c>
      <x:c r="M2" s="33"/>
      <x:c r="N2" s="33" t="str">
        <x:v>NOT_RUN</x:v>
      </x:c>
      <x:c r="O2" s="14" t="str">
        <x:v>Chưa chạy. Fixture giả trong môi trường kiểm thử cô lập.</x:v>
      </x:c>
      <x:c r="P2" s="14" t="str">
        <x:v>R24</x:v>
      </x:c>
      <x:c r="Q2" s="14" t="str">
        <x:v>Schema, đoạn lưu trữ đã che dữ liệu, cấu hình tên khóa và kiểm tra đọc hợp lệ; không chụp khóa thật.</x:v>
      </x:c>
    </x:row>
    <x:row r="3" ht="104" customHeight="1">
      <x:c r="A3" s="14" t="str">
        <x:v>TC-SEC-002</x:v>
      </x:c>
      <x:c r="B3" s="14" t="str">
        <x:v>Security</x:v>
      </x:c>
      <x:c r="C3" s="14" t="str">
        <x:v>Mật khẩu dùng hash có salt, không mã hóa đảo ngược</x:v>
      </x:c>
      <x:c r="D3" s="14" t="str">
        <x:v>Hai tài khoản test dùng cùng mật khẩu.</x:v>
      </x:c>
      <x:c r="E3" s="14" t="str">
        <x:v>1. Chuẩn bị fixture độc lập theo Preconditions.
2. Kiểm tra password hash và luồng login với Test Data; lưu phản hồi và correlationId.
3. Đối chiếu từng điều kiện Expected Result với dữ liệu sau thao tác.</x:v>
      </x:c>
      <x:c r="F3" s="14" t="str">
        <x:v>Cùng mật khẩu Password@123 cho hai Account</x:v>
      </x:c>
      <x:c r="G3" s="14" t="str">
        <x:v>Argon2id theo cấu hình có salt; hash hai tài khoản khác nhau; login đúng thành công; không plaintext hoặc hàm giải mã mật khẩu.</x:v>
      </x:c>
      <x:c r="H3" s="14" t="str">
        <x:v>High</x:v>
      </x:c>
      <x:c r="I3" s="14" t="str">
        <x:v>API 1.2; rubric liên kết</x:v>
      </x:c>
      <x:c r="J3" s="14" t="str">
        <x:v>Kiểm tra password hash và luồng login</x:v>
      </x:c>
      <x:c r="K3" s="14" t="str">
        <x:v>Security</x:v>
      </x:c>
      <x:c r="L3" s="14" t="str">
        <x:v>DEFINED</x:v>
      </x:c>
      <x:c r="M3" s="33"/>
      <x:c r="N3" s="33" t="str">
        <x:v>NOT_RUN</x:v>
      </x:c>
      <x:c r="O3" s="14" t="str">
        <x:v>Chưa chạy. Fixture giả trong môi trường kiểm thử cô lập.</x:v>
      </x:c>
      <x:c r="P3" s="14" t="str">
        <x:v>R24</x:v>
      </x:c>
      <x:c r="Q3" s="14" t="str">
        <x:v>Request/response đã che token; dữ liệu trước/sau hoặc log kiểm tra có correlationId; môi trường, commit và thời gian chạy. Không ghi mật khẩu thật.</x:v>
      </x:c>
    </x:row>
    <x:row r="4" ht="119" customHeight="1">
      <x:c r="A4" s="14" t="str">
        <x:v>TC-SEC-003</x:v>
      </x:c>
      <x:c r="B4" s="14" t="str">
        <x:v>Security</x:v>
      </x:c>
      <x:c r="C4" s="14" t="str">
        <x:v>HMAC bảo đảm duy nhất sau chuẩn hóa</x:v>
      </x:c>
      <x:c r="D4" s="14" t="str">
        <x:v>Đã có email mixed@example.test và license TEST-LIC-1.</x:v>
      </x:c>
      <x:c r="E4" s="14" t="str">
        <x:v>1. Chuẩn bị fixture độc lập theo Preconditions.
2. Gửi đăng ký dùng email/license khác trim hoặc hoa thường với Test Data; lưu phản hồi và correlationId.
3. Đối chiếu từng điều kiện Expected Result với dữ liệu sau thao tác.</x:v>
      </x:c>
      <x:c r="F4" s="14" t="str">
        <x:v>Các giá trị chuẩn hóa trùng nhưng ciphertext có thể khác</x:v>
      </x:c>
      <x:c r="G4" s="14" t="str">
        <x:v>409 tương ứng; unique lookup ngăn bản ghi trùng; khóa HMAC khác khóa mã hóa và nằm ngoài repo.</x:v>
      </x:c>
      <x:c r="H4" s="14" t="str">
        <x:v>High</x:v>
      </x:c>
      <x:c r="I4" s="14" t="str">
        <x:v>API 1.2; rubric liên kết</x:v>
      </x:c>
      <x:c r="J4" s="14" t="str">
        <x:v>Gửi đăng ký dùng email/license khác trim hoặc hoa thường</x:v>
      </x:c>
      <x:c r="K4" s="14" t="str">
        <x:v>Security</x:v>
      </x:c>
      <x:c r="L4" s="14" t="str">
        <x:v>DEFINED</x:v>
      </x:c>
      <x:c r="M4" s="33"/>
      <x:c r="N4" s="33" t="str">
        <x:v>NOT_RUN</x:v>
      </x:c>
      <x:c r="O4" s="14" t="str">
        <x:v>Chưa chạy. Fixture giả trong môi trường kiểm thử cô lập.</x:v>
      </x:c>
      <x:c r="P4" s="14" t="str">
        <x:v>R24</x:v>
      </x:c>
      <x:c r="Q4" s="14" t="str">
        <x:v>Request/response đã che token; dữ liệu trước/sau hoặc log kiểm tra có correlationId; môi trường, commit và thời gian chạy. Không ghi mật khẩu thật.</x:v>
      </x:c>
    </x:row>
    <x:row r="5" ht="104" customHeight="1">
      <x:c r="A5" s="14" t="str">
        <x:v>TC-SEC-004</x:v>
      </x:c>
      <x:c r="B5" s="14" t="str">
        <x:v>Security</x:v>
      </x:c>
      <x:c r="C5" s="14" t="str">
        <x:v>Mất khóa mã hóa không trả dữ liệu giả</x:v>
      </x:c>
      <x:c r="D5" s="14" t="str">
        <x:v>Bản sao môi trường test, khóa giải mã cần thiết không có.</x:v>
      </x:c>
      <x:c r="E5" s="14" t="str">
        <x:v>1. Chuẩn bị fixture độc lập theo Preconditions.
2. Đọc dữ liệu cần giải mã bằng API hợp lệ với Test Data; lưu phản hồi và correlationId.
3. Đối chiếu từng điều kiện Expected Result với dữ liệu sau thao tác.</x:v>
      </x:c>
      <x:c r="F5" s="14" t="str">
        <x:v>Không tác động môi trường thật</x:v>
      </x:c>
      <x:c r="G5" s="14" t="str">
        <x:v>Lỗi cấu hình/503 theo cơ chế vận hành; không trả dữ liệu trống giả, ciphertext ra UI hoặc plaintext dự phòng; không tự tạo khóa làm mất khả năng đọc dữ liệu.</x:v>
      </x:c>
      <x:c r="H5" s="14" t="str">
        <x:v>High</x:v>
      </x:c>
      <x:c r="I5" s="14" t="str">
        <x:v>API 1.2; rubric liên kết</x:v>
      </x:c>
      <x:c r="J5" s="14" t="str">
        <x:v>Đọc dữ liệu cần giải mã bằng API hợp lệ</x:v>
      </x:c>
      <x:c r="K5" s="14" t="str">
        <x:v>Security</x:v>
      </x:c>
      <x:c r="L5" s="14" t="str">
        <x:v>DEFINED</x:v>
      </x:c>
      <x:c r="M5" s="33"/>
      <x:c r="N5" s="33" t="str">
        <x:v>NOT_RUN</x:v>
      </x:c>
      <x:c r="O5" s="14" t="str">
        <x:v>Chưa chạy. Fixture giả trong môi trường kiểm thử cô lập.</x:v>
      </x:c>
      <x:c r="P5" s="14" t="str">
        <x:v>R24</x:v>
      </x:c>
      <x:c r="Q5" s="14" t="str">
        <x:v>Request/response đã che token; dữ liệu trước/sau hoặc log kiểm tra có correlationId; môi trường, commit và thời gian chạy. Không ghi mật khẩu thật.</x:v>
      </x:c>
    </x:row>
    <x:row r="6" ht="104" customHeight="1">
      <x:c r="A6" s="14" t="str">
        <x:v>TC-SEC-005</x:v>
      </x:c>
      <x:c r="B6" s="14" t="str">
        <x:v>Security</x:v>
      </x:c>
      <x:c r="C6" s="14" t="str">
        <x:v>SQL injection không vượt qua đăng nhập</x:v>
      </x:c>
      <x:c r="D6" s="14" t="str">
        <x:v>Có C1; không tạo Session trước lượt test.</x:v>
      </x:c>
      <x:c r="E6" s="14" t="str">
        <x:v>1. Chuẩn bị fixture độc lập theo Preconditions.
2. POST /auth/login với Test Data; lưu phản hồi và correlationId.
3. Đối chiếu từng điều kiện Expected Result với dữ liệu sau thao tác.</x:v>
      </x:c>
      <x:c r="F6" s="14" t="str">
        <x:v>emailOrPhone chứa payload SQL sai định dạng; lượt khác email đúng và password="' OR 1=1 --"</x:v>
      </x:c>
      <x:c r="G6" s="14" t="str">
        <x:v>Payload định dạng sai trả 400; mật khẩu sai trả 401. Không có token/Session, không SQL error hoặc truy vấn làm thay đổi DB.</x:v>
      </x:c>
      <x:c r="H6" s="14" t="str">
        <x:v>High</x:v>
      </x:c>
      <x:c r="I6" s="14" t="str">
        <x:v>API 1.2; rubric liên kết</x:v>
      </x:c>
      <x:c r="J6" s="14" t="str">
        <x:v>POST /auth/login</x:v>
      </x:c>
      <x:c r="K6" s="14" t="str">
        <x:v>Security</x:v>
      </x:c>
      <x:c r="L6" s="14" t="str">
        <x:v>DEFINED</x:v>
      </x:c>
      <x:c r="M6" s="33"/>
      <x:c r="N6" s="33" t="str">
        <x:v>NOT_RUN</x:v>
      </x:c>
      <x:c r="O6" s="14" t="str">
        <x:v>Chưa chạy. Fixture giả trong môi trường kiểm thử cô lập.</x:v>
      </x:c>
      <x:c r="P6" s="14" t="str">
        <x:v>R25</x:v>
      </x:c>
      <x:c r="Q6" s="14" t="str">
        <x:v>Request/response đã che token; dữ liệu trước/sau hoặc log kiểm tra có correlationId; môi trường, commit và thời gian chạy. Không ghi mật khẩu thật.</x:v>
      </x:c>
    </x:row>
    <x:row r="7" ht="104" customHeight="1">
      <x:c r="A7" s="14" t="str">
        <x:v>TC-SEC-006</x:v>
      </x:c>
      <x:c r="B7" s="14" t="str">
        <x:v>Security</x:v>
      </x:c>
      <x:c r="C7" s="14" t="str">
        <x:v>Payload SQL trong dữ liệu văn bản không được thực thi</x:v>
      </x:c>
      <x:c r="D7" s="14" t="str">
        <x:v>C1 đăng nhập hợp lệ.</x:v>
      </x:c>
      <x:c r="E7" s="14" t="str">
        <x:v>1. Chuẩn bị fixture độc lập theo Preconditions.
2. PATCH /accounts/me với Test Data; lưu phản hồi và correlationId.
3. Đối chiếu từng điều kiện Expected Result với dữ liệu sau thao tác.</x:v>
      </x:c>
      <x:c r="F7" s="14" t="str">
        <x:v>fullName="Test '; DROP TABLE accounts; --" trong giới hạn schema</x:v>
      </x:c>
      <x:c r="G7" s="14" t="str">
        <x:v>Được xử lý như dữ liệu theo schema; DB còn nguyên, không thực thi SQL/stack trace. Không bắt buộc mọi chuỗi có dấu nháy phải 400.</x:v>
      </x:c>
      <x:c r="H7" s="14" t="str">
        <x:v>High</x:v>
      </x:c>
      <x:c r="I7" s="14" t="str">
        <x:v>API 1.2; rubric liên kết</x:v>
      </x:c>
      <x:c r="J7" s="14" t="str">
        <x:v>PATCH /accounts/me</x:v>
      </x:c>
      <x:c r="K7" s="14" t="str">
        <x:v>Security</x:v>
      </x:c>
      <x:c r="L7" s="14" t="str">
        <x:v>DEFINED</x:v>
      </x:c>
      <x:c r="M7" s="33"/>
      <x:c r="N7" s="33" t="str">
        <x:v>NOT_RUN</x:v>
      </x:c>
      <x:c r="O7" s="14" t="str">
        <x:v>Chưa chạy. Fixture giả trong môi trường kiểm thử cô lập.</x:v>
      </x:c>
      <x:c r="P7" s="14" t="str">
        <x:v>R25</x:v>
      </x:c>
      <x:c r="Q7" s="14" t="str">
        <x:v>Request/response đã che token; dữ liệu trước/sau hoặc log kiểm tra có correlationId; môi trường, commit và thời gian chạy. Không ghi mật khẩu thật.</x:v>
      </x:c>
    </x:row>
    <x:row r="8" ht="104" customHeight="1">
      <x:c r="A8" s="14" t="str">
        <x:v>TC-SEC-007</x:v>
      </x:c>
      <x:c r="B8" s="14" t="str">
        <x:v>Security</x:v>
      </x:c>
      <x:c r="C8" s="14" t="str">
        <x:v>SQL injection trong query/ID không làm lộ dữ liệu</x:v>
      </x:c>
      <x:c r="D8" s="14" t="str">
        <x:v>C1 và C2 có dữ liệu tách biệt.</x:v>
      </x:c>
      <x:c r="E8" s="14" t="str">
        <x:v>1. Chuẩn bị fixture độc lập theo Preconditions.
2. GET các ID và query có payload SQL với Test Data; lưu phản hồi và correlationId.
3. Đối chiếu từng điều kiện Expected Result với dữ liệu sau thao tác.</x:v>
      </x:c>
      <x:c r="F8" s="14" t="str">
        <x:v>ID lạ chứa ký tự SQL; query ngoài schema; request có token hợp lệ</x:v>
      </x:c>
      <x:c r="G8" s="14" t="str">
        <x:v>Từ chối theo validation/404 hợp đồng, không lấy được dữ liệu C2, không ảnh hưởng bảng. Lưu mã cụ thể của từng endpoint khi dựng bộ chạy.</x:v>
      </x:c>
      <x:c r="H8" s="14" t="str">
        <x:v>High</x:v>
      </x:c>
      <x:c r="I8" s="14" t="str">
        <x:v>API 1.2; rubric liên kết</x:v>
      </x:c>
      <x:c r="J8" s="14" t="str">
        <x:v>GET các ID và query có payload SQL</x:v>
      </x:c>
      <x:c r="K8" s="14" t="str">
        <x:v>Security</x:v>
      </x:c>
      <x:c r="L8" s="14" t="str">
        <x:v>DEFINED</x:v>
      </x:c>
      <x:c r="M8" s="33"/>
      <x:c r="N8" s="33" t="str">
        <x:v>NOT_RUN</x:v>
      </x:c>
      <x:c r="O8" s="14" t="str">
        <x:v>Chưa chạy. Fixture giả trong môi trường kiểm thử cô lập.</x:v>
      </x:c>
      <x:c r="P8" s="14" t="str">
        <x:v>R25</x:v>
      </x:c>
      <x:c r="Q8" s="14" t="str">
        <x:v>Request/response đã che token; dữ liệu trước/sau hoặc log kiểm tra có correlationId; môi trường, commit và thời gian chạy. Không ghi mật khẩu thật.</x:v>
      </x:c>
    </x:row>
    <x:row r="9" ht="119" customHeight="1">
      <x:c r="A9" s="14" t="str">
        <x:v>TC-SEC-008</x:v>
      </x:c>
      <x:c r="B9" s="14" t="str">
        <x:v>Security</x:v>
      </x:c>
      <x:c r="C9" s="14" t="str">
        <x:v>XSS phản xạ trên giao diện không thực thi</x:v>
      </x:c>
      <x:c r="D9" s="14" t="str">
        <x:v>Có UI kết nối API trong môi trường test.</x:v>
      </x:c>
      <x:c r="E9" s="14" t="str">
        <x:v>1. Chuẩn bị fixture độc lập theo Preconditions.
2. Nhập payload vào trường được hiển thị lại hoặc thông báo lỗi với Test Data; lưu phản hồi và correlationId.
3. Đối chiếu từng điều kiện Expected Result với dữ liệu sau thao tác.</x:v>
      </x:c>
      <x:c r="F9" s="14" t="str">
        <x:v>Payload script/img onerror dùng marker test vô hại</x:v>
      </x:c>
      <x:c r="G9" s="14" t="str">
        <x:v>Không thực thi script hoặc handler, không tạo DOM không mong muốn; dữ liệu hiển thị dạng text/encode; không dùng Postman thay kiểm tra trình duyệt.</x:v>
      </x:c>
      <x:c r="H9" s="14" t="str">
        <x:v>High</x:v>
      </x:c>
      <x:c r="I9" s="14" t="str">
        <x:v>API 1.2; rubric liên kết</x:v>
      </x:c>
      <x:c r="J9" s="14" t="str">
        <x:v>Nhập payload vào trường được hiển thị lại hoặc thông báo lỗi</x:v>
      </x:c>
      <x:c r="K9" s="14" t="str">
        <x:v>UI</x:v>
      </x:c>
      <x:c r="L9" s="14" t="str">
        <x:v>DEFINED</x:v>
      </x:c>
      <x:c r="M9" s="33"/>
      <x:c r="N9" s="33" t="str">
        <x:v>NOT_RUN</x:v>
      </x:c>
      <x:c r="O9" s="14" t="str">
        <x:v>Chưa chạy. Fixture giả trong môi trường kiểm thử cô lập.</x:v>
      </x:c>
      <x:c r="P9" s="14" t="str">
        <x:v>R26</x:v>
      </x:c>
      <x:c r="Q9" s="14" t="str">
        <x:v>Video/ảnh DOM và console trên trình duyệt; request/response; marker không chạy; commit UI.</x:v>
      </x:c>
    </x:row>
    <x:row r="10" ht="119" customHeight="1">
      <x:c r="A10" s="14" t="str">
        <x:v>TC-SEC-009</x:v>
      </x:c>
      <x:c r="B10" s="14" t="str">
        <x:v>Security</x:v>
      </x:c>
      <x:c r="C10" s="14" t="str">
        <x:v>XSS lưu trong Rating và tên người dùng không thực thi</x:v>
      </x:c>
      <x:c r="D10" s="14" t="str">
        <x:v>T1 COMPLETED; UI khách/tài xế/vận hành hiển thị dữ liệu.</x:v>
      </x:c>
      <x:c r="E10" s="14" t="str">
        <x:v>1. Chuẩn bị fixture độc lập theo Preconditions.
2. Lưu comment/fullName chứa payload rồi mở lại các màn hình liên quan với Test Data; lưu phản hồi và correlationId.
3. Đối chiếu từng điều kiện Expected Result với dữ liệu sau thao tác.</x:v>
      </x:c>
      <x:c r="F10" s="14" t="str">
        <x:v>Payload trong giới hạn độ dài, tạo marker test vô hại</x:v>
      </x:c>
      <x:c r="G10" s="14" t="str">
        <x:v>Không thực thi ở lần ghi hoặc lần xem sau; không mất cách ly quyền; text hiển thị an toàn trên từng vai trò có quyền.</x:v>
      </x:c>
      <x:c r="H10" s="14" t="str">
        <x:v>High</x:v>
      </x:c>
      <x:c r="I10" s="14" t="str">
        <x:v>API 1.2; rubric liên kết</x:v>
      </x:c>
      <x:c r="J10" s="14" t="str">
        <x:v>Lưu comment/fullName chứa payload rồi mở lại các màn hình liên quan</x:v>
      </x:c>
      <x:c r="K10" s="14" t="str">
        <x:v>UI</x:v>
      </x:c>
      <x:c r="L10" s="14" t="str">
        <x:v>DEFINED</x:v>
      </x:c>
      <x:c r="M10" s="33"/>
      <x:c r="N10" s="33" t="str">
        <x:v>NOT_RUN</x:v>
      </x:c>
      <x:c r="O10" s="14" t="str">
        <x:v>Chưa chạy. Fixture giả trong môi trường kiểm thử cô lập.</x:v>
      </x:c>
      <x:c r="P10" s="14" t="str">
        <x:v>R26</x:v>
      </x:c>
      <x:c r="Q10" s="14" t="str">
        <x:v>Các lượt browser của CUSTOMER/DRIVER/OPERATOR, DOM/console và dữ liệu lưu đã che thông tin.</x:v>
      </x:c>
    </x:row>
    <x:row r="11" ht="104" customHeight="1">
      <x:c r="A11" s="14" t="str">
        <x:v>TC-SEC-010</x:v>
      </x:c>
      <x:c r="B11" s="14" t="str">
        <x:v>Security</x:v>
      </x:c>
      <x:c r="C11" s="14" t="str">
        <x:v>JWT bị sửa role hoặc subject bị từ chối</x:v>
      </x:c>
      <x:c r="D11" s="14" t="str">
        <x:v>Có JWT thật của C1.</x:v>
      </x:c>
      <x:c r="E11" s="14" t="str">
        <x:v>1. Chuẩn bị fixture độc lập theo Preconditions.
2. Gọi API bảo vệ bằng token đã sửa payload với Test Data; lưu phản hồi và correlationId.
3. Đối chiếu từng điều kiện Expected Result với dữ liệu sau thao tác.</x:v>
      </x:c>
      <x:c r="F11" s="14" t="str">
        <x:v>Đổi role=OPERATOR hoặc sub sang D1 nhưng giữ chữ ký cũ</x:v>
      </x:c>
      <x:c r="G11" s="14" t="str">
        <x:v>401; không gọi nghiệp vụ với quyền mới; không dữ liệu vận hành hoặc Driver bị lộ.</x:v>
      </x:c>
      <x:c r="H11" s="14" t="str">
        <x:v>High</x:v>
      </x:c>
      <x:c r="I11" s="14" t="str">
        <x:v>API 1.2; rubric liên kết</x:v>
      </x:c>
      <x:c r="J11" s="14" t="str">
        <x:v>Gọi API bảo vệ bằng token đã sửa payload</x:v>
      </x:c>
      <x:c r="K11" s="14" t="str">
        <x:v>Security</x:v>
      </x:c>
      <x:c r="L11" s="14" t="str">
        <x:v>DEFINED</x:v>
      </x:c>
      <x:c r="M11" s="33"/>
      <x:c r="N11" s="33" t="str">
        <x:v>NOT_RUN</x:v>
      </x:c>
      <x:c r="O11" s="14" t="str">
        <x:v>Chưa chạy. Fixture giả trong môi trường kiểm thử cô lập.</x:v>
      </x:c>
      <x:c r="P11" s="14" t="str">
        <x:v>R27</x:v>
      </x:c>
      <x:c r="Q11" s="14" t="str">
        <x:v>Request/response đã che token; dữ liệu trước/sau hoặc log kiểm tra có correlationId; môi trường, commit và thời gian chạy. Không ghi mật khẩu thật.</x:v>
      </x:c>
    </x:row>
    <x:row r="12" ht="104" customHeight="1">
      <x:c r="A12" s="14" t="str">
        <x:v>TC-SEC-011</x:v>
      </x:c>
      <x:c r="B12" s="14" t="str">
        <x:v>Security</x:v>
      </x:c>
      <x:c r="C12" s="14" t="str">
        <x:v>JWT không chữ ký, sai issuer/audience và hết hạn</x:v>
      </x:c>
      <x:c r="D12" s="14" t="str">
        <x:v>Fixture token kiểm soát, endpoint bảo vệ.</x:v>
      </x:c>
      <x:c r="E12" s="14" t="str">
        <x:v>1. Chuẩn bị fixture độc lập theo Preconditions.
2. Gọi GET /accounts/me với từng token với Test Data; lưu phản hồi và correlationId.
3. Đối chiếu từng điều kiện Expected Result với dữ liệu sau thao tác.</x:v>
      </x:c>
      <x:c r="F12" s="14" t="str">
        <x:v>alg=none; sai issuer; sai audience; expired; mỗi lượt riêng</x:v>
      </x:c>
      <x:c r="G12" s="14" t="str">
        <x:v>401 cho từng trường hợp; không tin payload chỉ vì giải mã được.</x:v>
      </x:c>
      <x:c r="H12" s="14" t="str">
        <x:v>High</x:v>
      </x:c>
      <x:c r="I12" s="14" t="str">
        <x:v>API 1.2; rubric liên kết</x:v>
      </x:c>
      <x:c r="J12" s="14" t="str">
        <x:v>Gọi GET /accounts/me với từng token</x:v>
      </x:c>
      <x:c r="K12" s="14" t="str">
        <x:v>Security</x:v>
      </x:c>
      <x:c r="L12" s="14" t="str">
        <x:v>DEFINED</x:v>
      </x:c>
      <x:c r="M12" s="33"/>
      <x:c r="N12" s="33" t="str">
        <x:v>NOT_RUN</x:v>
      </x:c>
      <x:c r="O12" s="14" t="str">
        <x:v>Chưa chạy. Fixture giả trong môi trường kiểm thử cô lập.</x:v>
      </x:c>
      <x:c r="P12" s="14" t="str">
        <x:v>R27</x:v>
      </x:c>
      <x:c r="Q12" s="14" t="str">
        <x:v>Request/response đã che token; dữ liệu trước/sau hoặc log kiểm tra có correlationId; môi trường, commit và thời gian chạy. Không ghi mật khẩu thật.</x:v>
      </x:c>
    </x:row>
    <x:row r="13" ht="104" customHeight="1">
      <x:c r="A13" s="14" t="str">
        <x:v>TC-SEC-012</x:v>
      </x:c>
      <x:c r="B13" s="14" t="str">
        <x:v>Security</x:v>
      </x:c>
      <x:c r="C13" s="14" t="str">
        <x:v>Thu hồi Session chặn token chưa hết hạn</x:v>
      </x:c>
      <x:c r="D13" s="14" t="str">
        <x:v>C1 có token còn exp; Session đã thu hồi bởi logout/đổi mật khẩu.</x:v>
      </x:c>
      <x:c r="E13" s="14" t="str">
        <x:v>1. Chuẩn bị fixture độc lập theo Preconditions.
2. Gọi API Core và API Rating với Test Data; lưu phản hồi và correlationId.
3. Đối chiếu từng điều kiện Expected Result với dữ liệu sau thao tác.</x:v>
      </x:c>
      <x:c r="F13" s="14" t="str">
        <x:v>Token cũ tới GET accounts/me và POST rating</x:v>
      </x:c>
      <x:c r="G13" s="14" t="str">
        <x:v>401; không có Rating mới; không bỏ qua kiểm tra Session ở service độc lập.</x:v>
      </x:c>
      <x:c r="H13" s="14" t="str">
        <x:v>High</x:v>
      </x:c>
      <x:c r="I13" s="14" t="str">
        <x:v>API 1.2; rubric liên kết</x:v>
      </x:c>
      <x:c r="J13" s="14" t="str">
        <x:v>Gọi API Core và API Rating</x:v>
      </x:c>
      <x:c r="K13" s="14" t="str">
        <x:v>Security</x:v>
      </x:c>
      <x:c r="L13" s="14" t="str">
        <x:v>DEFINED</x:v>
      </x:c>
      <x:c r="M13" s="33"/>
      <x:c r="N13" s="33" t="str">
        <x:v>NOT_RUN</x:v>
      </x:c>
      <x:c r="O13" s="14" t="str">
        <x:v>Chưa chạy. Fixture giả trong môi trường kiểm thử cô lập.</x:v>
      </x:c>
      <x:c r="P13" s="14" t="str">
        <x:v>R27</x:v>
      </x:c>
      <x:c r="Q13" s="14" t="str">
        <x:v>Request/response đã che token; dữ liệu trước/sau hoặc log kiểm tra có correlationId; môi trường, commit và thời gian chạy. Không ghi mật khẩu thật.</x:v>
      </x:c>
    </x:row>
    <x:row r="14" ht="119" customHeight="1">
      <x:c r="A14" s="14" t="str">
        <x:v>TC-SEC-013</x:v>
      </x:c>
      <x:c r="B14" s="14" t="str">
        <x:v>Security</x:v>
      </x:c>
      <x:c r="C14" s="14" t="str">
        <x:v>Customer không gọi được chức năng Driver</x:v>
      </x:c>
      <x:c r="D14" s="14" t="str">
        <x:v>C1 ACTIVE, token hợp lệ, biết ID đối tượng test.</x:v>
      </x:c>
      <x:c r="E14" s="14" t="str">
        <x:v>1. Chuẩn bị fixture độc lập theo Preconditions.
2. Gọi availability, location, accept và confirm-cash với Test Data; lưu phản hồi và correlationId.
3. Đối chiếu từng điều kiện Expected Result với dữ liệu sau thao tác.</x:v>
      </x:c>
      <x:c r="F14" s="14" t="str">
        <x:v>Request hợp lệ theo schema; key/version đúng khi cần</x:v>
      </x:c>
      <x:c r="G14" s="14" t="str">
        <x:v>403 ở các operation chỉ DRIVER; không trạng thái hoặc dữ liệu bị thay đổi. Không nhầm với kiểm tra Driver sai chủ thể trả 404.</x:v>
      </x:c>
      <x:c r="H14" s="14" t="str">
        <x:v>High</x:v>
      </x:c>
      <x:c r="I14" s="14" t="str">
        <x:v>API 1.2; rubric liên kết</x:v>
      </x:c>
      <x:c r="J14" s="14" t="str">
        <x:v>Gọi availability, location, accept và confirm-cash</x:v>
      </x:c>
      <x:c r="K14" s="14" t="str">
        <x:v>Security</x:v>
      </x:c>
      <x:c r="L14" s="14" t="str">
        <x:v>DEFINED</x:v>
      </x:c>
      <x:c r="M14" s="33"/>
      <x:c r="N14" s="33" t="str">
        <x:v>NOT_RUN</x:v>
      </x:c>
      <x:c r="O14" s="14" t="str">
        <x:v>Chưa chạy. Fixture giả trong môi trường kiểm thử cô lập.</x:v>
      </x:c>
      <x:c r="P14" s="14" t="str">
        <x:v>R28</x:v>
      </x:c>
      <x:c r="Q14" s="14" t="str">
        <x:v>Request/response đã che token; dữ liệu trước/sau hoặc log kiểm tra có correlationId; môi trường, commit và thời gian chạy. Không ghi mật khẩu thật.</x:v>
      </x:c>
    </x:row>
    <x:row r="15" ht="119" customHeight="1">
      <x:c r="A15" s="14" t="str">
        <x:v>TC-SEC-014</x:v>
      </x:c>
      <x:c r="B15" s="14" t="str">
        <x:v>Security</x:v>
      </x:c>
      <x:c r="C15" s="14" t="str">
        <x:v>Customer không gọi được Operations</x:v>
      </x:c>
      <x:c r="D15" s="14" t="str">
        <x:v>C1 ACTIVE; dữ liệu đích tồn tại.</x:v>
      </x:c>
      <x:c r="E15" s="14" t="str">
        <x:v>1. Chuẩn bị fixture độc lập theo Preconditions.
2. GET /operations/accounts; POST application review; PATCH account status với Test Data; lưu phản hồi và correlationId.
3. Đối chiếu từng điều kiện Expected Result với dữ liệu sau thao tác.</x:v>
      </x:c>
      <x:c r="F15" s="14" t="str">
        <x:v>Body/query hợp lệ; token C1</x:v>
      </x:c>
      <x:c r="G15" s="14" t="str">
        <x:v>403; không đọc tài khoản khác hoặc quyết định hồ sơ; audit không ghi thay đổi nghiệp vụ thành công.</x:v>
      </x:c>
      <x:c r="H15" s="14" t="str">
        <x:v>High</x:v>
      </x:c>
      <x:c r="I15" s="14" t="str">
        <x:v>API 1.2; rubric liên kết</x:v>
      </x:c>
      <x:c r="J15" s="14" t="str">
        <x:v>GET /operations/accounts; POST application review; PATCH account status</x:v>
      </x:c>
      <x:c r="K15" s="14" t="str">
        <x:v>Security</x:v>
      </x:c>
      <x:c r="L15" s="14" t="str">
        <x:v>DEFINED</x:v>
      </x:c>
      <x:c r="M15" s="33"/>
      <x:c r="N15" s="33" t="str">
        <x:v>NOT_RUN</x:v>
      </x:c>
      <x:c r="O15" s="14" t="str">
        <x:v>Chưa chạy. Fixture giả trong môi trường kiểm thử cô lập.</x:v>
      </x:c>
      <x:c r="P15" s="14" t="str">
        <x:v>R28</x:v>
      </x:c>
      <x:c r="Q15" s="14" t="str">
        <x:v>Request/response đã che token; dữ liệu trước/sau hoặc log kiểm tra có correlationId; môi trường, commit và thời gian chạy. Không ghi mật khẩu thật.</x:v>
      </x:c>
    </x:row>
    <x:row r="16" ht="119" customHeight="1">
      <x:c r="A16" s="14" t="str">
        <x:v>TC-SEC-015</x:v>
      </x:c>
      <x:c r="B16" s="14" t="str">
        <x:v>Security</x:v>
      </x:c>
      <x:c r="C16" s="14" t="str">
        <x:v>Tải trên 1000 request mỗi giây và rate limit thực tế</x:v>
      </x:c>
      <x:c r="D16" s="14" t="str">
        <x:v>Môi trường test được phép đo tải; Gateway/Redis và fixture request hợp lệ; ghi cấu hình hạn mức trước chạy.</x:v>
      </x:c>
      <x:c r="E16" s="14" t="str">
        <x:v>1. Chuẩn bị fixture độc lập theo Preconditions.
2. Chạy công cụ tải qua Gateway với arrival rate mục tiêu 1200 request/giây trong 10 giây với Test Data; lưu phản hồi và correlationId.
3. Đối chiếu từng điều kiện Expected Result với dữ liệu sau thao tác.</x:v>
      </x:c>
      <x:c r="F16" s="14" t="str">
        <x:v>Endpoint bảo vệ chỉ đọc; một chủ thể/IP theo hạn mức; token hợp lệ; ghi actual arrival rate</x:v>
      </x:c>
      <x:c r="G16" s="14" t="str">
        <x:v>Chỉ kết luận khi bộ phát thực sự vượt 1000 request/giây trong cửa sổ đo; request vượt hạn mức nhận 429/Retry-After; ghi 2xx/429/5xx, p95 và throughput. Không đạt tải thì chưa đủ bằng chứng, không PASS.</x:v>
      </x:c>
      <x:c r="H16" s="14" t="str">
        <x:v>High</x:v>
      </x:c>
      <x:c r="I16" s="14" t="str">
        <x:v>API 1.2; rubric liên kết</x:v>
      </x:c>
      <x:c r="J16" s="14" t="str">
        <x:v>Chạy công cụ tải qua Gateway với arrival rate mục tiêu 1200 request/giây trong 10 giây</x:v>
      </x:c>
      <x:c r="K16" s="14" t="str">
        <x:v>Performance</x:v>
      </x:c>
      <x:c r="L16" s="14" t="str">
        <x:v>DEFINED</x:v>
      </x:c>
      <x:c r="M16" s="33"/>
      <x:c r="N16" s="33" t="str">
        <x:v>NOT_RUN</x:v>
      </x:c>
      <x:c r="O16" s="14" t="str">
        <x:v>Chưa chạy. Fixture giả trong môi trường kiểm thử cô lập.</x:v>
      </x:c>
      <x:c r="P16" s="14" t="str">
        <x:v>R29</x:v>
      </x:c>
      <x:c r="Q16" s="14" t="str">
        <x:v>Báo cáo công cụ tải: mục tiêu/thực đạt, timestamps, status distribution, p95, cấu hình và log Gateway/Redis; không bịa số đo.</x:v>
      </x:c>
    </x:row>
    <x:row r="17" ht="104" customHeight="1">
      <x:c r="A17" s="14" t="str">
        <x:v>TC-SEC-016</x:v>
      </x:c>
      <x:c r="B17" s="14" t="str">
        <x:v>Security</x:v>
      </x:c>
      <x:c r="C17" s="14" t="str">
        <x:v>Rate limit dùng chung giữa nhiều Gateway instance</x:v>
      </x:c>
      <x:c r="D17" s="14" t="str">
        <x:v>Có ít nhất hai Gateway test dùng cùng Redis; fixture hạn mức 5 request/60 giây.</x:v>
      </x:c>
      <x:c r="E17" s="14" t="str">
        <x:v>1. Chuẩn bị fixture độc lập theo Preconditions.
2. Gửi tổng 6 request xen kẽ hai instance với Test Data; lưu phản hồi và correlationId.
3. Đối chiếu từng điều kiện Expected Result với dữ liệu sau thao tác.</x:v>
      </x:c>
      <x:c r="F17" s="14" t="str">
        <x:v>Cùng account/IP và khóa bucket; route request hợp lệ</x:v>
      </x:c>
      <x:c r="G17" s="14" t="str">
        <x:v>Tổng hạn mức không bị nhân đôi theo instance; request vượt ngưỡng 429. Instance mới không đặt lại counter dùng chung.</x:v>
      </x:c>
      <x:c r="H17" s="14" t="str">
        <x:v>High</x:v>
      </x:c>
      <x:c r="I17" s="14" t="str">
        <x:v>API 1.2; rubric liên kết</x:v>
      </x:c>
      <x:c r="J17" s="14" t="str">
        <x:v>Gửi tổng 6 request xen kẽ hai instance</x:v>
      </x:c>
      <x:c r="K17" s="14" t="str">
        <x:v>Integration</x:v>
      </x:c>
      <x:c r="L17" s="14" t="str">
        <x:v>DEFINED</x:v>
      </x:c>
      <x:c r="M17" s="33"/>
      <x:c r="N17" s="33" t="str">
        <x:v>NOT_RUN</x:v>
      </x:c>
      <x:c r="O17" s="14" t="str">
        <x:v>Chưa chạy. Fixture giả trong môi trường kiểm thử cô lập.</x:v>
      </x:c>
      <x:c r="P17" s="14" t="str">
        <x:v>R29</x:v>
      </x:c>
      <x:c r="Q17" s="14" t="str">
        <x:v>Request/response đã che token; dữ liệu trước/sau hoặc log kiểm tra có correlationId; môi trường, commit và thời gian chạy. Không ghi mật khẩu thật.</x:v>
      </x:c>
    </x:row>
    <x:row r="18" ht="119" customHeight="1">
      <x:c r="A18" s="14" t="str">
        <x:v>TC-SEC-017</x:v>
      </x:c>
      <x:c r="B18" s="14" t="str">
        <x:v>Security</x:v>
      </x:c>
      <x:c r="C18" s="14" t="str">
        <x:v>Rate limit hết cửa sổ cho phép request trở lại</x:v>
      </x:c>
      <x:c r="D18" s="14" t="str">
        <x:v>Đã đạt giới hạn fixture; đồng hồ kiểm soát.</x:v>
      </x:c>
      <x:c r="E18" s="14" t="str">
        <x:v>1. Chuẩn bị fixture độc lập theo Preconditions.
2. Gửi request trước và sau thời gian Retry-After với Test Data; lưu phản hồi và correlationId.
3. Đối chiếu từng điều kiện Expected Result với dữ liệu sau thao tác.</x:v>
      </x:c>
      <x:c r="F18" s="14" t="str">
        <x:v>Không vượt hạn mức mới sau khi hết cửa sổ</x:v>
      </x:c>
      <x:c r="G18" s="14" t="str">
        <x:v>Trước hạn 429; sau hạn request hợp lệ được xử lý bình thường; không tự khóa Account.</x:v>
      </x:c>
      <x:c r="H18" s="14" t="str">
        <x:v>High</x:v>
      </x:c>
      <x:c r="I18" s="14" t="str">
        <x:v>API 1.2; rubric liên kết</x:v>
      </x:c>
      <x:c r="J18" s="14" t="str">
        <x:v>Gửi request trước và sau thời gian Retry-After</x:v>
      </x:c>
      <x:c r="K18" s="14" t="str">
        <x:v>Integration</x:v>
      </x:c>
      <x:c r="L18" s="14" t="str">
        <x:v>DEFINED</x:v>
      </x:c>
      <x:c r="M18" s="33"/>
      <x:c r="N18" s="33" t="str">
        <x:v>NOT_RUN</x:v>
      </x:c>
      <x:c r="O18" s="14" t="str">
        <x:v>Chưa chạy. Fixture giả trong môi trường kiểm thử cô lập.</x:v>
      </x:c>
      <x:c r="P18" s="14" t="str">
        <x:v>R29</x:v>
      </x:c>
      <x:c r="Q18" s="14" t="str">
        <x:v>Request/response đã che token; dữ liệu trước/sau hoặc log kiểm tra có correlationId; môi trường, commit và thời gian chạy. Không ghi mật khẩu thật.</x:v>
      </x:c>
    </x:row>
    <x:row r="19" ht="119" customHeight="1">
      <x:c r="A19" s="14" t="str">
        <x:v>TC-SEC-018</x:v>
      </x:c>
      <x:c r="B19" s="14" t="str">
        <x:v>Security</x:v>
      </x:c>
      <x:c r="C19" s="14" t="str">
        <x:v>Replay thanh toán có bằng chứng không thu trùng end-to-end</x:v>
      </x:c>
      <x:c r="D19" s="14" t="str">
        <x:v>Chọn provider sandbox hỗ trợ cơ chế idempotency/tra cứu đã chốt.</x:v>
      </x:c>
      <x:c r="E19" s="14" t="str">
        <x:v>1. Chuẩn bị fixture độc lập theo Preconditions.
2. Replay API tạo thanh toán, gây timeout, gửi callback lặp và đối soát với Test Data; lưu phản hồi và correlationId.
3. Đối chiếu từng điều kiện Expected Result với dữ liệu sau thao tác.</x:v>
      </x:c>
      <x:c r="F19" s="14" t="str">
        <x:v>Cùng payment/attempt/merchantReference; kiểm tra cả DB CAB và ledger provider</x:v>
      </x:c>
      <x:c r="G19" s="14" t="str">
        <x:v>Một Payment và không thu trùng tại provider; response replay ổn định; callback không nhân đôi paidAt, outbox, thông báo hoặc doanh thu.</x:v>
      </x:c>
      <x:c r="H19" s="14" t="str">
        <x:v>High</x:v>
      </x:c>
      <x:c r="I19" s="14" t="str">
        <x:v>API 1.2; rubric liên kết</x:v>
      </x:c>
      <x:c r="J19" s="14" t="str">
        <x:v>Replay API tạo thanh toán, gây timeout, gửi callback lặp và đối soát</x:v>
      </x:c>
      <x:c r="K19" s="14" t="str">
        <x:v>Integration</x:v>
      </x:c>
      <x:c r="L19" s="14" t="str">
        <x:v>NEEDS_DECISION</x:v>
      </x:c>
      <x:c r="M19" s="33"/>
      <x:c r="N19" s="33" t="str">
        <x:v>NOT_RUN</x:v>
      </x:c>
      <x:c r="O19" s="14" t="str">
        <x:v>Chờ provider và quyền truy cập sandbox. Mock hoặc chỉ đếm hàng DB CAB không đủ chứng minh không thu trùng.</x:v>
      </x:c>
      <x:c r="P19" s="14" t="str">
        <x:v>R19; R30</x:v>
      </x:c>
      <x:c r="Q19" s="14" t="str">
        <x:v>Ledger/giao dịch sandbox, request/response redacted, idempotency reference, số Payment/Attempt, audit/outbox và báo cáo doanh thu.</x:v>
      </x:c>
    </x:row>
    <x:row r="20" ht="119" customHeight="1">
      <x:c r="A20" s="14" t="str">
        <x:v>TC-SEC-019</x:v>
      </x:c>
      <x:c r="B20" s="14" t="str">
        <x:v>Security</x:v>
      </x:c>
      <x:c r="C20" s="14" t="str">
        <x:v>No-store và log không lộ secret</x:v>
      </x:c>
      <x:c r="D20" s="14" t="str">
        <x:v>Có request Auth, đăng ký tài xế, Payment và Rating.</x:v>
      </x:c>
      <x:c r="E20" s="14" t="str">
        <x:v>1. Chuẩn bị fixture độc lập theo Preconditions.
2. Kiểm tra headers, access log, audit và idempotency lưu trữ với Test Data; lưu phản hồi và correlationId.
3. Đối chiếu từng điều kiện Expected Result với dữ liệu sau thao tác.</x:v>
      </x:c>
      <x:c r="F20" s="14" t="str">
        <x:v>Dùng token/OTP/password giả có marker để tìm trong bản sao test</x:v>
      </x:c>
      <x:c r="G20" s="14" t="str">
        <x:v>Response nhạy cảm có Cache-Control:no-store; không ghi raw token/password/OTP/CVV; user token chuyển tiếp nội bộ không lộ trong log.</x:v>
      </x:c>
      <x:c r="H20" s="14" t="str">
        <x:v>High</x:v>
      </x:c>
      <x:c r="I20" s="14" t="str">
        <x:v>API 1.2; rubric liên kết</x:v>
      </x:c>
      <x:c r="J20" s="14" t="str">
        <x:v>Kiểm tra headers, access log, audit và idempotency lưu trữ</x:v>
      </x:c>
      <x:c r="K20" s="14" t="str">
        <x:v>Security</x:v>
      </x:c>
      <x:c r="L20" s="14" t="str">
        <x:v>DEFINED</x:v>
      </x:c>
      <x:c r="M20" s="33"/>
      <x:c r="N20" s="33" t="str">
        <x:v>NOT_RUN</x:v>
      </x:c>
      <x:c r="O20" s="14" t="str">
        <x:v>Chưa chạy. Fixture giả trong môi trường kiểm thử cô lập.</x:v>
      </x:c>
      <x:c r="P20" s="14" t="str">
        <x:v>R02; R24</x:v>
      </x:c>
      <x:c r="Q20" s="14" t="str">
        <x:v>Request/response đã che token; dữ liệu trước/sau hoặc log kiểm tra có correlationId; môi trường, commit và thời gian chạy. Không ghi mật khẩu thật.</x:v>
      </x:c>
    </x:row>
  </x:sheetData>
  <x:conditionalFormatting sqref="L2:L20">
    <x:cfRule type="containsText" dxfId="98" priority="1" operator="containsText" text="NEEDS_DECISION"/>
    <x:cfRule type="containsText" dxfId="99" priority="2" operator="containsText" text="OUT_OF_SCOPE"/>
    <x:cfRule type="containsText" dxfId="100" priority="3" operator="containsText" text="SUPERSEDED"/>
  </x:conditionalFormatting>
  <x:conditionalFormatting sqref="N2:N20">
    <x:cfRule type="containsText" dxfId="101" priority="4" operator="containsText" text="FAIL"/>
    <x:cfRule type="containsText" dxfId="102" priority="5" operator="containsText" text="BLOCKED"/>
  </x:conditionalFormatting>
  <x:dataValidations count="3">
    <x:dataValidation type="list" sqref="L2:L20">
      <x:formula1>"DEFINED,NEEDS_DECISION,OUT_OF_SCOPE,SUPERSEDED"</x:formula1>
    </x:dataValidation>
    <x:dataValidation type="list" sqref="N2:N20">
      <x:formula1>"NOT_RUN,PASS,FAIL,BLOCKED"</x:formula1>
    </x:dataValidation>
    <x:dataValidation type="list" sqref="K2:K20">
      <x:formula1>"API,Integration,UI,Performance,Review,Security"</x:formula1>
    </x:dataValidation>
  </x:dataValidations>
  <x:pageMargins left="0.7" right="0.7" top="0.75" bottom="0.75" header="0.3" footer="0.3"/>
  <x:tableParts count="1">
    <x:tablePart xmlns:r="http://schemas.openxmlformats.org/officeDocument/2006/relationships" r:id="Re77d100c4c6544f4"/>
  </x:tableParts>
</x:worksheet>
</file>

<file path=xl/worksheets/sheet16.xml><?xml version="1.0" encoding="utf-8"?>
<x:worksheet xmlns:x="http://schemas.openxmlformats.org/spreadsheetml/2006/main">
  <x:sheetPr>
    <x:tabColor rgb="FF1F4E78"/>
  </x:sheetPr>
  <x:sheetViews>
    <x:sheetView workbookViewId="0">
      <x:pane ySplit="1" topLeftCell="A2" activePane="bottomLeft" state="frozen"/>
    </x:sheetView>
  </x:sheetViews>
  <x:sheetFormatPr defaultRowHeight="15"/>
  <x:cols>
    <x:col min="1" max="1" width="14" hidden="0" customWidth="1"/>
    <x:col min="2" max="2" width="40" hidden="0" customWidth="1"/>
    <x:col min="3" max="3" width="27" hidden="0" customWidth="1"/>
    <x:col min="4" max="4" width="14" hidden="0" customWidth="1"/>
    <x:col min="5" max="5" width="16" hidden="0" customWidth="1"/>
    <x:col min="6" max="6" width="16" hidden="0" customWidth="1"/>
    <x:col min="7" max="7" width="12" hidden="0" customWidth="1"/>
    <x:col min="8" max="8" width="12" hidden="0" customWidth="1"/>
    <x:col min="9" max="9" width="14" hidden="0" customWidth="1"/>
    <x:col min="10" max="10" width="14" hidden="0" customWidth="1"/>
    <x:col min="11" max="11" width="29" hidden="0" customWidth="1"/>
    <x:col min="12" max="12" width="70" hidden="0" customWidth="1"/>
    <x:col min="13" max="13" width="65" hidden="0" customWidth="1"/>
    <x:col min="14" max="14" width="24" hidden="0" customWidth="1"/>
  </x:cols>
  <x:sheetData>
    <x:row r="1" ht="50" customHeight="1">
      <x:c r="A1" s="32" t="str">
        <x:v>Rubric ID</x:v>
      </x:c>
      <x:c r="B1" s="32" t="str">
        <x:v>Tiêu chí (tóm tắt)</x:v>
      </x:c>
      <x:c r="C1" s="32" t="str">
        <x:v>Ca chính</x:v>
      </x:c>
      <x:c r="D1" s="32" t="str">
        <x:v>Ca áp dụng</x:v>
      </x:c>
      <x:c r="E1" s="32" t="str">
        <x:v>Đủ thiết kế</x:v>
      </x:c>
      <x:c r="F1" s="32" t="str">
        <x:v>Cần chốt</x:v>
      </x:c>
      <x:c r="G1" s="32" t="str">
        <x:v>PASS</x:v>
      </x:c>
      <x:c r="H1" s="32" t="str">
        <x:v>FAIL</x:v>
      </x:c>
      <x:c r="I1" s="32" t="str">
        <x:v>BLOCKED</x:v>
      </x:c>
      <x:c r="J1" s="32" t="str">
        <x:v>NOT_RUN</x:v>
      </x:c>
      <x:c r="K1" s="32" t="str">
        <x:v>Theo dõi ca liên kết</x:v>
      </x:c>
      <x:c r="L1" s="32" t="str">
        <x:v>Minh chứng cần có</x:v>
      </x:c>
      <x:c r="M1" s="32" t="str">
        <x:v>Minh chứng thực tế</x:v>
      </x:c>
      <x:c r="N1" s="32" t="str">
        <x:v>Đánh giá tiêu chí</x:v>
      </x:c>
    </x:row>
    <x:row r="2" ht="115" customHeight="1">
      <x:c r="A2" s="14" t="str">
        <x:v>R01</x:v>
      </x:c>
      <x:c r="B2" s="14" t="str">
        <x:v>Tổ chức source code</x:v>
      </x:c>
      <x:c r="C2" s="14" t="str">
        <x:v>TC-ARCH-001</x:v>
      </x:c>
      <x:c r="D2" s="34" t="n">
        <x:f>COUNTIFS('Architecture Test Cases'!$P$2:$P$18,"R01",'Architecture Test Cases'!$L$2:$L$18,"&lt;&gt;OUT_OF_SCOPE",'Architecture Test Cases'!$L$2:$L$18,"&lt;&gt;SUPERSEDED")</x:f>
        <x:v>1</x:v>
      </x:c>
      <x:c r="E2" s="34" t="n">
        <x:f>COUNTIFS('Architecture Test Cases'!$P$2:$P$18,"R01",'Architecture Test Cases'!$L$2:$L$18,"&lt;&gt;OUT_OF_SCOPE",'Architecture Test Cases'!$L$2:$L$18,"&lt;&gt;SUPERSEDED",'Architecture Test Cases'!$L$2:$L$18,"DEFINED")</x:f>
        <x:v>1</x:v>
      </x:c>
      <x:c r="F2" s="34" t="n">
        <x:f>COUNTIFS('Architecture Test Cases'!$P$2:$P$18,"R01",'Architecture Test Cases'!$L$2:$L$18,"&lt;&gt;OUT_OF_SCOPE",'Architecture Test Cases'!$L$2:$L$18,"&lt;&gt;SUPERSEDED",'Architecture Test Cases'!$L$2:$L$18,"NEEDS_DECISION")</x:f>
        <x:v>0</x:v>
      </x:c>
      <x:c r="G2" s="34" t="n">
        <x:f>COUNTIFS('Architecture Test Cases'!$P$2:$P$18,"R01",'Architecture Test Cases'!$L$2:$L$18,"&lt;&gt;OUT_OF_SCOPE",'Architecture Test Cases'!$L$2:$L$18,"&lt;&gt;SUPERSEDED",'Architecture Test Cases'!$N$2:$N$18,"PASS")</x:f>
        <x:v>0</x:v>
      </x:c>
      <x:c r="H2" s="34" t="n">
        <x:f>COUNTIFS('Architecture Test Cases'!$P$2:$P$18,"R01",'Architecture Test Cases'!$L$2:$L$18,"&lt;&gt;OUT_OF_SCOPE",'Architecture Test Cases'!$L$2:$L$18,"&lt;&gt;SUPERSEDED",'Architecture Test Cases'!$N$2:$N$18,"FAIL")</x:f>
        <x:v>0</x:v>
      </x:c>
      <x:c r="I2" s="34" t="n">
        <x:f>COUNTIFS('Architecture Test Cases'!$P$2:$P$18,"R01",'Architecture Test Cases'!$L$2:$L$18,"&lt;&gt;OUT_OF_SCOPE",'Architecture Test Cases'!$L$2:$L$18,"&lt;&gt;SUPERSEDED",'Architecture Test Cases'!$N$2:$N$18,"BLOCKED")</x:f>
        <x:v>0</x:v>
      </x:c>
      <x:c r="J2" s="34" t="n">
        <x:f>COUNTIFS('Architecture Test Cases'!$P$2:$P$18,"R01",'Architecture Test Cases'!$L$2:$L$18,"&lt;&gt;OUT_OF_SCOPE",'Architecture Test Cases'!$L$2:$L$18,"&lt;&gt;SUPERSEDED",'Architecture Test Cases'!$N$2:$N$18,"NOT_RUN")</x:f>
        <x:v>1</x:v>
      </x:c>
      <x:c r="K2" s="14" t="str">
        <x:f>IF(D2=0,"CHƯA LIÊN KẾT",IF(H2&gt;0,"CÓ CA FAIL",IF(I2&gt;0,"CÓ CA BLOCKED",IF(F2&gt;0,"CẦN CHỐT THIẾT KẾ",IF(J2&gt;0,"CHƯA CHẠY ĐỦ","CA LIÊN KẾT ĐÃ PASS")))))</x:f>
        <x:v>CHƯA CHẠY ĐỦ</x:v>
      </x:c>
      <x:c r="L2" s="14" t="str">
        <x:v>Cây source và entrypoint/build tại commit đánh giá.</x:v>
      </x:c>
      <x:c r="M2" s="33"/>
      <x:c r="N2" s="33" t="str">
        <x:v>CHƯA CHẤM</x:v>
      </x:c>
    </x:row>
    <x:row r="3" ht="115" customHeight="1">
      <x:c r="A3" s="14" t="str">
        <x:v>R02</x:v>
      </x:c>
      <x:c r="B3" s="14" t="str">
        <x:v>.gitignore và cấu hình .env</x:v>
      </x:c>
      <x:c r="C3" s="14" t="str">
        <x:v>TC-ARCH-002
TC-SEC-019</x:v>
      </x:c>
      <x:c r="D3" s="34" t="n">
        <x:f>COUNTIFS('Architecture Test Cases'!$P$2:$P$18,"R02",'Architecture Test Cases'!$L$2:$L$18,"&lt;&gt;OUT_OF_SCOPE",'Architecture Test Cases'!$L$2:$L$18,"&lt;&gt;SUPERSEDED")+COUNTIFS('Security Test Cases'!$P$2:$P$20,"R02; R24",'Security Test Cases'!$L$2:$L$20,"&lt;&gt;OUT_OF_SCOPE",'Security Test Cases'!$L$2:$L$20,"&lt;&gt;SUPERSEDED")</x:f>
        <x:v>2</x:v>
      </x:c>
      <x:c r="E3" s="34" t="n">
        <x:f>COUNTIFS('Architecture Test Cases'!$P$2:$P$18,"R02",'Architecture Test Cases'!$L$2:$L$18,"&lt;&gt;OUT_OF_SCOPE",'Architecture Test Cases'!$L$2:$L$18,"&lt;&gt;SUPERSEDED",'Architecture Test Cases'!$L$2:$L$18,"DEFINED")+COUNTIFS('Security Test Cases'!$P$2:$P$20,"R02; R24",'Security Test Cases'!$L$2:$L$20,"&lt;&gt;OUT_OF_SCOPE",'Security Test Cases'!$L$2:$L$20,"&lt;&gt;SUPERSEDED",'Security Test Cases'!$L$2:$L$20,"DEFINED")</x:f>
        <x:v>2</x:v>
      </x:c>
      <x:c r="F3" s="34" t="n">
        <x:f>COUNTIFS('Architecture Test Cases'!$P$2:$P$18,"R02",'Architecture Test Cases'!$L$2:$L$18,"&lt;&gt;OUT_OF_SCOPE",'Architecture Test Cases'!$L$2:$L$18,"&lt;&gt;SUPERSEDED",'Architecture Test Cases'!$L$2:$L$18,"NEEDS_DECISION")+COUNTIFS('Security Test Cases'!$P$2:$P$20,"R02; R24",'Security Test Cases'!$L$2:$L$20,"&lt;&gt;OUT_OF_SCOPE",'Security Test Cases'!$L$2:$L$20,"&lt;&gt;SUPERSEDED",'Security Test Cases'!$L$2:$L$20,"NEEDS_DECISION")</x:f>
        <x:v>0</x:v>
      </x:c>
      <x:c r="G3" s="34" t="n">
        <x:f>COUNTIFS('Architecture Test Cases'!$P$2:$P$18,"R02",'Architecture Test Cases'!$L$2:$L$18,"&lt;&gt;OUT_OF_SCOPE",'Architecture Test Cases'!$L$2:$L$18,"&lt;&gt;SUPERSEDED",'Architecture Test Cases'!$N$2:$N$18,"PASS")+COUNTIFS('Security Test Cases'!$P$2:$P$20,"R02; R24",'Security Test Cases'!$L$2:$L$20,"&lt;&gt;OUT_OF_SCOPE",'Security Test Cases'!$L$2:$L$20,"&lt;&gt;SUPERSEDED",'Security Test Cases'!$N$2:$N$20,"PASS")</x:f>
        <x:v>0</x:v>
      </x:c>
      <x:c r="H3" s="34" t="n">
        <x:f>COUNTIFS('Architecture Test Cases'!$P$2:$P$18,"R02",'Architecture Test Cases'!$L$2:$L$18,"&lt;&gt;OUT_OF_SCOPE",'Architecture Test Cases'!$L$2:$L$18,"&lt;&gt;SUPERSEDED",'Architecture Test Cases'!$N$2:$N$18,"FAIL")+COUNTIFS('Security Test Cases'!$P$2:$P$20,"R02; R24",'Security Test Cases'!$L$2:$L$20,"&lt;&gt;OUT_OF_SCOPE",'Security Test Cases'!$L$2:$L$20,"&lt;&gt;SUPERSEDED",'Security Test Cases'!$N$2:$N$20,"FAIL")</x:f>
        <x:v>0</x:v>
      </x:c>
      <x:c r="I3" s="34" t="n">
        <x:f>COUNTIFS('Architecture Test Cases'!$P$2:$P$18,"R02",'Architecture Test Cases'!$L$2:$L$18,"&lt;&gt;OUT_OF_SCOPE",'Architecture Test Cases'!$L$2:$L$18,"&lt;&gt;SUPERSEDED",'Architecture Test Cases'!$N$2:$N$18,"BLOCKED")+COUNTIFS('Security Test Cases'!$P$2:$P$20,"R02; R24",'Security Test Cases'!$L$2:$L$20,"&lt;&gt;OUT_OF_SCOPE",'Security Test Cases'!$L$2:$L$20,"&lt;&gt;SUPERSEDED",'Security Test Cases'!$N$2:$N$20,"BLOCKED")</x:f>
        <x:v>0</x:v>
      </x:c>
      <x:c r="J3" s="34" t="n">
        <x:f>COUNTIFS('Architecture Test Cases'!$P$2:$P$18,"R02",'Architecture Test Cases'!$L$2:$L$18,"&lt;&gt;OUT_OF_SCOPE",'Architecture Test Cases'!$L$2:$L$18,"&lt;&gt;SUPERSEDED",'Architecture Test Cases'!$N$2:$N$18,"NOT_RUN")+COUNTIFS('Security Test Cases'!$P$2:$P$20,"R02; R24",'Security Test Cases'!$L$2:$L$20,"&lt;&gt;OUT_OF_SCOPE",'Security Test Cases'!$L$2:$L$20,"&lt;&gt;SUPERSEDED",'Security Test Cases'!$N$2:$N$20,"NOT_RUN")</x:f>
        <x:v>2</x:v>
      </x:c>
      <x:c r="K3" s="14" t="str">
        <x:f>IF(D3=0,"CHƯA LIÊN KẾT",IF(H3&gt;0,"CÓ CA FAIL",IF(I3&gt;0,"CÓ CA BLOCKED",IF(F3&gt;0,"CẦN CHỐT THIẾT KẾ",IF(J3&gt;0,"CHƯA CHẠY ĐỦ","CA LIÊN KẾT ĐÃ PASS")))))</x:f>
        <x:v>CHƯA CHẠY ĐỦ</x:v>
      </x:c>
      <x:c r="L3" s="14" t="str">
        <x:v>File tracked, env template và kiểm tra secret đã che dữ liệu.</x:v>
      </x:c>
      <x:c r="M3" s="33"/>
      <x:c r="N3" s="33" t="str">
        <x:v>CHƯA CHẤM</x:v>
      </x:c>
    </x:row>
    <x:row r="4" ht="115" customHeight="1">
      <x:c r="A4" s="14" t="str">
        <x:v>R03</x:v>
      </x:c>
      <x:c r="B4" s="14" t="str">
        <x:v>API Gateway</x:v>
      </x:c>
      <x:c r="C4" s="14" t="str">
        <x:v>TC-ARCH-003</x:v>
      </x:c>
      <x:c r="D4" s="34" t="n">
        <x:f>COUNTIFS('Architecture Test Cases'!$P$2:$P$18,"R03; R08",'Architecture Test Cases'!$L$2:$L$18,"&lt;&gt;OUT_OF_SCOPE",'Architecture Test Cases'!$L$2:$L$18,"&lt;&gt;SUPERSEDED")</x:f>
        <x:v>1</x:v>
      </x:c>
      <x:c r="E4" s="34" t="n">
        <x:f>COUNTIFS('Architecture Test Cases'!$P$2:$P$18,"R03; R08",'Architecture Test Cases'!$L$2:$L$18,"&lt;&gt;OUT_OF_SCOPE",'Architecture Test Cases'!$L$2:$L$18,"&lt;&gt;SUPERSEDED",'Architecture Test Cases'!$L$2:$L$18,"DEFINED")</x:f>
        <x:v>1</x:v>
      </x:c>
      <x:c r="F4" s="34" t="n">
        <x:f>COUNTIFS('Architecture Test Cases'!$P$2:$P$18,"R03; R08",'Architecture Test Cases'!$L$2:$L$18,"&lt;&gt;OUT_OF_SCOPE",'Architecture Test Cases'!$L$2:$L$18,"&lt;&gt;SUPERSEDED",'Architecture Test Cases'!$L$2:$L$18,"NEEDS_DECISION")</x:f>
        <x:v>0</x:v>
      </x:c>
      <x:c r="G4" s="34" t="n">
        <x:f>COUNTIFS('Architecture Test Cases'!$P$2:$P$18,"R03; R08",'Architecture Test Cases'!$L$2:$L$18,"&lt;&gt;OUT_OF_SCOPE",'Architecture Test Cases'!$L$2:$L$18,"&lt;&gt;SUPERSEDED",'Architecture Test Cases'!$N$2:$N$18,"PASS")</x:f>
        <x:v>0</x:v>
      </x:c>
      <x:c r="H4" s="34" t="n">
        <x:f>COUNTIFS('Architecture Test Cases'!$P$2:$P$18,"R03; R08",'Architecture Test Cases'!$L$2:$L$18,"&lt;&gt;OUT_OF_SCOPE",'Architecture Test Cases'!$L$2:$L$18,"&lt;&gt;SUPERSEDED",'Architecture Test Cases'!$N$2:$N$18,"FAIL")</x:f>
        <x:v>0</x:v>
      </x:c>
      <x:c r="I4" s="34" t="n">
        <x:f>COUNTIFS('Architecture Test Cases'!$P$2:$P$18,"R03; R08",'Architecture Test Cases'!$L$2:$L$18,"&lt;&gt;OUT_OF_SCOPE",'Architecture Test Cases'!$L$2:$L$18,"&lt;&gt;SUPERSEDED",'Architecture Test Cases'!$N$2:$N$18,"BLOCKED")</x:f>
        <x:v>0</x:v>
      </x:c>
      <x:c r="J4" s="34" t="n">
        <x:f>COUNTIFS('Architecture Test Cases'!$P$2:$P$18,"R03; R08",'Architecture Test Cases'!$L$2:$L$18,"&lt;&gt;OUT_OF_SCOPE",'Architecture Test Cases'!$L$2:$L$18,"&lt;&gt;SUPERSEDED",'Architecture Test Cases'!$N$2:$N$18,"NOT_RUN")</x:f>
        <x:v>1</x:v>
      </x:c>
      <x:c r="K4" s="14" t="str">
        <x:f>IF(D4=0,"CHƯA LIÊN KẾT",IF(H4&gt;0,"CÓ CA FAIL",IF(I4&gt;0,"CÓ CA BLOCKED",IF(F4&gt;0,"CẦN CHỐT THIẾT KẾ",IF(J4&gt;0,"CHƯA CHẠY ĐỦ","CA LIÊN KẾT ĐÃ PASS")))))</x:f>
        <x:v>CHƯA CHẠY ĐỦ</x:v>
      </x:c>
      <x:c r="L4" s="14" t="str">
        <x:v>Route config và trace request đến đúng service.</x:v>
      </x:c>
      <x:c r="M4" s="33"/>
      <x:c r="N4" s="33" t="str">
        <x:v>CHƯA CHẤM</x:v>
      </x:c>
    </x:row>
    <x:row r="5" ht="115" customHeight="1">
      <x:c r="A5" s="14" t="str">
        <x:v>R04</x:v>
      </x:c>
      <x:c r="B5" s="14" t="str">
        <x:v>Giao tiếp liên service (IPC)</x:v>
      </x:c>
      <x:c r="C5" s="14" t="str">
        <x:v>TC-ARCH-004
TC-ARCH-015
TC-ARCH-016
TC-RATING-025
TC-RATING-026
TC-RATING-032</x:v>
      </x:c>
      <x:c r="D5" s="34" t="n">
        <x:f>COUNTIFS('Rating Test Cases'!$P$2:$P$33,"R04; R20",'Rating Test Cases'!$L$2:$L$33,"&lt;&gt;OUT_OF_SCOPE",'Rating Test Cases'!$L$2:$L$33,"&lt;&gt;SUPERSEDED")+COUNTIFS('Architecture Test Cases'!$P$2:$P$18,"R04; R20",'Architecture Test Cases'!$L$2:$L$18,"&lt;&gt;OUT_OF_SCOPE",'Architecture Test Cases'!$L$2:$L$18,"&lt;&gt;SUPERSEDED")+COUNTIFS('Architecture Test Cases'!$P$2:$P$18,"R04; R08",'Architecture Test Cases'!$L$2:$L$18,"&lt;&gt;OUT_OF_SCOPE",'Architecture Test Cases'!$L$2:$L$18,"&lt;&gt;SUPERSEDED")+COUNTIFS('Architecture Test Cases'!$P$2:$P$18,"R04",'Architecture Test Cases'!$L$2:$L$18,"&lt;&gt;OUT_OF_SCOPE",'Architecture Test Cases'!$L$2:$L$18,"&lt;&gt;SUPERSEDED")</x:f>
        <x:v>6</x:v>
      </x:c>
      <x:c r="E5" s="34" t="n">
        <x:f>COUNTIFS('Rating Test Cases'!$P$2:$P$33,"R04; R20",'Rating Test Cases'!$L$2:$L$33,"&lt;&gt;OUT_OF_SCOPE",'Rating Test Cases'!$L$2:$L$33,"&lt;&gt;SUPERSEDED",'Rating Test Cases'!$L$2:$L$33,"DEFINED")+COUNTIFS('Architecture Test Cases'!$P$2:$P$18,"R04; R20",'Architecture Test Cases'!$L$2:$L$18,"&lt;&gt;OUT_OF_SCOPE",'Architecture Test Cases'!$L$2:$L$18,"&lt;&gt;SUPERSEDED",'Architecture Test Cases'!$L$2:$L$18,"DEFINED")+COUNTIFS('Architecture Test Cases'!$P$2:$P$18,"R04; R08",'Architecture Test Cases'!$L$2:$L$18,"&lt;&gt;OUT_OF_SCOPE",'Architecture Test Cases'!$L$2:$L$18,"&lt;&gt;SUPERSEDED",'Architecture Test Cases'!$L$2:$L$18,"DEFINED")+COUNTIFS('Architecture Test Cases'!$P$2:$P$18,"R04",'Architecture Test Cases'!$L$2:$L$18,"&lt;&gt;OUT_OF_SCOPE",'Architecture Test Cases'!$L$2:$L$18,"&lt;&gt;SUPERSEDED",'Architecture Test Cases'!$L$2:$L$18,"DEFINED")</x:f>
        <x:v>6</x:v>
      </x:c>
      <x:c r="F5" s="34" t="n">
        <x:f>COUNTIFS('Rating Test Cases'!$P$2:$P$33,"R04; R20",'Rating Test Cases'!$L$2:$L$33,"&lt;&gt;OUT_OF_SCOPE",'Rating Test Cases'!$L$2:$L$33,"&lt;&gt;SUPERSEDED",'Rating Test Cases'!$L$2:$L$33,"NEEDS_DECISION")+COUNTIFS('Architecture Test Cases'!$P$2:$P$18,"R04; R20",'Architecture Test Cases'!$L$2:$L$18,"&lt;&gt;OUT_OF_SCOPE",'Architecture Test Cases'!$L$2:$L$18,"&lt;&gt;SUPERSEDED",'Architecture Test Cases'!$L$2:$L$18,"NEEDS_DECISION")+COUNTIFS('Architecture Test Cases'!$P$2:$P$18,"R04; R08",'Architecture Test Cases'!$L$2:$L$18,"&lt;&gt;OUT_OF_SCOPE",'Architecture Test Cases'!$L$2:$L$18,"&lt;&gt;SUPERSEDED",'Architecture Test Cases'!$L$2:$L$18,"NEEDS_DECISION")+COUNTIFS('Architecture Test Cases'!$P$2:$P$18,"R04",'Architecture Test Cases'!$L$2:$L$18,"&lt;&gt;OUT_OF_SCOPE",'Architecture Test Cases'!$L$2:$L$18,"&lt;&gt;SUPERSEDED",'Architecture Test Cases'!$L$2:$L$18,"NEEDS_DECISION")</x:f>
        <x:v>0</x:v>
      </x:c>
      <x:c r="G5" s="34" t="n">
        <x:f>COUNTIFS('Rating Test Cases'!$P$2:$P$33,"R04; R20",'Rating Test Cases'!$L$2:$L$33,"&lt;&gt;OUT_OF_SCOPE",'Rating Test Cases'!$L$2:$L$33,"&lt;&gt;SUPERSEDED",'Rating Test Cases'!$N$2:$N$33,"PASS")+COUNTIFS('Architecture Test Cases'!$P$2:$P$18,"R04; R20",'Architecture Test Cases'!$L$2:$L$18,"&lt;&gt;OUT_OF_SCOPE",'Architecture Test Cases'!$L$2:$L$18,"&lt;&gt;SUPERSEDED",'Architecture Test Cases'!$N$2:$N$18,"PASS")+COUNTIFS('Architecture Test Cases'!$P$2:$P$18,"R04; R08",'Architecture Test Cases'!$L$2:$L$18,"&lt;&gt;OUT_OF_SCOPE",'Architecture Test Cases'!$L$2:$L$18,"&lt;&gt;SUPERSEDED",'Architecture Test Cases'!$N$2:$N$18,"PASS")+COUNTIFS('Architecture Test Cases'!$P$2:$P$18,"R04",'Architecture Test Cases'!$L$2:$L$18,"&lt;&gt;OUT_OF_SCOPE",'Architecture Test Cases'!$L$2:$L$18,"&lt;&gt;SUPERSEDED",'Architecture Test Cases'!$N$2:$N$18,"PASS")</x:f>
        <x:v>0</x:v>
      </x:c>
      <x:c r="H5" s="34" t="n">
        <x:f>COUNTIFS('Rating Test Cases'!$P$2:$P$33,"R04; R20",'Rating Test Cases'!$L$2:$L$33,"&lt;&gt;OUT_OF_SCOPE",'Rating Test Cases'!$L$2:$L$33,"&lt;&gt;SUPERSEDED",'Rating Test Cases'!$N$2:$N$33,"FAIL")+COUNTIFS('Architecture Test Cases'!$P$2:$P$18,"R04; R20",'Architecture Test Cases'!$L$2:$L$18,"&lt;&gt;OUT_OF_SCOPE",'Architecture Test Cases'!$L$2:$L$18,"&lt;&gt;SUPERSEDED",'Architecture Test Cases'!$N$2:$N$18,"FAIL")+COUNTIFS('Architecture Test Cases'!$P$2:$P$18,"R04; R08",'Architecture Test Cases'!$L$2:$L$18,"&lt;&gt;OUT_OF_SCOPE",'Architecture Test Cases'!$L$2:$L$18,"&lt;&gt;SUPERSEDED",'Architecture Test Cases'!$N$2:$N$18,"FAIL")+COUNTIFS('Architecture Test Cases'!$P$2:$P$18,"R04",'Architecture Test Cases'!$L$2:$L$18,"&lt;&gt;OUT_OF_SCOPE",'Architecture Test Cases'!$L$2:$L$18,"&lt;&gt;SUPERSEDED",'Architecture Test Cases'!$N$2:$N$18,"FAIL")</x:f>
        <x:v>0</x:v>
      </x:c>
      <x:c r="I5" s="34" t="n">
        <x:f>COUNTIFS('Rating Test Cases'!$P$2:$P$33,"R04; R20",'Rating Test Cases'!$L$2:$L$33,"&lt;&gt;OUT_OF_SCOPE",'Rating Test Cases'!$L$2:$L$33,"&lt;&gt;SUPERSEDED",'Rating Test Cases'!$N$2:$N$33,"BLOCKED")+COUNTIFS('Architecture Test Cases'!$P$2:$P$18,"R04; R20",'Architecture Test Cases'!$L$2:$L$18,"&lt;&gt;OUT_OF_SCOPE",'Architecture Test Cases'!$L$2:$L$18,"&lt;&gt;SUPERSEDED",'Architecture Test Cases'!$N$2:$N$18,"BLOCKED")+COUNTIFS('Architecture Test Cases'!$P$2:$P$18,"R04; R08",'Architecture Test Cases'!$L$2:$L$18,"&lt;&gt;OUT_OF_SCOPE",'Architecture Test Cases'!$L$2:$L$18,"&lt;&gt;SUPERSEDED",'Architecture Test Cases'!$N$2:$N$18,"BLOCKED")+COUNTIFS('Architecture Test Cases'!$P$2:$P$18,"R04",'Architecture Test Cases'!$L$2:$L$18,"&lt;&gt;OUT_OF_SCOPE",'Architecture Test Cases'!$L$2:$L$18,"&lt;&gt;SUPERSEDED",'Architecture Test Cases'!$N$2:$N$18,"BLOCKED")</x:f>
        <x:v>0</x:v>
      </x:c>
      <x:c r="J5" s="34" t="n">
        <x:f>COUNTIFS('Rating Test Cases'!$P$2:$P$33,"R04; R20",'Rating Test Cases'!$L$2:$L$33,"&lt;&gt;OUT_OF_SCOPE",'Rating Test Cases'!$L$2:$L$33,"&lt;&gt;SUPERSEDED",'Rating Test Cases'!$N$2:$N$33,"NOT_RUN")+COUNTIFS('Architecture Test Cases'!$P$2:$P$18,"R04; R20",'Architecture Test Cases'!$L$2:$L$18,"&lt;&gt;OUT_OF_SCOPE",'Architecture Test Cases'!$L$2:$L$18,"&lt;&gt;SUPERSEDED",'Architecture Test Cases'!$N$2:$N$18,"NOT_RUN")+COUNTIFS('Architecture Test Cases'!$P$2:$P$18,"R04; R08",'Architecture Test Cases'!$L$2:$L$18,"&lt;&gt;OUT_OF_SCOPE",'Architecture Test Cases'!$L$2:$L$18,"&lt;&gt;SUPERSEDED",'Architecture Test Cases'!$N$2:$N$18,"NOT_RUN")+COUNTIFS('Architecture Test Cases'!$P$2:$P$18,"R04",'Architecture Test Cases'!$L$2:$L$18,"&lt;&gt;OUT_OF_SCOPE",'Architecture Test Cases'!$L$2:$L$18,"&lt;&gt;SUPERSEDED",'Architecture Test Cases'!$N$2:$N$18,"NOT_RUN")</x:f>
        <x:v>6</x:v>
      </x:c>
      <x:c r="K5" s="14" t="str">
        <x:f>IF(D5=0,"CHƯA LIÊN KẾT",IF(H5&gt;0,"CÓ CA FAIL",IF(I5&gt;0,"CÓ CA BLOCKED",IF(F5&gt;0,"CẦN CHỐT THIẾT KẾ",IF(J5&gt;0,"CHƯA CHẠY ĐỦ","CA LIÊN KẾT ĐÃ PASS")))))</x:f>
        <x:v>CHƯA CHẠY ĐỦ</x:v>
      </x:c>
      <x:c r="L5" s="14" t="str">
        <x:v>Trace HTTP Rating → Core; quyền DB riêng; kiểm tra khi dependency lỗi.</x:v>
      </x:c>
      <x:c r="M5" s="33"/>
      <x:c r="N5" s="33" t="str">
        <x:v>CHƯA CHẤM</x:v>
      </x:c>
    </x:row>
    <x:row r="6" ht="115" customHeight="1">
      <x:c r="A6" s="14" t="str">
        <x:v>R05</x:v>
      </x:c>
      <x:c r="B6" s="14" t="str">
        <x:v>Docker Compose và container</x:v>
      </x:c>
      <x:c r="C6" s="14" t="str">
        <x:v>TC-ARCH-005
TC-ARCH-006</x:v>
      </x:c>
      <x:c r="D6" s="34" t="n">
        <x:f>COUNTIFS('Architecture Test Cases'!$P$2:$P$18,"R05",'Architecture Test Cases'!$L$2:$L$18,"&lt;&gt;OUT_OF_SCOPE",'Architecture Test Cases'!$L$2:$L$18,"&lt;&gt;SUPERSEDED")+COUNTIFS('Architecture Test Cases'!$P$2:$P$18,"R05; R07",'Architecture Test Cases'!$L$2:$L$18,"&lt;&gt;OUT_OF_SCOPE",'Architecture Test Cases'!$L$2:$L$18,"&lt;&gt;SUPERSEDED")</x:f>
        <x:v>2</x:v>
      </x:c>
      <x:c r="E6" s="34" t="n">
        <x:f>COUNTIFS('Architecture Test Cases'!$P$2:$P$18,"R05",'Architecture Test Cases'!$L$2:$L$18,"&lt;&gt;OUT_OF_SCOPE",'Architecture Test Cases'!$L$2:$L$18,"&lt;&gt;SUPERSEDED",'Architecture Test Cases'!$L$2:$L$18,"DEFINED")+COUNTIFS('Architecture Test Cases'!$P$2:$P$18,"R05; R07",'Architecture Test Cases'!$L$2:$L$18,"&lt;&gt;OUT_OF_SCOPE",'Architecture Test Cases'!$L$2:$L$18,"&lt;&gt;SUPERSEDED",'Architecture Test Cases'!$L$2:$L$18,"DEFINED")</x:f>
        <x:v>2</x:v>
      </x:c>
      <x:c r="F6" s="34" t="n">
        <x:f>COUNTIFS('Architecture Test Cases'!$P$2:$P$18,"R05",'Architecture Test Cases'!$L$2:$L$18,"&lt;&gt;OUT_OF_SCOPE",'Architecture Test Cases'!$L$2:$L$18,"&lt;&gt;SUPERSEDED",'Architecture Test Cases'!$L$2:$L$18,"NEEDS_DECISION")+COUNTIFS('Architecture Test Cases'!$P$2:$P$18,"R05; R07",'Architecture Test Cases'!$L$2:$L$18,"&lt;&gt;OUT_OF_SCOPE",'Architecture Test Cases'!$L$2:$L$18,"&lt;&gt;SUPERSEDED",'Architecture Test Cases'!$L$2:$L$18,"NEEDS_DECISION")</x:f>
        <x:v>0</x:v>
      </x:c>
      <x:c r="G6" s="34" t="n">
        <x:f>COUNTIFS('Architecture Test Cases'!$P$2:$P$18,"R05",'Architecture Test Cases'!$L$2:$L$18,"&lt;&gt;OUT_OF_SCOPE",'Architecture Test Cases'!$L$2:$L$18,"&lt;&gt;SUPERSEDED",'Architecture Test Cases'!$N$2:$N$18,"PASS")+COUNTIFS('Architecture Test Cases'!$P$2:$P$18,"R05; R07",'Architecture Test Cases'!$L$2:$L$18,"&lt;&gt;OUT_OF_SCOPE",'Architecture Test Cases'!$L$2:$L$18,"&lt;&gt;SUPERSEDED",'Architecture Test Cases'!$N$2:$N$18,"PASS")</x:f>
        <x:v>0</x:v>
      </x:c>
      <x:c r="H6" s="34" t="n">
        <x:f>COUNTIFS('Architecture Test Cases'!$P$2:$P$18,"R05",'Architecture Test Cases'!$L$2:$L$18,"&lt;&gt;OUT_OF_SCOPE",'Architecture Test Cases'!$L$2:$L$18,"&lt;&gt;SUPERSEDED",'Architecture Test Cases'!$N$2:$N$18,"FAIL")+COUNTIFS('Architecture Test Cases'!$P$2:$P$18,"R05; R07",'Architecture Test Cases'!$L$2:$L$18,"&lt;&gt;OUT_OF_SCOPE",'Architecture Test Cases'!$L$2:$L$18,"&lt;&gt;SUPERSEDED",'Architecture Test Cases'!$N$2:$N$18,"FAIL")</x:f>
        <x:v>0</x:v>
      </x:c>
      <x:c r="I6" s="34" t="n">
        <x:f>COUNTIFS('Architecture Test Cases'!$P$2:$P$18,"R05",'Architecture Test Cases'!$L$2:$L$18,"&lt;&gt;OUT_OF_SCOPE",'Architecture Test Cases'!$L$2:$L$18,"&lt;&gt;SUPERSEDED",'Architecture Test Cases'!$N$2:$N$18,"BLOCKED")+COUNTIFS('Architecture Test Cases'!$P$2:$P$18,"R05; R07",'Architecture Test Cases'!$L$2:$L$18,"&lt;&gt;OUT_OF_SCOPE",'Architecture Test Cases'!$L$2:$L$18,"&lt;&gt;SUPERSEDED",'Architecture Test Cases'!$N$2:$N$18,"BLOCKED")</x:f>
        <x:v>0</x:v>
      </x:c>
      <x:c r="J6" s="34" t="n">
        <x:f>COUNTIFS('Architecture Test Cases'!$P$2:$P$18,"R05",'Architecture Test Cases'!$L$2:$L$18,"&lt;&gt;OUT_OF_SCOPE",'Architecture Test Cases'!$L$2:$L$18,"&lt;&gt;SUPERSEDED",'Architecture Test Cases'!$N$2:$N$18,"NOT_RUN")+COUNTIFS('Architecture Test Cases'!$P$2:$P$18,"R05; R07",'Architecture Test Cases'!$L$2:$L$18,"&lt;&gt;OUT_OF_SCOPE",'Architecture Test Cases'!$L$2:$L$18,"&lt;&gt;SUPERSEDED",'Architecture Test Cases'!$N$2:$N$18,"NOT_RUN")</x:f>
        <x:v>2</x:v>
      </x:c>
      <x:c r="K6" s="14" t="str">
        <x:f>IF(D6=0,"CHƯA LIÊN KẾT",IF(H6&gt;0,"CÓ CA FAIL",IF(I6&gt;0,"CÓ CA BLOCKED",IF(F6&gt;0,"CẦN CHỐT THIẾT KẾ",IF(J6&gt;0,"CHƯA CHẠY ĐỦ","CA LIÊN KẾT ĐÃ PASS")))))</x:f>
        <x:v>CHƯA CHẠY ĐỦ</x:v>
      </x:c>
      <x:c r="L6" s="14" t="str">
        <x:v>Compose config, build/start, health và dữ liệu sau restart.</x:v>
      </x:c>
      <x:c r="M6" s="33"/>
      <x:c r="N6" s="33" t="str">
        <x:v>CHƯA CHẤM</x:v>
      </x:c>
    </x:row>
    <x:row r="7" ht="115" customHeight="1">
      <x:c r="A7" s="14" t="str">
        <x:v>R06</x:v>
      </x:c>
      <x:c r="B7" s="14" t="str">
        <x:v>/health, /ready, /health/services</x:v>
      </x:c>
      <x:c r="C7" s="14" t="str">
        <x:v>TC-ARCH-007
TC-ARCH-008
TC-ARCH-009
TC-ARCH-017</x:v>
      </x:c>
      <x:c r="D7" s="34" t="n">
        <x:f>COUNTIFS('Architecture Test Cases'!$P$2:$P$18,"R06",'Architecture Test Cases'!$L$2:$L$18,"&lt;&gt;OUT_OF_SCOPE",'Architecture Test Cases'!$L$2:$L$18,"&lt;&gt;SUPERSEDED")</x:f>
        <x:v>4</x:v>
      </x:c>
      <x:c r="E7" s="34" t="n">
        <x:f>COUNTIFS('Architecture Test Cases'!$P$2:$P$18,"R06",'Architecture Test Cases'!$L$2:$L$18,"&lt;&gt;OUT_OF_SCOPE",'Architecture Test Cases'!$L$2:$L$18,"&lt;&gt;SUPERSEDED",'Architecture Test Cases'!$L$2:$L$18,"DEFINED")</x:f>
        <x:v>4</x:v>
      </x:c>
      <x:c r="F7" s="34" t="n">
        <x:f>COUNTIFS('Architecture Test Cases'!$P$2:$P$18,"R06",'Architecture Test Cases'!$L$2:$L$18,"&lt;&gt;OUT_OF_SCOPE",'Architecture Test Cases'!$L$2:$L$18,"&lt;&gt;SUPERSEDED",'Architecture Test Cases'!$L$2:$L$18,"NEEDS_DECISION")</x:f>
        <x:v>0</x:v>
      </x:c>
      <x:c r="G7" s="34" t="n">
        <x:f>COUNTIFS('Architecture Test Cases'!$P$2:$P$18,"R06",'Architecture Test Cases'!$L$2:$L$18,"&lt;&gt;OUT_OF_SCOPE",'Architecture Test Cases'!$L$2:$L$18,"&lt;&gt;SUPERSEDED",'Architecture Test Cases'!$N$2:$N$18,"PASS")</x:f>
        <x:v>0</x:v>
      </x:c>
      <x:c r="H7" s="34" t="n">
        <x:f>COUNTIFS('Architecture Test Cases'!$P$2:$P$18,"R06",'Architecture Test Cases'!$L$2:$L$18,"&lt;&gt;OUT_OF_SCOPE",'Architecture Test Cases'!$L$2:$L$18,"&lt;&gt;SUPERSEDED",'Architecture Test Cases'!$N$2:$N$18,"FAIL")</x:f>
        <x:v>0</x:v>
      </x:c>
      <x:c r="I7" s="34" t="n">
        <x:f>COUNTIFS('Architecture Test Cases'!$P$2:$P$18,"R06",'Architecture Test Cases'!$L$2:$L$18,"&lt;&gt;OUT_OF_SCOPE",'Architecture Test Cases'!$L$2:$L$18,"&lt;&gt;SUPERSEDED",'Architecture Test Cases'!$N$2:$N$18,"BLOCKED")</x:f>
        <x:v>0</x:v>
      </x:c>
      <x:c r="J7" s="34" t="n">
        <x:f>COUNTIFS('Architecture Test Cases'!$P$2:$P$18,"R06",'Architecture Test Cases'!$L$2:$L$18,"&lt;&gt;OUT_OF_SCOPE",'Architecture Test Cases'!$L$2:$L$18,"&lt;&gt;SUPERSEDED",'Architecture Test Cases'!$N$2:$N$18,"NOT_RUN")</x:f>
        <x:v>4</x:v>
      </x:c>
      <x:c r="K7" s="14" t="str">
        <x:f>IF(D7=0,"CHƯA LIÊN KẾT",IF(H7&gt;0,"CÓ CA FAIL",IF(I7&gt;0,"CÓ CA BLOCKED",IF(F7&gt;0,"CẦN CHỐT THIẾT KẾ",IF(J7&gt;0,"CHƯA CHẠY ĐỦ","CA LIÊN KẾT ĐÃ PASS")))))</x:f>
        <x:v>CHƯA CHẠY ĐỦ</x:v>
      </x:c>
      <x:c r="L7" s="14" t="str">
        <x:v>Response khi khỏe/lỗi và kiểm tra quyền endpoint chi tiết.</x:v>
      </x:c>
      <x:c r="M7" s="33"/>
      <x:c r="N7" s="33" t="str">
        <x:v>CHƯA CHẤM</x:v>
      </x:c>
    </x:row>
    <x:row r="8" ht="115" customHeight="1">
      <x:c r="A8" s="14" t="str">
        <x:v>R07</x:v>
      </x:c>
      <x:c r="B8" s="14" t="str">
        <x:v>Kafka hoặc RabbitMQ</x:v>
      </x:c>
      <x:c r="C8" s="14" t="str">
        <x:v>TC-DREG-017
TC-DREG-019
TC-ARCH-006
TC-ARCH-010
TC-ARCH-011
TC-ARCH-012</x:v>
      </x:c>
      <x:c r="D8" s="34" t="n">
        <x:f>COUNTIFS('TripStatus Test Cases'!$P$2:$P$31,"R18; R07",'TripStatus Test Cases'!$L$2:$L$31,"&lt;&gt;OUT_OF_SCOPE",'TripStatus Test Cases'!$L$2:$L$31,"&lt;&gt;SUPERSEDED")+COUNTIFS('Notification Test Cases'!$P$2:$P$35,"R07; R15",'Notification Test Cases'!$L$2:$L$35,"&lt;&gt;OUT_OF_SCOPE",'Notification Test Cases'!$L$2:$L$35,"&lt;&gt;SUPERSEDED")+COUNTIFS('Notification Test Cases'!$P$2:$P$35,"R07; R16",'Notification Test Cases'!$L$2:$L$35,"&lt;&gt;OUT_OF_SCOPE",'Notification Test Cases'!$L$2:$L$35,"&lt;&gt;SUPERSEDED")+COUNTIFS('Notification Test Cases'!$P$2:$P$35,"R07; R17",'Notification Test Cases'!$L$2:$L$35,"&lt;&gt;OUT_OF_SCOPE",'Notification Test Cases'!$L$2:$L$35,"&lt;&gt;SUPERSEDED")+COUNTIFS('Notification Test Cases'!$P$2:$P$35,"R07",'Notification Test Cases'!$L$2:$L$35,"&lt;&gt;OUT_OF_SCOPE",'Notification Test Cases'!$L$2:$L$35,"&lt;&gt;SUPERSEDED")+COUNTIFS('Notification Test Cases'!$P$2:$P$35,"R07; R18",'Notification Test Cases'!$L$2:$L$35,"&lt;&gt;OUT_OF_SCOPE",'Notification Test Cases'!$L$2:$L$35,"&lt;&gt;SUPERSEDED")+COUNTIFS('Notification Test Cases'!$P$2:$P$35,"R07; R19; R30",'Notification Test Cases'!$L$2:$L$35,"&lt;&gt;OUT_OF_SCOPE",'Notification Test Cases'!$L$2:$L$35,"&lt;&gt;SUPERSEDED")+COUNTIFS('Driver Registration Test Cases'!$P$2:$P$31,"R22; R07",'Driver Registration Test Cases'!$L$2:$L$31,"&lt;&gt;OUT_OF_SCOPE",'Driver Registration Test Cases'!$L$2:$L$31,"&lt;&gt;SUPERSEDED")+COUNTIFS('Architecture Test Cases'!$P$2:$P$18,"R05; R07",'Architecture Test Cases'!$L$2:$L$18,"&lt;&gt;OUT_OF_SCOPE",'Architecture Test Cases'!$L$2:$L$18,"&lt;&gt;SUPERSEDED")+COUNTIFS('Architecture Test Cases'!$P$2:$P$18,"R07",'Architecture Test Cases'!$L$2:$L$18,"&lt;&gt;OUT_OF_SCOPE",'Architecture Test Cases'!$L$2:$L$18,"&lt;&gt;SUPERSEDED")</x:f>
        <x:v>41</x:v>
      </x:c>
      <x:c r="E8" s="34" t="n">
        <x:f>COUNTIFS('TripStatus Test Cases'!$P$2:$P$31,"R18; R07",'TripStatus Test Cases'!$L$2:$L$31,"&lt;&gt;OUT_OF_SCOPE",'TripStatus Test Cases'!$L$2:$L$31,"&lt;&gt;SUPERSEDED",'TripStatus Test Cases'!$L$2:$L$31,"DEFINED")+COUNTIFS('Notification Test Cases'!$P$2:$P$35,"R07; R15",'Notification Test Cases'!$L$2:$L$35,"&lt;&gt;OUT_OF_SCOPE",'Notification Test Cases'!$L$2:$L$35,"&lt;&gt;SUPERSEDED",'Notification Test Cases'!$L$2:$L$35,"DEFINED")+COUNTIFS('Notification Test Cases'!$P$2:$P$35,"R07; R16",'Notification Test Cases'!$L$2:$L$35,"&lt;&gt;OUT_OF_SCOPE",'Notification Test Cases'!$L$2:$L$35,"&lt;&gt;SUPERSEDED",'Notification Test Cases'!$L$2:$L$35,"DEFINED")+COUNTIFS('Notification Test Cases'!$P$2:$P$35,"R07; R17",'Notification Test Cases'!$L$2:$L$35,"&lt;&gt;OUT_OF_SCOPE",'Notification Test Cases'!$L$2:$L$35,"&lt;&gt;SUPERSEDED",'Notification Test Cases'!$L$2:$L$35,"DEFINED")+COUNTIFS('Notification Test Cases'!$P$2:$P$35,"R07",'Notification Test Cases'!$L$2:$L$35,"&lt;&gt;OUT_OF_SCOPE",'Notification Test Cases'!$L$2:$L$35,"&lt;&gt;SUPERSEDED",'Notification Test Cases'!$L$2:$L$35,"DEFINED")+COUNTIFS('Notification Test Cases'!$P$2:$P$35,"R07; R18",'Notification Test Cases'!$L$2:$L$35,"&lt;&gt;OUT_OF_SCOPE",'Notification Test Cases'!$L$2:$L$35,"&lt;&gt;SUPERSEDED",'Notification Test Cases'!$L$2:$L$35,"DEFINED")+COUNTIFS('Notification Test Cases'!$P$2:$P$35,"R07; R19; R30",'Notification Test Cases'!$L$2:$L$35,"&lt;&gt;OUT_OF_SCOPE",'Notification Test Cases'!$L$2:$L$35,"&lt;&gt;SUPERSEDED",'Notification Test Cases'!$L$2:$L$35,"DEFINED")+COUNTIFS('Driver Registration Test Cases'!$P$2:$P$31,"R22; R07",'Driver Registration Test Cases'!$L$2:$L$31,"&lt;&gt;OUT_OF_SCOPE",'Driver Registration Test Cases'!$L$2:$L$31,"&lt;&gt;SUPERSEDED",'Driver Registration Test Cases'!$L$2:$L$31,"DEFINED")+COUNTIFS('Architecture Test Cases'!$P$2:$P$18,"R05; R07",'Architecture Test Cases'!$L$2:$L$18,"&lt;&gt;OUT_OF_SCOPE",'Architecture Test Cases'!$L$2:$L$18,"&lt;&gt;SUPERSEDED",'Architecture Test Cases'!$L$2:$L$18,"DEFINED")+COUNTIFS('Architecture Test Cases'!$P$2:$P$18,"R07",'Architecture Test Cases'!$L$2:$L$18,"&lt;&gt;OUT_OF_SCOPE",'Architecture Test Cases'!$L$2:$L$18,"&lt;&gt;SUPERSEDED",'Architecture Test Cases'!$L$2:$L$18,"DEFINED")</x:f>
        <x:v>41</x:v>
      </x:c>
      <x:c r="F8" s="34" t="n">
        <x:f>COUNTIFS('TripStatus Test Cases'!$P$2:$P$31,"R18; R07",'TripStatus Test Cases'!$L$2:$L$31,"&lt;&gt;OUT_OF_SCOPE",'TripStatus Test Cases'!$L$2:$L$31,"&lt;&gt;SUPERSEDED",'TripStatus Test Cases'!$L$2:$L$31,"NEEDS_DECISION")+COUNTIFS('Notification Test Cases'!$P$2:$P$35,"R07; R15",'Notification Test Cases'!$L$2:$L$35,"&lt;&gt;OUT_OF_SCOPE",'Notification Test Cases'!$L$2:$L$35,"&lt;&gt;SUPERSEDED",'Notification Test Cases'!$L$2:$L$35,"NEEDS_DECISION")+COUNTIFS('Notification Test Cases'!$P$2:$P$35,"R07; R16",'Notification Test Cases'!$L$2:$L$35,"&lt;&gt;OUT_OF_SCOPE",'Notification Test Cases'!$L$2:$L$35,"&lt;&gt;SUPERSEDED",'Notification Test Cases'!$L$2:$L$35,"NEEDS_DECISION")+COUNTIFS('Notification Test Cases'!$P$2:$P$35,"R07; R17",'Notification Test Cases'!$L$2:$L$35,"&lt;&gt;OUT_OF_SCOPE",'Notification Test Cases'!$L$2:$L$35,"&lt;&gt;SUPERSEDED",'Notification Test Cases'!$L$2:$L$35,"NEEDS_DECISION")+COUNTIFS('Notification Test Cases'!$P$2:$P$35,"R07",'Notification Test Cases'!$L$2:$L$35,"&lt;&gt;OUT_OF_SCOPE",'Notification Test Cases'!$L$2:$L$35,"&lt;&gt;SUPERSEDED",'Notification Test Cases'!$L$2:$L$35,"NEEDS_DECISION")+COUNTIFS('Notification Test Cases'!$P$2:$P$35,"R07; R18",'Notification Test Cases'!$L$2:$L$35,"&lt;&gt;OUT_OF_SCOPE",'Notification Test Cases'!$L$2:$L$35,"&lt;&gt;SUPERSEDED",'Notification Test Cases'!$L$2:$L$35,"NEEDS_DECISION")+COUNTIFS('Notification Test Cases'!$P$2:$P$35,"R07; R19; R30",'Notification Test Cases'!$L$2:$L$35,"&lt;&gt;OUT_OF_SCOPE",'Notification Test Cases'!$L$2:$L$35,"&lt;&gt;SUPERSEDED",'Notification Test Cases'!$L$2:$L$35,"NEEDS_DECISION")+COUNTIFS('Driver Registration Test Cases'!$P$2:$P$31,"R22; R07",'Driver Registration Test Cases'!$L$2:$L$31,"&lt;&gt;OUT_OF_SCOPE",'Driver Registration Test Cases'!$L$2:$L$31,"&lt;&gt;SUPERSEDED",'Driver Registration Test Cases'!$L$2:$L$31,"NEEDS_DECISION")+COUNTIFS('Architecture Test Cases'!$P$2:$P$18,"R05; R07",'Architecture Test Cases'!$L$2:$L$18,"&lt;&gt;OUT_OF_SCOPE",'Architecture Test Cases'!$L$2:$L$18,"&lt;&gt;SUPERSEDED",'Architecture Test Cases'!$L$2:$L$18,"NEEDS_DECISION")+COUNTIFS('Architecture Test Cases'!$P$2:$P$18,"R07",'Architecture Test Cases'!$L$2:$L$18,"&lt;&gt;OUT_OF_SCOPE",'Architecture Test Cases'!$L$2:$L$18,"&lt;&gt;SUPERSEDED",'Architecture Test Cases'!$L$2:$L$18,"NEEDS_DECISION")</x:f>
        <x:v>0</x:v>
      </x:c>
      <x:c r="G8" s="34" t="n">
        <x:f>COUNTIFS('TripStatus Test Cases'!$P$2:$P$31,"R18; R07",'TripStatus Test Cases'!$L$2:$L$31,"&lt;&gt;OUT_OF_SCOPE",'TripStatus Test Cases'!$L$2:$L$31,"&lt;&gt;SUPERSEDED",'TripStatus Test Cases'!$N$2:$N$31,"PASS")+COUNTIFS('Notification Test Cases'!$P$2:$P$35,"R07; R15",'Notification Test Cases'!$L$2:$L$35,"&lt;&gt;OUT_OF_SCOPE",'Notification Test Cases'!$L$2:$L$35,"&lt;&gt;SUPERSEDED",'Notification Test Cases'!$N$2:$N$35,"PASS")+COUNTIFS('Notification Test Cases'!$P$2:$P$35,"R07; R16",'Notification Test Cases'!$L$2:$L$35,"&lt;&gt;OUT_OF_SCOPE",'Notification Test Cases'!$L$2:$L$35,"&lt;&gt;SUPERSEDED",'Notification Test Cases'!$N$2:$N$35,"PASS")+COUNTIFS('Notification Test Cases'!$P$2:$P$35,"R07; R17",'Notification Test Cases'!$L$2:$L$35,"&lt;&gt;OUT_OF_SCOPE",'Notification Test Cases'!$L$2:$L$35,"&lt;&gt;SUPERSEDED",'Notification Test Cases'!$N$2:$N$35,"PASS")+COUNTIFS('Notification Test Cases'!$P$2:$P$35,"R07",'Notification Test Cases'!$L$2:$L$35,"&lt;&gt;OUT_OF_SCOPE",'Notification Test Cases'!$L$2:$L$35,"&lt;&gt;SUPERSEDED",'Notification Test Cases'!$N$2:$N$35,"PASS")+COUNTIFS('Notification Test Cases'!$P$2:$P$35,"R07; R18",'Notification Test Cases'!$L$2:$L$35,"&lt;&gt;OUT_OF_SCOPE",'Notification Test Cases'!$L$2:$L$35,"&lt;&gt;SUPERSEDED",'Notification Test Cases'!$N$2:$N$35,"PASS")+COUNTIFS('Notification Test Cases'!$P$2:$P$35,"R07; R19; R30",'Notification Test Cases'!$L$2:$L$35,"&lt;&gt;OUT_OF_SCOPE",'Notification Test Cases'!$L$2:$L$35,"&lt;&gt;SUPERSEDED",'Notification Test Cases'!$N$2:$N$35,"PASS")+COUNTIFS('Driver Registration Test Cases'!$P$2:$P$31,"R22; R07",'Driver Registration Test Cases'!$L$2:$L$31,"&lt;&gt;OUT_OF_SCOPE",'Driver Registration Test Cases'!$L$2:$L$31,"&lt;&gt;SUPERSEDED",'Driver Registration Test Cases'!$N$2:$N$31,"PASS")+COUNTIFS('Architecture Test Cases'!$P$2:$P$18,"R05; R07",'Architecture Test Cases'!$L$2:$L$18,"&lt;&gt;OUT_OF_SCOPE",'Architecture Test Cases'!$L$2:$L$18,"&lt;&gt;SUPERSEDED",'Architecture Test Cases'!$N$2:$N$18,"PASS")+COUNTIFS('Architecture Test Cases'!$P$2:$P$18,"R07",'Architecture Test Cases'!$L$2:$L$18,"&lt;&gt;OUT_OF_SCOPE",'Architecture Test Cases'!$L$2:$L$18,"&lt;&gt;SUPERSEDED",'Architecture Test Cases'!$N$2:$N$18,"PASS")</x:f>
        <x:v>0</x:v>
      </x:c>
      <x:c r="H8" s="34" t="n">
        <x:f>COUNTIFS('TripStatus Test Cases'!$P$2:$P$31,"R18; R07",'TripStatus Test Cases'!$L$2:$L$31,"&lt;&gt;OUT_OF_SCOPE",'TripStatus Test Cases'!$L$2:$L$31,"&lt;&gt;SUPERSEDED",'TripStatus Test Cases'!$N$2:$N$31,"FAIL")+COUNTIFS('Notification Test Cases'!$P$2:$P$35,"R07; R15",'Notification Test Cases'!$L$2:$L$35,"&lt;&gt;OUT_OF_SCOPE",'Notification Test Cases'!$L$2:$L$35,"&lt;&gt;SUPERSEDED",'Notification Test Cases'!$N$2:$N$35,"FAIL")+COUNTIFS('Notification Test Cases'!$P$2:$P$35,"R07; R16",'Notification Test Cases'!$L$2:$L$35,"&lt;&gt;OUT_OF_SCOPE",'Notification Test Cases'!$L$2:$L$35,"&lt;&gt;SUPERSEDED",'Notification Test Cases'!$N$2:$N$35,"FAIL")+COUNTIFS('Notification Test Cases'!$P$2:$P$35,"R07; R17",'Notification Test Cases'!$L$2:$L$35,"&lt;&gt;OUT_OF_SCOPE",'Notification Test Cases'!$L$2:$L$35,"&lt;&gt;SUPERSEDED",'Notification Test Cases'!$N$2:$N$35,"FAIL")+COUNTIFS('Notification Test Cases'!$P$2:$P$35,"R07",'Notification Test Cases'!$L$2:$L$35,"&lt;&gt;OUT_OF_SCOPE",'Notification Test Cases'!$L$2:$L$35,"&lt;&gt;SUPERSEDED",'Notification Test Cases'!$N$2:$N$35,"FAIL")+COUNTIFS('Notification Test Cases'!$P$2:$P$35,"R07; R18",'Notification Test Cases'!$L$2:$L$35,"&lt;&gt;OUT_OF_SCOPE",'Notification Test Cases'!$L$2:$L$35,"&lt;&gt;SUPERSEDED",'Notification Test Cases'!$N$2:$N$35,"FAIL")+COUNTIFS('Notification Test Cases'!$P$2:$P$35,"R07; R19; R30",'Notification Test Cases'!$L$2:$L$35,"&lt;&gt;OUT_OF_SCOPE",'Notification Test Cases'!$L$2:$L$35,"&lt;&gt;SUPERSEDED",'Notification Test Cases'!$N$2:$N$35,"FAIL")+COUNTIFS('Driver Registration Test Cases'!$P$2:$P$31,"R22; R07",'Driver Registration Test Cases'!$L$2:$L$31,"&lt;&gt;OUT_OF_SCOPE",'Driver Registration Test Cases'!$L$2:$L$31,"&lt;&gt;SUPERSEDED",'Driver Registration Test Cases'!$N$2:$N$31,"FAIL")+COUNTIFS('Architecture Test Cases'!$P$2:$P$18,"R05; R07",'Architecture Test Cases'!$L$2:$L$18,"&lt;&gt;OUT_OF_SCOPE",'Architecture Test Cases'!$L$2:$L$18,"&lt;&gt;SUPERSEDED",'Architecture Test Cases'!$N$2:$N$18,"FAIL")+COUNTIFS('Architecture Test Cases'!$P$2:$P$18,"R07",'Architecture Test Cases'!$L$2:$L$18,"&lt;&gt;OUT_OF_SCOPE",'Architecture Test Cases'!$L$2:$L$18,"&lt;&gt;SUPERSEDED",'Architecture Test Cases'!$N$2:$N$18,"FAIL")</x:f>
        <x:v>0</x:v>
      </x:c>
      <x:c r="I8" s="34" t="n">
        <x:f>COUNTIFS('TripStatus Test Cases'!$P$2:$P$31,"R18; R07",'TripStatus Test Cases'!$L$2:$L$31,"&lt;&gt;OUT_OF_SCOPE",'TripStatus Test Cases'!$L$2:$L$31,"&lt;&gt;SUPERSEDED",'TripStatus Test Cases'!$N$2:$N$31,"BLOCKED")+COUNTIFS('Notification Test Cases'!$P$2:$P$35,"R07; R15",'Notification Test Cases'!$L$2:$L$35,"&lt;&gt;OUT_OF_SCOPE",'Notification Test Cases'!$L$2:$L$35,"&lt;&gt;SUPERSEDED",'Notification Test Cases'!$N$2:$N$35,"BLOCKED")+COUNTIFS('Notification Test Cases'!$P$2:$P$35,"R07; R16",'Notification Test Cases'!$L$2:$L$35,"&lt;&gt;OUT_OF_SCOPE",'Notification Test Cases'!$L$2:$L$35,"&lt;&gt;SUPERSEDED",'Notification Test Cases'!$N$2:$N$35,"BLOCKED")+COUNTIFS('Notification Test Cases'!$P$2:$P$35,"R07; R17",'Notification Test Cases'!$L$2:$L$35,"&lt;&gt;OUT_OF_SCOPE",'Notification Test Cases'!$L$2:$L$35,"&lt;&gt;SUPERSEDED",'Notification Test Cases'!$N$2:$N$35,"BLOCKED")+COUNTIFS('Notification Test Cases'!$P$2:$P$35,"R07",'Notification Test Cases'!$L$2:$L$35,"&lt;&gt;OUT_OF_SCOPE",'Notification Test Cases'!$L$2:$L$35,"&lt;&gt;SUPERSEDED",'Notification Test Cases'!$N$2:$N$35,"BLOCKED")+COUNTIFS('Notification Test Cases'!$P$2:$P$35,"R07; R18",'Notification Test Cases'!$L$2:$L$35,"&lt;&gt;OUT_OF_SCOPE",'Notification Test Cases'!$L$2:$L$35,"&lt;&gt;SUPERSEDED",'Notification Test Cases'!$N$2:$N$35,"BLOCKED")+COUNTIFS('Notification Test Cases'!$P$2:$P$35,"R07; R19; R30",'Notification Test Cases'!$L$2:$L$35,"&lt;&gt;OUT_OF_SCOPE",'Notification Test Cases'!$L$2:$L$35,"&lt;&gt;SUPERSEDED",'Notification Test Cases'!$N$2:$N$35,"BLOCKED")+COUNTIFS('Driver Registration Test Cases'!$P$2:$P$31,"R22; R07",'Driver Registration Test Cases'!$L$2:$L$31,"&lt;&gt;OUT_OF_SCOPE",'Driver Registration Test Cases'!$L$2:$L$31,"&lt;&gt;SUPERSEDED",'Driver Registration Test Cases'!$N$2:$N$31,"BLOCKED")+COUNTIFS('Architecture Test Cases'!$P$2:$P$18,"R05; R07",'Architecture Test Cases'!$L$2:$L$18,"&lt;&gt;OUT_OF_SCOPE",'Architecture Test Cases'!$L$2:$L$18,"&lt;&gt;SUPERSEDED",'Architecture Test Cases'!$N$2:$N$18,"BLOCKED")+COUNTIFS('Architecture Test Cases'!$P$2:$P$18,"R07",'Architecture Test Cases'!$L$2:$L$18,"&lt;&gt;OUT_OF_SCOPE",'Architecture Test Cases'!$L$2:$L$18,"&lt;&gt;SUPERSEDED",'Architecture Test Cases'!$N$2:$N$18,"BLOCKED")</x:f>
        <x:v>0</x:v>
      </x:c>
      <x:c r="J8" s="34" t="n">
        <x:f>COUNTIFS('TripStatus Test Cases'!$P$2:$P$31,"R18; R07",'TripStatus Test Cases'!$L$2:$L$31,"&lt;&gt;OUT_OF_SCOPE",'TripStatus Test Cases'!$L$2:$L$31,"&lt;&gt;SUPERSEDED",'TripStatus Test Cases'!$N$2:$N$31,"NOT_RUN")+COUNTIFS('Notification Test Cases'!$P$2:$P$35,"R07; R15",'Notification Test Cases'!$L$2:$L$35,"&lt;&gt;OUT_OF_SCOPE",'Notification Test Cases'!$L$2:$L$35,"&lt;&gt;SUPERSEDED",'Notification Test Cases'!$N$2:$N$35,"NOT_RUN")+COUNTIFS('Notification Test Cases'!$P$2:$P$35,"R07; R16",'Notification Test Cases'!$L$2:$L$35,"&lt;&gt;OUT_OF_SCOPE",'Notification Test Cases'!$L$2:$L$35,"&lt;&gt;SUPERSEDED",'Notification Test Cases'!$N$2:$N$35,"NOT_RUN")+COUNTIFS('Notification Test Cases'!$P$2:$P$35,"R07; R17",'Notification Test Cases'!$L$2:$L$35,"&lt;&gt;OUT_OF_SCOPE",'Notification Test Cases'!$L$2:$L$35,"&lt;&gt;SUPERSEDED",'Notification Test Cases'!$N$2:$N$35,"NOT_RUN")+COUNTIFS('Notification Test Cases'!$P$2:$P$35,"R07",'Notification Test Cases'!$L$2:$L$35,"&lt;&gt;OUT_OF_SCOPE",'Notification Test Cases'!$L$2:$L$35,"&lt;&gt;SUPERSEDED",'Notification Test Cases'!$N$2:$N$35,"NOT_RUN")+COUNTIFS('Notification Test Cases'!$P$2:$P$35,"R07; R18",'Notification Test Cases'!$L$2:$L$35,"&lt;&gt;OUT_OF_SCOPE",'Notification Test Cases'!$L$2:$L$35,"&lt;&gt;SUPERSEDED",'Notification Test Cases'!$N$2:$N$35,"NOT_RUN")+COUNTIFS('Notification Test Cases'!$P$2:$P$35,"R07; R19; R30",'Notification Test Cases'!$L$2:$L$35,"&lt;&gt;OUT_OF_SCOPE",'Notification Test Cases'!$L$2:$L$35,"&lt;&gt;SUPERSEDED",'Notification Test Cases'!$N$2:$N$35,"NOT_RUN")+COUNTIFS('Driver Registration Test Cases'!$P$2:$P$31,"R22; R07",'Driver Registration Test Cases'!$L$2:$L$31,"&lt;&gt;OUT_OF_SCOPE",'Driver Registration Test Cases'!$L$2:$L$31,"&lt;&gt;SUPERSEDED",'Driver Registration Test Cases'!$N$2:$N$31,"NOT_RUN")+COUNTIFS('Architecture Test Cases'!$P$2:$P$18,"R05; R07",'Architecture Test Cases'!$L$2:$L$18,"&lt;&gt;OUT_OF_SCOPE",'Architecture Test Cases'!$L$2:$L$18,"&lt;&gt;SUPERSEDED",'Architecture Test Cases'!$N$2:$N$18,"NOT_RUN")+COUNTIFS('Architecture Test Cases'!$P$2:$P$18,"R07",'Architecture Test Cases'!$L$2:$L$18,"&lt;&gt;OUT_OF_SCOPE",'Architecture Test Cases'!$L$2:$L$18,"&lt;&gt;SUPERSEDED",'Architecture Test Cases'!$N$2:$N$18,"NOT_RUN")</x:f>
        <x:v>41</x:v>
      </x:c>
      <x:c r="K8" s="14" t="str">
        <x:f>IF(D8=0,"CHƯA LIÊN KẾT",IF(H8&gt;0,"CÓ CA FAIL",IF(I8&gt;0,"CÓ CA BLOCKED",IF(F8&gt;0,"CẦN CHỐT THIẾT KẾ",IF(J8&gt;0,"CHƯA CHẠY ĐỦ","CA LIÊN KẾT ĐÃ PASS")))))</x:f>
        <x:v>CHƯA CHẠY ĐỦ</x:v>
      </x:c>
      <x:c r="L8" s="14" t="str">
        <x:v>Dự án chọn RabbitMQ: event, outbox/inbox, ACK, retry và phục hồi.</x:v>
      </x:c>
      <x:c r="M8" s="33"/>
      <x:c r="N8" s="33" t="str">
        <x:v>CHƯA CHẤM</x:v>
      </x:c>
    </x:row>
    <x:row r="9" ht="115" customHeight="1">
      <x:c r="A9" s="14" t="str">
        <x:v>R08</x:v>
      </x:c>
      <x:c r="B9" s="14" t="str">
        <x:v>Request bên ngoài qua Gateway</x:v>
      </x:c>
      <x:c r="C9" s="14" t="str">
        <x:v>TC-ARCH-003
TC-ARCH-013
TC-ARCH-014
TC-ARCH-015
TC-DISPATCH-026</x:v>
      </x:c>
      <x:c r="D9" s="34" t="n">
        <x:f>COUNTIFS('Dispatch Test Cases'!$P$2:$P$34,"R08",'Dispatch Test Cases'!$L$2:$L$34,"&lt;&gt;OUT_OF_SCOPE",'Dispatch Test Cases'!$L$2:$L$34,"&lt;&gt;SUPERSEDED")+COUNTIFS('Architecture Test Cases'!$P$2:$P$18,"R03; R08",'Architecture Test Cases'!$L$2:$L$18,"&lt;&gt;OUT_OF_SCOPE",'Architecture Test Cases'!$L$2:$L$18,"&lt;&gt;SUPERSEDED")+COUNTIFS('Architecture Test Cases'!$P$2:$P$18,"R08",'Architecture Test Cases'!$L$2:$L$18,"&lt;&gt;OUT_OF_SCOPE",'Architecture Test Cases'!$L$2:$L$18,"&lt;&gt;SUPERSEDED")+COUNTIFS('Architecture Test Cases'!$P$2:$P$18,"R04; R08",'Architecture Test Cases'!$L$2:$L$18,"&lt;&gt;OUT_OF_SCOPE",'Architecture Test Cases'!$L$2:$L$18,"&lt;&gt;SUPERSEDED")</x:f>
        <x:v>5</x:v>
      </x:c>
      <x:c r="E9" s="34" t="n">
        <x:f>COUNTIFS('Dispatch Test Cases'!$P$2:$P$34,"R08",'Dispatch Test Cases'!$L$2:$L$34,"&lt;&gt;OUT_OF_SCOPE",'Dispatch Test Cases'!$L$2:$L$34,"&lt;&gt;SUPERSEDED",'Dispatch Test Cases'!$L$2:$L$34,"DEFINED")+COUNTIFS('Architecture Test Cases'!$P$2:$P$18,"R03; R08",'Architecture Test Cases'!$L$2:$L$18,"&lt;&gt;OUT_OF_SCOPE",'Architecture Test Cases'!$L$2:$L$18,"&lt;&gt;SUPERSEDED",'Architecture Test Cases'!$L$2:$L$18,"DEFINED")+COUNTIFS('Architecture Test Cases'!$P$2:$P$18,"R08",'Architecture Test Cases'!$L$2:$L$18,"&lt;&gt;OUT_OF_SCOPE",'Architecture Test Cases'!$L$2:$L$18,"&lt;&gt;SUPERSEDED",'Architecture Test Cases'!$L$2:$L$18,"DEFINED")+COUNTIFS('Architecture Test Cases'!$P$2:$P$18,"R04; R08",'Architecture Test Cases'!$L$2:$L$18,"&lt;&gt;OUT_OF_SCOPE",'Architecture Test Cases'!$L$2:$L$18,"&lt;&gt;SUPERSEDED",'Architecture Test Cases'!$L$2:$L$18,"DEFINED")</x:f>
        <x:v>5</x:v>
      </x:c>
      <x:c r="F9" s="34" t="n">
        <x:f>COUNTIFS('Dispatch Test Cases'!$P$2:$P$34,"R08",'Dispatch Test Cases'!$L$2:$L$34,"&lt;&gt;OUT_OF_SCOPE",'Dispatch Test Cases'!$L$2:$L$34,"&lt;&gt;SUPERSEDED",'Dispatch Test Cases'!$L$2:$L$34,"NEEDS_DECISION")+COUNTIFS('Architecture Test Cases'!$P$2:$P$18,"R03; R08",'Architecture Test Cases'!$L$2:$L$18,"&lt;&gt;OUT_OF_SCOPE",'Architecture Test Cases'!$L$2:$L$18,"&lt;&gt;SUPERSEDED",'Architecture Test Cases'!$L$2:$L$18,"NEEDS_DECISION")+COUNTIFS('Architecture Test Cases'!$P$2:$P$18,"R08",'Architecture Test Cases'!$L$2:$L$18,"&lt;&gt;OUT_OF_SCOPE",'Architecture Test Cases'!$L$2:$L$18,"&lt;&gt;SUPERSEDED",'Architecture Test Cases'!$L$2:$L$18,"NEEDS_DECISION")+COUNTIFS('Architecture Test Cases'!$P$2:$P$18,"R04; R08",'Architecture Test Cases'!$L$2:$L$18,"&lt;&gt;OUT_OF_SCOPE",'Architecture Test Cases'!$L$2:$L$18,"&lt;&gt;SUPERSEDED",'Architecture Test Cases'!$L$2:$L$18,"NEEDS_DECISION")</x:f>
        <x:v>0</x:v>
      </x:c>
      <x:c r="G9" s="34" t="n">
        <x:f>COUNTIFS('Dispatch Test Cases'!$P$2:$P$34,"R08",'Dispatch Test Cases'!$L$2:$L$34,"&lt;&gt;OUT_OF_SCOPE",'Dispatch Test Cases'!$L$2:$L$34,"&lt;&gt;SUPERSEDED",'Dispatch Test Cases'!$N$2:$N$34,"PASS")+COUNTIFS('Architecture Test Cases'!$P$2:$P$18,"R03; R08",'Architecture Test Cases'!$L$2:$L$18,"&lt;&gt;OUT_OF_SCOPE",'Architecture Test Cases'!$L$2:$L$18,"&lt;&gt;SUPERSEDED",'Architecture Test Cases'!$N$2:$N$18,"PASS")+COUNTIFS('Architecture Test Cases'!$P$2:$P$18,"R08",'Architecture Test Cases'!$L$2:$L$18,"&lt;&gt;OUT_OF_SCOPE",'Architecture Test Cases'!$L$2:$L$18,"&lt;&gt;SUPERSEDED",'Architecture Test Cases'!$N$2:$N$18,"PASS")+COUNTIFS('Architecture Test Cases'!$P$2:$P$18,"R04; R08",'Architecture Test Cases'!$L$2:$L$18,"&lt;&gt;OUT_OF_SCOPE",'Architecture Test Cases'!$L$2:$L$18,"&lt;&gt;SUPERSEDED",'Architecture Test Cases'!$N$2:$N$18,"PASS")</x:f>
        <x:v>0</x:v>
      </x:c>
      <x:c r="H9" s="34" t="n">
        <x:f>COUNTIFS('Dispatch Test Cases'!$P$2:$P$34,"R08",'Dispatch Test Cases'!$L$2:$L$34,"&lt;&gt;OUT_OF_SCOPE",'Dispatch Test Cases'!$L$2:$L$34,"&lt;&gt;SUPERSEDED",'Dispatch Test Cases'!$N$2:$N$34,"FAIL")+COUNTIFS('Architecture Test Cases'!$P$2:$P$18,"R03; R08",'Architecture Test Cases'!$L$2:$L$18,"&lt;&gt;OUT_OF_SCOPE",'Architecture Test Cases'!$L$2:$L$18,"&lt;&gt;SUPERSEDED",'Architecture Test Cases'!$N$2:$N$18,"FAIL")+COUNTIFS('Architecture Test Cases'!$P$2:$P$18,"R08",'Architecture Test Cases'!$L$2:$L$18,"&lt;&gt;OUT_OF_SCOPE",'Architecture Test Cases'!$L$2:$L$18,"&lt;&gt;SUPERSEDED",'Architecture Test Cases'!$N$2:$N$18,"FAIL")+COUNTIFS('Architecture Test Cases'!$P$2:$P$18,"R04; R08",'Architecture Test Cases'!$L$2:$L$18,"&lt;&gt;OUT_OF_SCOPE",'Architecture Test Cases'!$L$2:$L$18,"&lt;&gt;SUPERSEDED",'Architecture Test Cases'!$N$2:$N$18,"FAIL")</x:f>
        <x:v>0</x:v>
      </x:c>
      <x:c r="I9" s="34" t="n">
        <x:f>COUNTIFS('Dispatch Test Cases'!$P$2:$P$34,"R08",'Dispatch Test Cases'!$L$2:$L$34,"&lt;&gt;OUT_OF_SCOPE",'Dispatch Test Cases'!$L$2:$L$34,"&lt;&gt;SUPERSEDED",'Dispatch Test Cases'!$N$2:$N$34,"BLOCKED")+COUNTIFS('Architecture Test Cases'!$P$2:$P$18,"R03; R08",'Architecture Test Cases'!$L$2:$L$18,"&lt;&gt;OUT_OF_SCOPE",'Architecture Test Cases'!$L$2:$L$18,"&lt;&gt;SUPERSEDED",'Architecture Test Cases'!$N$2:$N$18,"BLOCKED")+COUNTIFS('Architecture Test Cases'!$P$2:$P$18,"R08",'Architecture Test Cases'!$L$2:$L$18,"&lt;&gt;OUT_OF_SCOPE",'Architecture Test Cases'!$L$2:$L$18,"&lt;&gt;SUPERSEDED",'Architecture Test Cases'!$N$2:$N$18,"BLOCKED")+COUNTIFS('Architecture Test Cases'!$P$2:$P$18,"R04; R08",'Architecture Test Cases'!$L$2:$L$18,"&lt;&gt;OUT_OF_SCOPE",'Architecture Test Cases'!$L$2:$L$18,"&lt;&gt;SUPERSEDED",'Architecture Test Cases'!$N$2:$N$18,"BLOCKED")</x:f>
        <x:v>0</x:v>
      </x:c>
      <x:c r="J9" s="34" t="n">
        <x:f>COUNTIFS('Dispatch Test Cases'!$P$2:$P$34,"R08",'Dispatch Test Cases'!$L$2:$L$34,"&lt;&gt;OUT_OF_SCOPE",'Dispatch Test Cases'!$L$2:$L$34,"&lt;&gt;SUPERSEDED",'Dispatch Test Cases'!$N$2:$N$34,"NOT_RUN")+COUNTIFS('Architecture Test Cases'!$P$2:$P$18,"R03; R08",'Architecture Test Cases'!$L$2:$L$18,"&lt;&gt;OUT_OF_SCOPE",'Architecture Test Cases'!$L$2:$L$18,"&lt;&gt;SUPERSEDED",'Architecture Test Cases'!$N$2:$N$18,"NOT_RUN")+COUNTIFS('Architecture Test Cases'!$P$2:$P$18,"R08",'Architecture Test Cases'!$L$2:$L$18,"&lt;&gt;OUT_OF_SCOPE",'Architecture Test Cases'!$L$2:$L$18,"&lt;&gt;SUPERSEDED",'Architecture Test Cases'!$N$2:$N$18,"NOT_RUN")+COUNTIFS('Architecture Test Cases'!$P$2:$P$18,"R04; R08",'Architecture Test Cases'!$L$2:$L$18,"&lt;&gt;OUT_OF_SCOPE",'Architecture Test Cases'!$L$2:$L$18,"&lt;&gt;SUPERSEDED",'Architecture Test Cases'!$N$2:$N$18,"NOT_RUN")</x:f>
        <x:v>5</x:v>
      </x:c>
      <x:c r="K9" s="14" t="str">
        <x:f>IF(D9=0,"CHƯA LIÊN KẾT",IF(H9&gt;0,"CÓ CA FAIL",IF(I9&gt;0,"CÓ CA BLOCKED",IF(F9&gt;0,"CẦN CHỐT THIẾT KẾ",IF(J9&gt;0,"CHƯA CHẠY ĐỦ","CA LIÊN KẾT ĐÃ PASS")))))</x:f>
        <x:v>CHƯA CHẠY ĐỦ</x:v>
      </x:c>
      <x:c r="L9" s="14" t="str">
        <x:v>Cổng public, mạng nội bộ và thử bypass/route nội bộ.</x:v>
      </x:c>
      <x:c r="M9" s="33"/>
      <x:c r="N9" s="33" t="str">
        <x:v>CHƯA CHẤM</x:v>
      </x:c>
    </x:row>
    <x:row r="10" ht="115" customHeight="1">
      <x:c r="A10" s="14" t="str">
        <x:v>R09</x:v>
      </x:c>
      <x:c r="B10" s="14" t="str">
        <x:v>Đăng ký Customer</x:v>
      </x:c>
      <x:c r="C10" s="14" t="str">
        <x:v>TC-REG-001
TC-REG-002
TC-REG-003
TC-REG-004
TC-REG-005
TC-REG-006</x:v>
      </x:c>
      <x:c r="D10" s="34" t="n">
        <x:f>COUNTIFS('Register Test Cases'!$P$2:$P$24,"R09",'Register Test Cases'!$L$2:$L$24,"&lt;&gt;OUT_OF_SCOPE",'Register Test Cases'!$L$2:$L$24,"&lt;&gt;SUPERSEDED")</x:f>
        <x:v>23</x:v>
      </x:c>
      <x:c r="E10" s="34" t="n">
        <x:f>COUNTIFS('Register Test Cases'!$P$2:$P$24,"R09",'Register Test Cases'!$L$2:$L$24,"&lt;&gt;OUT_OF_SCOPE",'Register Test Cases'!$L$2:$L$24,"&lt;&gt;SUPERSEDED",'Register Test Cases'!$L$2:$L$24,"DEFINED")</x:f>
        <x:v>23</x:v>
      </x:c>
      <x:c r="F10" s="34" t="n">
        <x:f>COUNTIFS('Register Test Cases'!$P$2:$P$24,"R09",'Register Test Cases'!$L$2:$L$24,"&lt;&gt;OUT_OF_SCOPE",'Register Test Cases'!$L$2:$L$24,"&lt;&gt;SUPERSEDED",'Register Test Cases'!$L$2:$L$24,"NEEDS_DECISION")</x:f>
        <x:v>0</x:v>
      </x:c>
      <x:c r="G10" s="34" t="n">
        <x:f>COUNTIFS('Register Test Cases'!$P$2:$P$24,"R09",'Register Test Cases'!$L$2:$L$24,"&lt;&gt;OUT_OF_SCOPE",'Register Test Cases'!$L$2:$L$24,"&lt;&gt;SUPERSEDED",'Register Test Cases'!$N$2:$N$24,"PASS")</x:f>
        <x:v>0</x:v>
      </x:c>
      <x:c r="H10" s="34" t="n">
        <x:f>COUNTIFS('Register Test Cases'!$P$2:$P$24,"R09",'Register Test Cases'!$L$2:$L$24,"&lt;&gt;OUT_OF_SCOPE",'Register Test Cases'!$L$2:$L$24,"&lt;&gt;SUPERSEDED",'Register Test Cases'!$N$2:$N$24,"FAIL")</x:f>
        <x:v>0</x:v>
      </x:c>
      <x:c r="I10" s="34" t="n">
        <x:f>COUNTIFS('Register Test Cases'!$P$2:$P$24,"R09",'Register Test Cases'!$L$2:$L$24,"&lt;&gt;OUT_OF_SCOPE",'Register Test Cases'!$L$2:$L$24,"&lt;&gt;SUPERSEDED",'Register Test Cases'!$N$2:$N$24,"BLOCKED")</x:f>
        <x:v>0</x:v>
      </x:c>
      <x:c r="J10" s="34" t="n">
        <x:f>COUNTIFS('Register Test Cases'!$P$2:$P$24,"R09",'Register Test Cases'!$L$2:$L$24,"&lt;&gt;OUT_OF_SCOPE",'Register Test Cases'!$L$2:$L$24,"&lt;&gt;SUPERSEDED",'Register Test Cases'!$N$2:$N$24,"NOT_RUN")</x:f>
        <x:v>23</x:v>
      </x:c>
      <x:c r="K10" s="14" t="str">
        <x:f>IF(D10=0,"CHƯA LIÊN KẾT",IF(H10&gt;0,"CÓ CA FAIL",IF(I10&gt;0,"CÓ CA BLOCKED",IF(F10&gt;0,"CẦN CHỐT THIẾT KẾ",IF(J10&gt;0,"CHƯA CHẠY ĐỦ","CA LIÊN KẾT ĐÃ PASS")))))</x:f>
        <x:v>CHƯA CHẠY ĐỦ</x:v>
      </x:c>
      <x:c r="L10" s="14" t="str">
        <x:v>Request/response và Account/Customer được tạo đúng.</x:v>
      </x:c>
      <x:c r="M10" s="33"/>
      <x:c r="N10" s="33" t="str">
        <x:v>CHƯA CHẤM</x:v>
      </x:c>
    </x:row>
    <x:row r="11" ht="115" customHeight="1">
      <x:c r="A11" s="14" t="str">
        <x:v>R10</x:v>
      </x:c>
      <x:c r="B11" s="14" t="str">
        <x:v>Đăng nhập và token</x:v>
      </x:c>
      <x:c r="C11" s="14" t="str">
        <x:v>TC-DREG-015
TC-AUTH-001
TC-AUTH-002
TC-AUTH-003
TC-AUTH-004
TC-AUTH-005</x:v>
      </x:c>
      <x:c r="D11" s="34" t="n">
        <x:f>COUNTIFS('Login Test Cases'!$P$2:$P$26,"R10",'Login Test Cases'!$L$2:$L$26,"&lt;&gt;OUT_OF_SCOPE",'Login Test Cases'!$L$2:$L$26,"&lt;&gt;SUPERSEDED")+COUNTIFS('Login Test Cases'!$P$2:$P$26,"R10; R29",'Login Test Cases'!$L$2:$L$26,"&lt;&gt;OUT_OF_SCOPE",'Login Test Cases'!$L$2:$L$26,"&lt;&gt;SUPERSEDED")+COUNTIFS('Driver Registration Test Cases'!$P$2:$P$31,"R10; R21",'Driver Registration Test Cases'!$L$2:$L$31,"&lt;&gt;OUT_OF_SCOPE",'Driver Registration Test Cases'!$L$2:$L$31,"&lt;&gt;SUPERSEDED")</x:f>
        <x:v>26</x:v>
      </x:c>
      <x:c r="E11" s="34" t="n">
        <x:f>COUNTIFS('Login Test Cases'!$P$2:$P$26,"R10",'Login Test Cases'!$L$2:$L$26,"&lt;&gt;OUT_OF_SCOPE",'Login Test Cases'!$L$2:$L$26,"&lt;&gt;SUPERSEDED",'Login Test Cases'!$L$2:$L$26,"DEFINED")+COUNTIFS('Login Test Cases'!$P$2:$P$26,"R10; R29",'Login Test Cases'!$L$2:$L$26,"&lt;&gt;OUT_OF_SCOPE",'Login Test Cases'!$L$2:$L$26,"&lt;&gt;SUPERSEDED",'Login Test Cases'!$L$2:$L$26,"DEFINED")+COUNTIFS('Driver Registration Test Cases'!$P$2:$P$31,"R10; R21",'Driver Registration Test Cases'!$L$2:$L$31,"&lt;&gt;OUT_OF_SCOPE",'Driver Registration Test Cases'!$L$2:$L$31,"&lt;&gt;SUPERSEDED",'Driver Registration Test Cases'!$L$2:$L$31,"DEFINED")</x:f>
        <x:v>26</x:v>
      </x:c>
      <x:c r="F11" s="34" t="n">
        <x:f>COUNTIFS('Login Test Cases'!$P$2:$P$26,"R10",'Login Test Cases'!$L$2:$L$26,"&lt;&gt;OUT_OF_SCOPE",'Login Test Cases'!$L$2:$L$26,"&lt;&gt;SUPERSEDED",'Login Test Cases'!$L$2:$L$26,"NEEDS_DECISION")+COUNTIFS('Login Test Cases'!$P$2:$P$26,"R10; R29",'Login Test Cases'!$L$2:$L$26,"&lt;&gt;OUT_OF_SCOPE",'Login Test Cases'!$L$2:$L$26,"&lt;&gt;SUPERSEDED",'Login Test Cases'!$L$2:$L$26,"NEEDS_DECISION")+COUNTIFS('Driver Registration Test Cases'!$P$2:$P$31,"R10; R21",'Driver Registration Test Cases'!$L$2:$L$31,"&lt;&gt;OUT_OF_SCOPE",'Driver Registration Test Cases'!$L$2:$L$31,"&lt;&gt;SUPERSEDED",'Driver Registration Test Cases'!$L$2:$L$31,"NEEDS_DECISION")</x:f>
        <x:v>0</x:v>
      </x:c>
      <x:c r="G11" s="34" t="n">
        <x:f>COUNTIFS('Login Test Cases'!$P$2:$P$26,"R10",'Login Test Cases'!$L$2:$L$26,"&lt;&gt;OUT_OF_SCOPE",'Login Test Cases'!$L$2:$L$26,"&lt;&gt;SUPERSEDED",'Login Test Cases'!$N$2:$N$26,"PASS")+COUNTIFS('Login Test Cases'!$P$2:$P$26,"R10; R29",'Login Test Cases'!$L$2:$L$26,"&lt;&gt;OUT_OF_SCOPE",'Login Test Cases'!$L$2:$L$26,"&lt;&gt;SUPERSEDED",'Login Test Cases'!$N$2:$N$26,"PASS")+COUNTIFS('Driver Registration Test Cases'!$P$2:$P$31,"R10; R21",'Driver Registration Test Cases'!$L$2:$L$31,"&lt;&gt;OUT_OF_SCOPE",'Driver Registration Test Cases'!$L$2:$L$31,"&lt;&gt;SUPERSEDED",'Driver Registration Test Cases'!$N$2:$N$31,"PASS")</x:f>
        <x:v>0</x:v>
      </x:c>
      <x:c r="H11" s="34" t="n">
        <x:f>COUNTIFS('Login Test Cases'!$P$2:$P$26,"R10",'Login Test Cases'!$L$2:$L$26,"&lt;&gt;OUT_OF_SCOPE",'Login Test Cases'!$L$2:$L$26,"&lt;&gt;SUPERSEDED",'Login Test Cases'!$N$2:$N$26,"FAIL")+COUNTIFS('Login Test Cases'!$P$2:$P$26,"R10; R29",'Login Test Cases'!$L$2:$L$26,"&lt;&gt;OUT_OF_SCOPE",'Login Test Cases'!$L$2:$L$26,"&lt;&gt;SUPERSEDED",'Login Test Cases'!$N$2:$N$26,"FAIL")+COUNTIFS('Driver Registration Test Cases'!$P$2:$P$31,"R10; R21",'Driver Registration Test Cases'!$L$2:$L$31,"&lt;&gt;OUT_OF_SCOPE",'Driver Registration Test Cases'!$L$2:$L$31,"&lt;&gt;SUPERSEDED",'Driver Registration Test Cases'!$N$2:$N$31,"FAIL")</x:f>
        <x:v>0</x:v>
      </x:c>
      <x:c r="I11" s="34" t="n">
        <x:f>COUNTIFS('Login Test Cases'!$P$2:$P$26,"R10",'Login Test Cases'!$L$2:$L$26,"&lt;&gt;OUT_OF_SCOPE",'Login Test Cases'!$L$2:$L$26,"&lt;&gt;SUPERSEDED",'Login Test Cases'!$N$2:$N$26,"BLOCKED")+COUNTIFS('Login Test Cases'!$P$2:$P$26,"R10; R29",'Login Test Cases'!$L$2:$L$26,"&lt;&gt;OUT_OF_SCOPE",'Login Test Cases'!$L$2:$L$26,"&lt;&gt;SUPERSEDED",'Login Test Cases'!$N$2:$N$26,"BLOCKED")+COUNTIFS('Driver Registration Test Cases'!$P$2:$P$31,"R10; R21",'Driver Registration Test Cases'!$L$2:$L$31,"&lt;&gt;OUT_OF_SCOPE",'Driver Registration Test Cases'!$L$2:$L$31,"&lt;&gt;SUPERSEDED",'Driver Registration Test Cases'!$N$2:$N$31,"BLOCKED")</x:f>
        <x:v>0</x:v>
      </x:c>
      <x:c r="J11" s="34" t="n">
        <x:f>COUNTIFS('Login Test Cases'!$P$2:$P$26,"R10",'Login Test Cases'!$L$2:$L$26,"&lt;&gt;OUT_OF_SCOPE",'Login Test Cases'!$L$2:$L$26,"&lt;&gt;SUPERSEDED",'Login Test Cases'!$N$2:$N$26,"NOT_RUN")+COUNTIFS('Login Test Cases'!$P$2:$P$26,"R10; R29",'Login Test Cases'!$L$2:$L$26,"&lt;&gt;OUT_OF_SCOPE",'Login Test Cases'!$L$2:$L$26,"&lt;&gt;SUPERSEDED",'Login Test Cases'!$N$2:$N$26,"NOT_RUN")+COUNTIFS('Driver Registration Test Cases'!$P$2:$P$31,"R10; R21",'Driver Registration Test Cases'!$L$2:$L$31,"&lt;&gt;OUT_OF_SCOPE",'Driver Registration Test Cases'!$L$2:$L$31,"&lt;&gt;SUPERSEDED",'Driver Registration Test Cases'!$N$2:$N$31,"NOT_RUN")</x:f>
        <x:v>26</x:v>
      </x:c>
      <x:c r="K11" s="14" t="str">
        <x:f>IF(D11=0,"CHƯA LIÊN KẾT",IF(H11&gt;0,"CÓ CA FAIL",IF(I11&gt;0,"CÓ CA BLOCKED",IF(F11&gt;0,"CẦN CHỐT THIẾT KẾ",IF(J11&gt;0,"CHƯA CHẠY ĐỦ","CA LIÊN KẾT ĐÃ PASS")))))</x:f>
        <x:v>CHƯA CHẠY ĐỦ</x:v>
      </x:c>
      <x:c r="L11" s="14" t="str">
        <x:v>Token/session hợp lệ; đăng nhập sai; hết hạn/thu hồi.</x:v>
      </x:c>
      <x:c r="M11" s="33"/>
      <x:c r="N11" s="33" t="str">
        <x:v>CHƯA CHẤM</x:v>
      </x:c>
    </x:row>
    <x:row r="12" ht="115" customHeight="1">
      <x:c r="A12" s="14" t="str">
        <x:v>R11</x:v>
      </x:c>
      <x:c r="B12" s="14" t="str">
        <x:v>Lấy Customer theo ID</x:v>
      </x:c>
      <x:c r="C12" s="14" t="str">
        <x:v>TC-PROFILE-025
TC-PROFILE-026</x:v>
      </x:c>
      <x:c r="D12" s="34" t="n">
        <x:f>COUNTIFS('Profile Test Cases'!$P$2:$P$29,"R11",'Profile Test Cases'!$L$2:$L$29,"&lt;&gt;OUT_OF_SCOPE",'Profile Test Cases'!$L$2:$L$29,"&lt;&gt;SUPERSEDED")</x:f>
        <x:v>2</x:v>
      </x:c>
      <x:c r="E12" s="34" t="n">
        <x:f>COUNTIFS('Profile Test Cases'!$P$2:$P$29,"R11",'Profile Test Cases'!$L$2:$L$29,"&lt;&gt;OUT_OF_SCOPE",'Profile Test Cases'!$L$2:$L$29,"&lt;&gt;SUPERSEDED",'Profile Test Cases'!$L$2:$L$29,"DEFINED")</x:f>
        <x:v>2</x:v>
      </x:c>
      <x:c r="F12" s="34" t="n">
        <x:f>COUNTIFS('Profile Test Cases'!$P$2:$P$29,"R11",'Profile Test Cases'!$L$2:$L$29,"&lt;&gt;OUT_OF_SCOPE",'Profile Test Cases'!$L$2:$L$29,"&lt;&gt;SUPERSEDED",'Profile Test Cases'!$L$2:$L$29,"NEEDS_DECISION")</x:f>
        <x:v>0</x:v>
      </x:c>
      <x:c r="G12" s="34" t="n">
        <x:f>COUNTIFS('Profile Test Cases'!$P$2:$P$29,"R11",'Profile Test Cases'!$L$2:$L$29,"&lt;&gt;OUT_OF_SCOPE",'Profile Test Cases'!$L$2:$L$29,"&lt;&gt;SUPERSEDED",'Profile Test Cases'!$N$2:$N$29,"PASS")</x:f>
        <x:v>0</x:v>
      </x:c>
      <x:c r="H12" s="34" t="n">
        <x:f>COUNTIFS('Profile Test Cases'!$P$2:$P$29,"R11",'Profile Test Cases'!$L$2:$L$29,"&lt;&gt;OUT_OF_SCOPE",'Profile Test Cases'!$L$2:$L$29,"&lt;&gt;SUPERSEDED",'Profile Test Cases'!$N$2:$N$29,"FAIL")</x:f>
        <x:v>0</x:v>
      </x:c>
      <x:c r="I12" s="34" t="n">
        <x:f>COUNTIFS('Profile Test Cases'!$P$2:$P$29,"R11",'Profile Test Cases'!$L$2:$L$29,"&lt;&gt;OUT_OF_SCOPE",'Profile Test Cases'!$L$2:$L$29,"&lt;&gt;SUPERSEDED",'Profile Test Cases'!$N$2:$N$29,"BLOCKED")</x:f>
        <x:v>0</x:v>
      </x:c>
      <x:c r="J12" s="34" t="n">
        <x:f>COUNTIFS('Profile Test Cases'!$P$2:$P$29,"R11",'Profile Test Cases'!$L$2:$L$29,"&lt;&gt;OUT_OF_SCOPE",'Profile Test Cases'!$L$2:$L$29,"&lt;&gt;SUPERSEDED",'Profile Test Cases'!$N$2:$N$29,"NOT_RUN")</x:f>
        <x:v>2</x:v>
      </x:c>
      <x:c r="K12" s="14" t="str">
        <x:f>IF(D12=0,"CHƯA LIÊN KẾT",IF(H12&gt;0,"CÓ CA FAIL",IF(I12&gt;0,"CÓ CA BLOCKED",IF(F12&gt;0,"CẦN CHỐT THIẾT KẾ",IF(J12&gt;0,"CHƯA CHẠY ĐỦ","CA LIÊN KẾT ĐÃ PASS")))))</x:f>
        <x:v>CHƯA CHẠY ĐỦ</x:v>
      </x:c>
      <x:c r="L12" s="14" t="str">
        <x:v>Đúng Customer và phân quyền giữa các tài khoản/vai trò.</x:v>
      </x:c>
      <x:c r="M12" s="33"/>
      <x:c r="N12" s="33" t="str">
        <x:v>CHƯA CHẤM</x:v>
      </x:c>
    </x:row>
    <x:row r="13" ht="115" customHeight="1">
      <x:c r="A13" s="14" t="str">
        <x:v>R12</x:v>
      </x:c>
      <x:c r="B13" s="14" t="str">
        <x:v>Lấy Driver theo ID</x:v>
      </x:c>
      <x:c r="C13" s="14" t="str">
        <x:v>TC-PROFILE-027
TC-PROFILE-028</x:v>
      </x:c>
      <x:c r="D13" s="34" t="n">
        <x:f>COUNTIFS('Profile Test Cases'!$P$2:$P$29,"R12",'Profile Test Cases'!$L$2:$L$29,"&lt;&gt;OUT_OF_SCOPE",'Profile Test Cases'!$L$2:$L$29,"&lt;&gt;SUPERSEDED")</x:f>
        <x:v>2</x:v>
      </x:c>
      <x:c r="E13" s="34" t="n">
        <x:f>COUNTIFS('Profile Test Cases'!$P$2:$P$29,"R12",'Profile Test Cases'!$L$2:$L$29,"&lt;&gt;OUT_OF_SCOPE",'Profile Test Cases'!$L$2:$L$29,"&lt;&gt;SUPERSEDED",'Profile Test Cases'!$L$2:$L$29,"DEFINED")</x:f>
        <x:v>2</x:v>
      </x:c>
      <x:c r="F13" s="34" t="n">
        <x:f>COUNTIFS('Profile Test Cases'!$P$2:$P$29,"R12",'Profile Test Cases'!$L$2:$L$29,"&lt;&gt;OUT_OF_SCOPE",'Profile Test Cases'!$L$2:$L$29,"&lt;&gt;SUPERSEDED",'Profile Test Cases'!$L$2:$L$29,"NEEDS_DECISION")</x:f>
        <x:v>0</x:v>
      </x:c>
      <x:c r="G13" s="34" t="n">
        <x:f>COUNTIFS('Profile Test Cases'!$P$2:$P$29,"R12",'Profile Test Cases'!$L$2:$L$29,"&lt;&gt;OUT_OF_SCOPE",'Profile Test Cases'!$L$2:$L$29,"&lt;&gt;SUPERSEDED",'Profile Test Cases'!$N$2:$N$29,"PASS")</x:f>
        <x:v>0</x:v>
      </x:c>
      <x:c r="H13" s="34" t="n">
        <x:f>COUNTIFS('Profile Test Cases'!$P$2:$P$29,"R12",'Profile Test Cases'!$L$2:$L$29,"&lt;&gt;OUT_OF_SCOPE",'Profile Test Cases'!$L$2:$L$29,"&lt;&gt;SUPERSEDED",'Profile Test Cases'!$N$2:$N$29,"FAIL")</x:f>
        <x:v>0</x:v>
      </x:c>
      <x:c r="I13" s="34" t="n">
        <x:f>COUNTIFS('Profile Test Cases'!$P$2:$P$29,"R12",'Profile Test Cases'!$L$2:$L$29,"&lt;&gt;OUT_OF_SCOPE",'Profile Test Cases'!$L$2:$L$29,"&lt;&gt;SUPERSEDED",'Profile Test Cases'!$N$2:$N$29,"BLOCKED")</x:f>
        <x:v>0</x:v>
      </x:c>
      <x:c r="J13" s="34" t="n">
        <x:f>COUNTIFS('Profile Test Cases'!$P$2:$P$29,"R12",'Profile Test Cases'!$L$2:$L$29,"&lt;&gt;OUT_OF_SCOPE",'Profile Test Cases'!$L$2:$L$29,"&lt;&gt;SUPERSEDED",'Profile Test Cases'!$N$2:$N$29,"NOT_RUN")</x:f>
        <x:v>2</x:v>
      </x:c>
      <x:c r="K13" s="14" t="str">
        <x:f>IF(D13=0,"CHƯA LIÊN KẾT",IF(H13&gt;0,"CÓ CA FAIL",IF(I13&gt;0,"CÓ CA BLOCKED",IF(F13&gt;0,"CẦN CHỐT THIẾT KẾ",IF(J13&gt;0,"CHƯA CHẠY ĐỦ","CA LIÊN KẾT ĐÃ PASS")))))</x:f>
        <x:v>CHƯA CHẠY ĐỦ</x:v>
      </x:c>
      <x:c r="L13" s="14" t="str">
        <x:v>Đúng Driver và giới hạn dữ liệu theo quan hệ được phép.</x:v>
      </x:c>
      <x:c r="M13" s="33"/>
      <x:c r="N13" s="33" t="str">
        <x:v>CHƯA CHẤM</x:v>
      </x:c>
    </x:row>
    <x:row r="14" ht="115" customHeight="1">
      <x:c r="A14" s="14" t="str">
        <x:v>R13</x:v>
      </x:c>
      <x:c r="B14" s="14" t="str">
        <x:v>Tài xế gần khách trong 1 km</x:v>
      </x:c>
      <x:c r="C14" s="14" t="str">
        <x:v>TC-DISPATCH-027
TC-DISPATCH-028
TC-DISPATCH-029
TC-DISPATCH-030
TC-DISPATCH-031</x:v>
      </x:c>
      <x:c r="D14" s="34" t="n">
        <x:f>COUNTIFS('Dispatch Test Cases'!$P$2:$P$34,"R13",'Dispatch Test Cases'!$L$2:$L$34,"&lt;&gt;OUT_OF_SCOPE",'Dispatch Test Cases'!$L$2:$L$34,"&lt;&gt;SUPERSEDED")</x:f>
        <x:v>5</x:v>
      </x:c>
      <x:c r="E14" s="34" t="n">
        <x:f>COUNTIFS('Dispatch Test Cases'!$P$2:$P$34,"R13",'Dispatch Test Cases'!$L$2:$L$34,"&lt;&gt;OUT_OF_SCOPE",'Dispatch Test Cases'!$L$2:$L$34,"&lt;&gt;SUPERSEDED",'Dispatch Test Cases'!$L$2:$L$34,"DEFINED")</x:f>
        <x:v>5</x:v>
      </x:c>
      <x:c r="F14" s="34" t="n">
        <x:f>COUNTIFS('Dispatch Test Cases'!$P$2:$P$34,"R13",'Dispatch Test Cases'!$L$2:$L$34,"&lt;&gt;OUT_OF_SCOPE",'Dispatch Test Cases'!$L$2:$L$34,"&lt;&gt;SUPERSEDED",'Dispatch Test Cases'!$L$2:$L$34,"NEEDS_DECISION")</x:f>
        <x:v>0</x:v>
      </x:c>
      <x:c r="G14" s="34" t="n">
        <x:f>COUNTIFS('Dispatch Test Cases'!$P$2:$P$34,"R13",'Dispatch Test Cases'!$L$2:$L$34,"&lt;&gt;OUT_OF_SCOPE",'Dispatch Test Cases'!$L$2:$L$34,"&lt;&gt;SUPERSEDED",'Dispatch Test Cases'!$N$2:$N$34,"PASS")</x:f>
        <x:v>0</x:v>
      </x:c>
      <x:c r="H14" s="34" t="n">
        <x:f>COUNTIFS('Dispatch Test Cases'!$P$2:$P$34,"R13",'Dispatch Test Cases'!$L$2:$L$34,"&lt;&gt;OUT_OF_SCOPE",'Dispatch Test Cases'!$L$2:$L$34,"&lt;&gt;SUPERSEDED",'Dispatch Test Cases'!$N$2:$N$34,"FAIL")</x:f>
        <x:v>0</x:v>
      </x:c>
      <x:c r="I14" s="34" t="n">
        <x:f>COUNTIFS('Dispatch Test Cases'!$P$2:$P$34,"R13",'Dispatch Test Cases'!$L$2:$L$34,"&lt;&gt;OUT_OF_SCOPE",'Dispatch Test Cases'!$L$2:$L$34,"&lt;&gt;SUPERSEDED",'Dispatch Test Cases'!$N$2:$N$34,"BLOCKED")</x:f>
        <x:v>0</x:v>
      </x:c>
      <x:c r="J14" s="34" t="n">
        <x:f>COUNTIFS('Dispatch Test Cases'!$P$2:$P$34,"R13",'Dispatch Test Cases'!$L$2:$L$34,"&lt;&gt;OUT_OF_SCOPE",'Dispatch Test Cases'!$L$2:$L$34,"&lt;&gt;SUPERSEDED",'Dispatch Test Cases'!$N$2:$N$34,"NOT_RUN")</x:f>
        <x:v>5</x:v>
      </x:c>
      <x:c r="K14" s="14" t="str">
        <x:f>IF(D14=0,"CHƯA LIÊN KẾT",IF(H14&gt;0,"CÓ CA FAIL",IF(I14&gt;0,"CÓ CA BLOCKED",IF(F14&gt;0,"CẦN CHỐT THIẾT KẾ",IF(J14&gt;0,"CHƯA CHẠY ĐỦ","CA LIÊN KẾT ĐÃ PASS")))))</x:f>
        <x:v>CHƯA CHẠY ĐỦ</x:v>
      </x:c>
      <x:c r="L14" s="14" t="str">
        <x:v>Ít nhất 5 fixture đủ điều kiện, nhiều loại xe; bán kính và phân trang.</x:v>
      </x:c>
      <x:c r="M14" s="33"/>
      <x:c r="N14" s="33" t="str">
        <x:v>CHƯA CHẤM</x:v>
      </x:c>
    </x:row>
    <x:row r="15" ht="115" customHeight="1">
      <x:c r="A15" s="14" t="str">
        <x:v>R14</x:v>
      </x:c>
      <x:c r="B15" s="14" t="str">
        <x:v>Danh sách Booking của khách</x:v>
      </x:c>
      <x:c r="C15" s="14" t="str">
        <x:v>TC-BOOKING-027
TC-BOOKING-028
TC-BOOKING-029</x:v>
      </x:c>
      <x:c r="D15" s="34" t="n">
        <x:f>COUNTIFS('Booking Test Cases'!$P$2:$P$31,"R14",'Booking Test Cases'!$L$2:$L$31,"&lt;&gt;OUT_OF_SCOPE",'Booking Test Cases'!$L$2:$L$31,"&lt;&gt;SUPERSEDED")</x:f>
        <x:v>3</x:v>
      </x:c>
      <x:c r="E15" s="34" t="n">
        <x:f>COUNTIFS('Booking Test Cases'!$P$2:$P$31,"R14",'Booking Test Cases'!$L$2:$L$31,"&lt;&gt;OUT_OF_SCOPE",'Booking Test Cases'!$L$2:$L$31,"&lt;&gt;SUPERSEDED",'Booking Test Cases'!$L$2:$L$31,"DEFINED")</x:f>
        <x:v>3</x:v>
      </x:c>
      <x:c r="F15" s="34" t="n">
        <x:f>COUNTIFS('Booking Test Cases'!$P$2:$P$31,"R14",'Booking Test Cases'!$L$2:$L$31,"&lt;&gt;OUT_OF_SCOPE",'Booking Test Cases'!$L$2:$L$31,"&lt;&gt;SUPERSEDED",'Booking Test Cases'!$L$2:$L$31,"NEEDS_DECISION")</x:f>
        <x:v>0</x:v>
      </x:c>
      <x:c r="G15" s="34" t="n">
        <x:f>COUNTIFS('Booking Test Cases'!$P$2:$P$31,"R14",'Booking Test Cases'!$L$2:$L$31,"&lt;&gt;OUT_OF_SCOPE",'Booking Test Cases'!$L$2:$L$31,"&lt;&gt;SUPERSEDED",'Booking Test Cases'!$N$2:$N$31,"PASS")</x:f>
        <x:v>0</x:v>
      </x:c>
      <x:c r="H15" s="34" t="n">
        <x:f>COUNTIFS('Booking Test Cases'!$P$2:$P$31,"R14",'Booking Test Cases'!$L$2:$L$31,"&lt;&gt;OUT_OF_SCOPE",'Booking Test Cases'!$L$2:$L$31,"&lt;&gt;SUPERSEDED",'Booking Test Cases'!$N$2:$N$31,"FAIL")</x:f>
        <x:v>0</x:v>
      </x:c>
      <x:c r="I15" s="34" t="n">
        <x:f>COUNTIFS('Booking Test Cases'!$P$2:$P$31,"R14",'Booking Test Cases'!$L$2:$L$31,"&lt;&gt;OUT_OF_SCOPE",'Booking Test Cases'!$L$2:$L$31,"&lt;&gt;SUPERSEDED",'Booking Test Cases'!$N$2:$N$31,"BLOCKED")</x:f>
        <x:v>0</x:v>
      </x:c>
      <x:c r="J15" s="34" t="n">
        <x:f>COUNTIFS('Booking Test Cases'!$P$2:$P$31,"R14",'Booking Test Cases'!$L$2:$L$31,"&lt;&gt;OUT_OF_SCOPE",'Booking Test Cases'!$L$2:$L$31,"&lt;&gt;SUPERSEDED",'Booking Test Cases'!$N$2:$N$31,"NOT_RUN")</x:f>
        <x:v>3</x:v>
      </x:c>
      <x:c r="K15" s="14" t="str">
        <x:f>IF(D15=0,"CHƯA LIÊN KẾT",IF(H15&gt;0,"CÓ CA FAIL",IF(I15&gt;0,"CÓ CA BLOCKED",IF(F15&gt;0,"CẦN CHỐT THIẾT KẾ",IF(J15&gt;0,"CHƯA CHẠY ĐỦ","CA LIÊN KẾT ĐÃ PASS")))))</x:f>
        <x:v>CHƯA CHẠY ĐỦ</x:v>
      </x:c>
      <x:c r="L15" s="14" t="str">
        <x:v>Ít nhất 5 Booking; phân trang/bộ lọc và cách ly tài khoản.</x:v>
      </x:c>
      <x:c r="M15" s="33"/>
      <x:c r="N15" s="33" t="str">
        <x:v>CHƯA CHẤM</x:v>
      </x:c>
    </x:row>
    <x:row r="16" ht="115" customHeight="1">
      <x:c r="A16" s="14" t="str">
        <x:v>R15</x:v>
      </x:c>
      <x:c r="B16" s="14" t="str">
        <x:v>Đặt xe và tìm tài xế</x:v>
      </x:c>
      <x:c r="C16" s="14" t="str">
        <x:v>TC-BOOKING-001
TC-BOOKING-002
TC-BOOKING-003
TC-BOOKING-004
TC-BOOKING-005
TC-BOOKING-006</x:v>
      </x:c>
      <x:c r="D16" s="34" t="n">
        <x:f>COUNTIFS('Booking Test Cases'!$P$2:$P$31,"R15",'Booking Test Cases'!$L$2:$L$31,"&lt;&gt;OUT_OF_SCOPE",'Booking Test Cases'!$L$2:$L$31,"&lt;&gt;SUPERSEDED")+COUNTIFS('Booking Test Cases'!$P$2:$P$31,"R15; R18",'Booking Test Cases'!$L$2:$L$31,"&lt;&gt;OUT_OF_SCOPE",'Booking Test Cases'!$L$2:$L$31,"&lt;&gt;SUPERSEDED")+COUNTIFS('Dispatch Test Cases'!$P$2:$P$34,"R15; R16",'Dispatch Test Cases'!$L$2:$L$34,"&lt;&gt;OUT_OF_SCOPE",'Dispatch Test Cases'!$L$2:$L$34,"&lt;&gt;SUPERSEDED")+COUNTIFS('Dispatch Test Cases'!$P$2:$P$34,"R15",'Dispatch Test Cases'!$L$2:$L$34,"&lt;&gt;OUT_OF_SCOPE",'Dispatch Test Cases'!$L$2:$L$34,"&lt;&gt;SUPERSEDED")+COUNTIFS('Notification Test Cases'!$P$2:$P$35,"R07; R15",'Notification Test Cases'!$L$2:$L$35,"&lt;&gt;OUT_OF_SCOPE",'Notification Test Cases'!$L$2:$L$35,"&lt;&gt;SUPERSEDED")</x:f>
        <x:v>56</x:v>
      </x:c>
      <x:c r="E16" s="34" t="n">
        <x:f>COUNTIFS('Booking Test Cases'!$P$2:$P$31,"R15",'Booking Test Cases'!$L$2:$L$31,"&lt;&gt;OUT_OF_SCOPE",'Booking Test Cases'!$L$2:$L$31,"&lt;&gt;SUPERSEDED",'Booking Test Cases'!$L$2:$L$31,"DEFINED")+COUNTIFS('Booking Test Cases'!$P$2:$P$31,"R15; R18",'Booking Test Cases'!$L$2:$L$31,"&lt;&gt;OUT_OF_SCOPE",'Booking Test Cases'!$L$2:$L$31,"&lt;&gt;SUPERSEDED",'Booking Test Cases'!$L$2:$L$31,"DEFINED")+COUNTIFS('Dispatch Test Cases'!$P$2:$P$34,"R15; R16",'Dispatch Test Cases'!$L$2:$L$34,"&lt;&gt;OUT_OF_SCOPE",'Dispatch Test Cases'!$L$2:$L$34,"&lt;&gt;SUPERSEDED",'Dispatch Test Cases'!$L$2:$L$34,"DEFINED")+COUNTIFS('Dispatch Test Cases'!$P$2:$P$34,"R15",'Dispatch Test Cases'!$L$2:$L$34,"&lt;&gt;OUT_OF_SCOPE",'Dispatch Test Cases'!$L$2:$L$34,"&lt;&gt;SUPERSEDED",'Dispatch Test Cases'!$L$2:$L$34,"DEFINED")+COUNTIFS('Notification Test Cases'!$P$2:$P$35,"R07; R15",'Notification Test Cases'!$L$2:$L$35,"&lt;&gt;OUT_OF_SCOPE",'Notification Test Cases'!$L$2:$L$35,"&lt;&gt;SUPERSEDED",'Notification Test Cases'!$L$2:$L$35,"DEFINED")</x:f>
        <x:v>56</x:v>
      </x:c>
      <x:c r="F16" s="34" t="n">
        <x:f>COUNTIFS('Booking Test Cases'!$P$2:$P$31,"R15",'Booking Test Cases'!$L$2:$L$31,"&lt;&gt;OUT_OF_SCOPE",'Booking Test Cases'!$L$2:$L$31,"&lt;&gt;SUPERSEDED",'Booking Test Cases'!$L$2:$L$31,"NEEDS_DECISION")+COUNTIFS('Booking Test Cases'!$P$2:$P$31,"R15; R18",'Booking Test Cases'!$L$2:$L$31,"&lt;&gt;OUT_OF_SCOPE",'Booking Test Cases'!$L$2:$L$31,"&lt;&gt;SUPERSEDED",'Booking Test Cases'!$L$2:$L$31,"NEEDS_DECISION")+COUNTIFS('Dispatch Test Cases'!$P$2:$P$34,"R15; R16",'Dispatch Test Cases'!$L$2:$L$34,"&lt;&gt;OUT_OF_SCOPE",'Dispatch Test Cases'!$L$2:$L$34,"&lt;&gt;SUPERSEDED",'Dispatch Test Cases'!$L$2:$L$34,"NEEDS_DECISION")+COUNTIFS('Dispatch Test Cases'!$P$2:$P$34,"R15",'Dispatch Test Cases'!$L$2:$L$34,"&lt;&gt;OUT_OF_SCOPE",'Dispatch Test Cases'!$L$2:$L$34,"&lt;&gt;SUPERSEDED",'Dispatch Test Cases'!$L$2:$L$34,"NEEDS_DECISION")+COUNTIFS('Notification Test Cases'!$P$2:$P$35,"R07; R15",'Notification Test Cases'!$L$2:$L$35,"&lt;&gt;OUT_OF_SCOPE",'Notification Test Cases'!$L$2:$L$35,"&lt;&gt;SUPERSEDED",'Notification Test Cases'!$L$2:$L$35,"NEEDS_DECISION")</x:f>
        <x:v>0</x:v>
      </x:c>
      <x:c r="G16" s="34" t="n">
        <x:f>COUNTIFS('Booking Test Cases'!$P$2:$P$31,"R15",'Booking Test Cases'!$L$2:$L$31,"&lt;&gt;OUT_OF_SCOPE",'Booking Test Cases'!$L$2:$L$31,"&lt;&gt;SUPERSEDED",'Booking Test Cases'!$N$2:$N$31,"PASS")+COUNTIFS('Booking Test Cases'!$P$2:$P$31,"R15; R18",'Booking Test Cases'!$L$2:$L$31,"&lt;&gt;OUT_OF_SCOPE",'Booking Test Cases'!$L$2:$L$31,"&lt;&gt;SUPERSEDED",'Booking Test Cases'!$N$2:$N$31,"PASS")+COUNTIFS('Dispatch Test Cases'!$P$2:$P$34,"R15; R16",'Dispatch Test Cases'!$L$2:$L$34,"&lt;&gt;OUT_OF_SCOPE",'Dispatch Test Cases'!$L$2:$L$34,"&lt;&gt;SUPERSEDED",'Dispatch Test Cases'!$N$2:$N$34,"PASS")+COUNTIFS('Dispatch Test Cases'!$P$2:$P$34,"R15",'Dispatch Test Cases'!$L$2:$L$34,"&lt;&gt;OUT_OF_SCOPE",'Dispatch Test Cases'!$L$2:$L$34,"&lt;&gt;SUPERSEDED",'Dispatch Test Cases'!$N$2:$N$34,"PASS")+COUNTIFS('Notification Test Cases'!$P$2:$P$35,"R07; R15",'Notification Test Cases'!$L$2:$L$35,"&lt;&gt;OUT_OF_SCOPE",'Notification Test Cases'!$L$2:$L$35,"&lt;&gt;SUPERSEDED",'Notification Test Cases'!$N$2:$N$35,"PASS")</x:f>
        <x:v>0</x:v>
      </x:c>
      <x:c r="H16" s="34" t="n">
        <x:f>COUNTIFS('Booking Test Cases'!$P$2:$P$31,"R15",'Booking Test Cases'!$L$2:$L$31,"&lt;&gt;OUT_OF_SCOPE",'Booking Test Cases'!$L$2:$L$31,"&lt;&gt;SUPERSEDED",'Booking Test Cases'!$N$2:$N$31,"FAIL")+COUNTIFS('Booking Test Cases'!$P$2:$P$31,"R15; R18",'Booking Test Cases'!$L$2:$L$31,"&lt;&gt;OUT_OF_SCOPE",'Booking Test Cases'!$L$2:$L$31,"&lt;&gt;SUPERSEDED",'Booking Test Cases'!$N$2:$N$31,"FAIL")+COUNTIFS('Dispatch Test Cases'!$P$2:$P$34,"R15; R16",'Dispatch Test Cases'!$L$2:$L$34,"&lt;&gt;OUT_OF_SCOPE",'Dispatch Test Cases'!$L$2:$L$34,"&lt;&gt;SUPERSEDED",'Dispatch Test Cases'!$N$2:$N$34,"FAIL")+COUNTIFS('Dispatch Test Cases'!$P$2:$P$34,"R15",'Dispatch Test Cases'!$L$2:$L$34,"&lt;&gt;OUT_OF_SCOPE",'Dispatch Test Cases'!$L$2:$L$34,"&lt;&gt;SUPERSEDED",'Dispatch Test Cases'!$N$2:$N$34,"FAIL")+COUNTIFS('Notification Test Cases'!$P$2:$P$35,"R07; R15",'Notification Test Cases'!$L$2:$L$35,"&lt;&gt;OUT_OF_SCOPE",'Notification Test Cases'!$L$2:$L$35,"&lt;&gt;SUPERSEDED",'Notification Test Cases'!$N$2:$N$35,"FAIL")</x:f>
        <x:v>0</x:v>
      </x:c>
      <x:c r="I16" s="34" t="n">
        <x:f>COUNTIFS('Booking Test Cases'!$P$2:$P$31,"R15",'Booking Test Cases'!$L$2:$L$31,"&lt;&gt;OUT_OF_SCOPE",'Booking Test Cases'!$L$2:$L$31,"&lt;&gt;SUPERSEDED",'Booking Test Cases'!$N$2:$N$31,"BLOCKED")+COUNTIFS('Booking Test Cases'!$P$2:$P$31,"R15; R18",'Booking Test Cases'!$L$2:$L$31,"&lt;&gt;OUT_OF_SCOPE",'Booking Test Cases'!$L$2:$L$31,"&lt;&gt;SUPERSEDED",'Booking Test Cases'!$N$2:$N$31,"BLOCKED")+COUNTIFS('Dispatch Test Cases'!$P$2:$P$34,"R15; R16",'Dispatch Test Cases'!$L$2:$L$34,"&lt;&gt;OUT_OF_SCOPE",'Dispatch Test Cases'!$L$2:$L$34,"&lt;&gt;SUPERSEDED",'Dispatch Test Cases'!$N$2:$N$34,"BLOCKED")+COUNTIFS('Dispatch Test Cases'!$P$2:$P$34,"R15",'Dispatch Test Cases'!$L$2:$L$34,"&lt;&gt;OUT_OF_SCOPE",'Dispatch Test Cases'!$L$2:$L$34,"&lt;&gt;SUPERSEDED",'Dispatch Test Cases'!$N$2:$N$34,"BLOCKED")+COUNTIFS('Notification Test Cases'!$P$2:$P$35,"R07; R15",'Notification Test Cases'!$L$2:$L$35,"&lt;&gt;OUT_OF_SCOPE",'Notification Test Cases'!$L$2:$L$35,"&lt;&gt;SUPERSEDED",'Notification Test Cases'!$N$2:$N$35,"BLOCKED")</x:f>
        <x:v>0</x:v>
      </x:c>
      <x:c r="J16" s="34" t="n">
        <x:f>COUNTIFS('Booking Test Cases'!$P$2:$P$31,"R15",'Booking Test Cases'!$L$2:$L$31,"&lt;&gt;OUT_OF_SCOPE",'Booking Test Cases'!$L$2:$L$31,"&lt;&gt;SUPERSEDED",'Booking Test Cases'!$N$2:$N$31,"NOT_RUN")+COUNTIFS('Booking Test Cases'!$P$2:$P$31,"R15; R18",'Booking Test Cases'!$L$2:$L$31,"&lt;&gt;OUT_OF_SCOPE",'Booking Test Cases'!$L$2:$L$31,"&lt;&gt;SUPERSEDED",'Booking Test Cases'!$N$2:$N$31,"NOT_RUN")+COUNTIFS('Dispatch Test Cases'!$P$2:$P$34,"R15; R16",'Dispatch Test Cases'!$L$2:$L$34,"&lt;&gt;OUT_OF_SCOPE",'Dispatch Test Cases'!$L$2:$L$34,"&lt;&gt;SUPERSEDED",'Dispatch Test Cases'!$N$2:$N$34,"NOT_RUN")+COUNTIFS('Dispatch Test Cases'!$P$2:$P$34,"R15",'Dispatch Test Cases'!$L$2:$L$34,"&lt;&gt;OUT_OF_SCOPE",'Dispatch Test Cases'!$L$2:$L$34,"&lt;&gt;SUPERSEDED",'Dispatch Test Cases'!$N$2:$N$34,"NOT_RUN")+COUNTIFS('Notification Test Cases'!$P$2:$P$35,"R07; R15",'Notification Test Cases'!$L$2:$L$35,"&lt;&gt;OUT_OF_SCOPE",'Notification Test Cases'!$L$2:$L$35,"&lt;&gt;SUPERSEDED",'Notification Test Cases'!$N$2:$N$35,"NOT_RUN")</x:f>
        <x:v>56</x:v>
      </x:c>
      <x:c r="K16" s="14" t="str">
        <x:f>IF(D16=0,"CHƯA LIÊN KẾT",IF(H16&gt;0,"CÓ CA FAIL",IF(I16&gt;0,"CÓ CA BLOCKED",IF(F16&gt;0,"CẦN CHỐT THIẾT KẾ",IF(J16&gt;0,"CHƯA CHẠY ĐỦ","CA LIÊN KẾT ĐÃ PASS")))))</x:f>
        <x:v>CHƯA CHẠY ĐỦ</x:v>
      </x:c>
      <x:c r="L16" s="14" t="str">
        <x:v>Booking → FINDING_DRIVER → đề nghị có thời hạn.</x:v>
      </x:c>
      <x:c r="M16" s="33"/>
      <x:c r="N16" s="33" t="str">
        <x:v>CHƯA CHẤM</x:v>
      </x:c>
    </x:row>
    <x:row r="17" ht="115" customHeight="1">
      <x:c r="A17" s="14" t="str">
        <x:v>R16</x:v>
      </x:c>
      <x:c r="B17" s="14" t="str">
        <x:v>Tài xế nhận chuyến</x:v>
      </x:c>
      <x:c r="C17" s="14" t="str">
        <x:v>TC-DREG-028
TC-DISPATCH-001
TC-DISPATCH-002
TC-DISPATCH-003
TC-DISPATCH-004
TC-DISPATCH-005</x:v>
      </x:c>
      <x:c r="D17" s="34" t="n">
        <x:f>COUNTIFS('Dispatch Test Cases'!$P$2:$P$34,"R15; R16",'Dispatch Test Cases'!$L$2:$L$34,"&lt;&gt;OUT_OF_SCOPE",'Dispatch Test Cases'!$L$2:$L$34,"&lt;&gt;SUPERSEDED")+COUNTIFS('Dispatch Test Cases'!$P$2:$P$34,"R16",'Dispatch Test Cases'!$L$2:$L$34,"&lt;&gt;OUT_OF_SCOPE",'Dispatch Test Cases'!$L$2:$L$34,"&lt;&gt;SUPERSEDED")+COUNTIFS('Notification Test Cases'!$P$2:$P$35,"R07; R16",'Notification Test Cases'!$L$2:$L$35,"&lt;&gt;OUT_OF_SCOPE",'Notification Test Cases'!$L$2:$L$35,"&lt;&gt;SUPERSEDED")+COUNTIFS('Driver Registration Test Cases'!$P$2:$P$31,"R16; R23",'Driver Registration Test Cases'!$L$2:$L$31,"&lt;&gt;OUT_OF_SCOPE",'Driver Registration Test Cases'!$L$2:$L$31,"&lt;&gt;SUPERSEDED")</x:f>
        <x:v>28</x:v>
      </x:c>
      <x:c r="E17" s="34" t="n">
        <x:f>COUNTIFS('Dispatch Test Cases'!$P$2:$P$34,"R15; R16",'Dispatch Test Cases'!$L$2:$L$34,"&lt;&gt;OUT_OF_SCOPE",'Dispatch Test Cases'!$L$2:$L$34,"&lt;&gt;SUPERSEDED",'Dispatch Test Cases'!$L$2:$L$34,"DEFINED")+COUNTIFS('Dispatch Test Cases'!$P$2:$P$34,"R16",'Dispatch Test Cases'!$L$2:$L$34,"&lt;&gt;OUT_OF_SCOPE",'Dispatch Test Cases'!$L$2:$L$34,"&lt;&gt;SUPERSEDED",'Dispatch Test Cases'!$L$2:$L$34,"DEFINED")+COUNTIFS('Notification Test Cases'!$P$2:$P$35,"R07; R16",'Notification Test Cases'!$L$2:$L$35,"&lt;&gt;OUT_OF_SCOPE",'Notification Test Cases'!$L$2:$L$35,"&lt;&gt;SUPERSEDED",'Notification Test Cases'!$L$2:$L$35,"DEFINED")+COUNTIFS('Driver Registration Test Cases'!$P$2:$P$31,"R16; R23",'Driver Registration Test Cases'!$L$2:$L$31,"&lt;&gt;OUT_OF_SCOPE",'Driver Registration Test Cases'!$L$2:$L$31,"&lt;&gt;SUPERSEDED",'Driver Registration Test Cases'!$L$2:$L$31,"DEFINED")</x:f>
        <x:v>28</x:v>
      </x:c>
      <x:c r="F17" s="34" t="n">
        <x:f>COUNTIFS('Dispatch Test Cases'!$P$2:$P$34,"R15; R16",'Dispatch Test Cases'!$L$2:$L$34,"&lt;&gt;OUT_OF_SCOPE",'Dispatch Test Cases'!$L$2:$L$34,"&lt;&gt;SUPERSEDED",'Dispatch Test Cases'!$L$2:$L$34,"NEEDS_DECISION")+COUNTIFS('Dispatch Test Cases'!$P$2:$P$34,"R16",'Dispatch Test Cases'!$L$2:$L$34,"&lt;&gt;OUT_OF_SCOPE",'Dispatch Test Cases'!$L$2:$L$34,"&lt;&gt;SUPERSEDED",'Dispatch Test Cases'!$L$2:$L$34,"NEEDS_DECISION")+COUNTIFS('Notification Test Cases'!$P$2:$P$35,"R07; R16",'Notification Test Cases'!$L$2:$L$35,"&lt;&gt;OUT_OF_SCOPE",'Notification Test Cases'!$L$2:$L$35,"&lt;&gt;SUPERSEDED",'Notification Test Cases'!$L$2:$L$35,"NEEDS_DECISION")+COUNTIFS('Driver Registration Test Cases'!$P$2:$P$31,"R16; R23",'Driver Registration Test Cases'!$L$2:$L$31,"&lt;&gt;OUT_OF_SCOPE",'Driver Registration Test Cases'!$L$2:$L$31,"&lt;&gt;SUPERSEDED",'Driver Registration Test Cases'!$L$2:$L$31,"NEEDS_DECISION")</x:f>
        <x:v>0</x:v>
      </x:c>
      <x:c r="G17" s="34" t="n">
        <x:f>COUNTIFS('Dispatch Test Cases'!$P$2:$P$34,"R15; R16",'Dispatch Test Cases'!$L$2:$L$34,"&lt;&gt;OUT_OF_SCOPE",'Dispatch Test Cases'!$L$2:$L$34,"&lt;&gt;SUPERSEDED",'Dispatch Test Cases'!$N$2:$N$34,"PASS")+COUNTIFS('Dispatch Test Cases'!$P$2:$P$34,"R16",'Dispatch Test Cases'!$L$2:$L$34,"&lt;&gt;OUT_OF_SCOPE",'Dispatch Test Cases'!$L$2:$L$34,"&lt;&gt;SUPERSEDED",'Dispatch Test Cases'!$N$2:$N$34,"PASS")+COUNTIFS('Notification Test Cases'!$P$2:$P$35,"R07; R16",'Notification Test Cases'!$L$2:$L$35,"&lt;&gt;OUT_OF_SCOPE",'Notification Test Cases'!$L$2:$L$35,"&lt;&gt;SUPERSEDED",'Notification Test Cases'!$N$2:$N$35,"PASS")+COUNTIFS('Driver Registration Test Cases'!$P$2:$P$31,"R16; R23",'Driver Registration Test Cases'!$L$2:$L$31,"&lt;&gt;OUT_OF_SCOPE",'Driver Registration Test Cases'!$L$2:$L$31,"&lt;&gt;SUPERSEDED",'Driver Registration Test Cases'!$N$2:$N$31,"PASS")</x:f>
        <x:v>0</x:v>
      </x:c>
      <x:c r="H17" s="34" t="n">
        <x:f>COUNTIFS('Dispatch Test Cases'!$P$2:$P$34,"R15; R16",'Dispatch Test Cases'!$L$2:$L$34,"&lt;&gt;OUT_OF_SCOPE",'Dispatch Test Cases'!$L$2:$L$34,"&lt;&gt;SUPERSEDED",'Dispatch Test Cases'!$N$2:$N$34,"FAIL")+COUNTIFS('Dispatch Test Cases'!$P$2:$P$34,"R16",'Dispatch Test Cases'!$L$2:$L$34,"&lt;&gt;OUT_OF_SCOPE",'Dispatch Test Cases'!$L$2:$L$34,"&lt;&gt;SUPERSEDED",'Dispatch Test Cases'!$N$2:$N$34,"FAIL")+COUNTIFS('Notification Test Cases'!$P$2:$P$35,"R07; R16",'Notification Test Cases'!$L$2:$L$35,"&lt;&gt;OUT_OF_SCOPE",'Notification Test Cases'!$L$2:$L$35,"&lt;&gt;SUPERSEDED",'Notification Test Cases'!$N$2:$N$35,"FAIL")+COUNTIFS('Driver Registration Test Cases'!$P$2:$P$31,"R16; R23",'Driver Registration Test Cases'!$L$2:$L$31,"&lt;&gt;OUT_OF_SCOPE",'Driver Registration Test Cases'!$L$2:$L$31,"&lt;&gt;SUPERSEDED",'Driver Registration Test Cases'!$N$2:$N$31,"FAIL")</x:f>
        <x:v>0</x:v>
      </x:c>
      <x:c r="I17" s="34" t="n">
        <x:f>COUNTIFS('Dispatch Test Cases'!$P$2:$P$34,"R15; R16",'Dispatch Test Cases'!$L$2:$L$34,"&lt;&gt;OUT_OF_SCOPE",'Dispatch Test Cases'!$L$2:$L$34,"&lt;&gt;SUPERSEDED",'Dispatch Test Cases'!$N$2:$N$34,"BLOCKED")+COUNTIFS('Dispatch Test Cases'!$P$2:$P$34,"R16",'Dispatch Test Cases'!$L$2:$L$34,"&lt;&gt;OUT_OF_SCOPE",'Dispatch Test Cases'!$L$2:$L$34,"&lt;&gt;SUPERSEDED",'Dispatch Test Cases'!$N$2:$N$34,"BLOCKED")+COUNTIFS('Notification Test Cases'!$P$2:$P$35,"R07; R16",'Notification Test Cases'!$L$2:$L$35,"&lt;&gt;OUT_OF_SCOPE",'Notification Test Cases'!$L$2:$L$35,"&lt;&gt;SUPERSEDED",'Notification Test Cases'!$N$2:$N$35,"BLOCKED")+COUNTIFS('Driver Registration Test Cases'!$P$2:$P$31,"R16; R23",'Driver Registration Test Cases'!$L$2:$L$31,"&lt;&gt;OUT_OF_SCOPE",'Driver Registration Test Cases'!$L$2:$L$31,"&lt;&gt;SUPERSEDED",'Driver Registration Test Cases'!$N$2:$N$31,"BLOCKED")</x:f>
        <x:v>0</x:v>
      </x:c>
      <x:c r="J17" s="34" t="n">
        <x:f>COUNTIFS('Dispatch Test Cases'!$P$2:$P$34,"R15; R16",'Dispatch Test Cases'!$L$2:$L$34,"&lt;&gt;OUT_OF_SCOPE",'Dispatch Test Cases'!$L$2:$L$34,"&lt;&gt;SUPERSEDED",'Dispatch Test Cases'!$N$2:$N$34,"NOT_RUN")+COUNTIFS('Dispatch Test Cases'!$P$2:$P$34,"R16",'Dispatch Test Cases'!$L$2:$L$34,"&lt;&gt;OUT_OF_SCOPE",'Dispatch Test Cases'!$L$2:$L$34,"&lt;&gt;SUPERSEDED",'Dispatch Test Cases'!$N$2:$N$34,"NOT_RUN")+COUNTIFS('Notification Test Cases'!$P$2:$P$35,"R07; R16",'Notification Test Cases'!$L$2:$L$35,"&lt;&gt;OUT_OF_SCOPE",'Notification Test Cases'!$L$2:$L$35,"&lt;&gt;SUPERSEDED",'Notification Test Cases'!$N$2:$N$35,"NOT_RUN")+COUNTIFS('Driver Registration Test Cases'!$P$2:$P$31,"R16; R23",'Driver Registration Test Cases'!$L$2:$L$31,"&lt;&gt;OUT_OF_SCOPE",'Driver Registration Test Cases'!$L$2:$L$31,"&lt;&gt;SUPERSEDED",'Driver Registration Test Cases'!$N$2:$N$31,"NOT_RUN")</x:f>
        <x:v>28</x:v>
      </x:c>
      <x:c r="K17" s="14" t="str">
        <x:f>IF(D17=0,"CHƯA LIÊN KẾT",IF(H17&gt;0,"CÓ CA FAIL",IF(I17&gt;0,"CÓ CA BLOCKED",IF(F17&gt;0,"CẦN CHỐT THIẾT KẾ",IF(J17&gt;0,"CHƯA CHẠY ĐỦ","CA LIÊN KẾT ĐÃ PASS")))))</x:f>
        <x:v>CHƯA CHẠY ĐỦ</x:v>
      </x:c>
      <x:c r="L17" s="14" t="str">
        <x:v>Accept nguyên tử; một Trip; Driver BUSY; chống tranh chấp.</x:v>
      </x:c>
      <x:c r="M17" s="33"/>
      <x:c r="N17" s="33" t="str">
        <x:v>CHƯA CHẤM</x:v>
      </x:c>
    </x:row>
    <x:row r="18" ht="115" customHeight="1">
      <x:c r="A18" s="14" t="str">
        <x:v>R17</x:v>
      </x:c>
      <x:c r="B18" s="14" t="str">
        <x:v>Thực hiện chuyến và GPS</x:v>
      </x:c>
      <x:c r="C18" s="14" t="str">
        <x:v>TC-TRIPSTATUS-001
TC-TRIPSTATUS-002
TC-TRIPSTATUS-003
TC-TRIPSTATUS-004
TC-TRIPSTATUS-005
TC-TRIPSTATUS-006</x:v>
      </x:c>
      <x:c r="D18" s="34" t="n">
        <x:f>COUNTIFS('TripStatus Test Cases'!$P$2:$P$31,"R17",'TripStatus Test Cases'!$L$2:$L$31,"&lt;&gt;OUT_OF_SCOPE",'TripStatus Test Cases'!$L$2:$L$31,"&lt;&gt;SUPERSEDED")+COUNTIFS('Tracking Test Cases'!$P$2:$P$29,"R17",'Tracking Test Cases'!$L$2:$L$29,"&lt;&gt;OUT_OF_SCOPE",'Tracking Test Cases'!$L$2:$L$29,"&lt;&gt;SUPERSEDED")+COUNTIFS('Notification Test Cases'!$P$2:$P$35,"R07; R17",'Notification Test Cases'!$L$2:$L$35,"&lt;&gt;OUT_OF_SCOPE",'Notification Test Cases'!$L$2:$L$35,"&lt;&gt;SUPERSEDED")</x:f>
        <x:v>57</x:v>
      </x:c>
      <x:c r="E18" s="34" t="n">
        <x:f>COUNTIFS('TripStatus Test Cases'!$P$2:$P$31,"R17",'TripStatus Test Cases'!$L$2:$L$31,"&lt;&gt;OUT_OF_SCOPE",'TripStatus Test Cases'!$L$2:$L$31,"&lt;&gt;SUPERSEDED",'TripStatus Test Cases'!$L$2:$L$31,"DEFINED")+COUNTIFS('Tracking Test Cases'!$P$2:$P$29,"R17",'Tracking Test Cases'!$L$2:$L$29,"&lt;&gt;OUT_OF_SCOPE",'Tracking Test Cases'!$L$2:$L$29,"&lt;&gt;SUPERSEDED",'Tracking Test Cases'!$L$2:$L$29,"DEFINED")+COUNTIFS('Notification Test Cases'!$P$2:$P$35,"R07; R17",'Notification Test Cases'!$L$2:$L$35,"&lt;&gt;OUT_OF_SCOPE",'Notification Test Cases'!$L$2:$L$35,"&lt;&gt;SUPERSEDED",'Notification Test Cases'!$L$2:$L$35,"DEFINED")</x:f>
        <x:v>57</x:v>
      </x:c>
      <x:c r="F18" s="34" t="n">
        <x:f>COUNTIFS('TripStatus Test Cases'!$P$2:$P$31,"R17",'TripStatus Test Cases'!$L$2:$L$31,"&lt;&gt;OUT_OF_SCOPE",'TripStatus Test Cases'!$L$2:$L$31,"&lt;&gt;SUPERSEDED",'TripStatus Test Cases'!$L$2:$L$31,"NEEDS_DECISION")+COUNTIFS('Tracking Test Cases'!$P$2:$P$29,"R17",'Tracking Test Cases'!$L$2:$L$29,"&lt;&gt;OUT_OF_SCOPE",'Tracking Test Cases'!$L$2:$L$29,"&lt;&gt;SUPERSEDED",'Tracking Test Cases'!$L$2:$L$29,"NEEDS_DECISION")+COUNTIFS('Notification Test Cases'!$P$2:$P$35,"R07; R17",'Notification Test Cases'!$L$2:$L$35,"&lt;&gt;OUT_OF_SCOPE",'Notification Test Cases'!$L$2:$L$35,"&lt;&gt;SUPERSEDED",'Notification Test Cases'!$L$2:$L$35,"NEEDS_DECISION")</x:f>
        <x:v>0</x:v>
      </x:c>
      <x:c r="G18" s="34" t="n">
        <x:f>COUNTIFS('TripStatus Test Cases'!$P$2:$P$31,"R17",'TripStatus Test Cases'!$L$2:$L$31,"&lt;&gt;OUT_OF_SCOPE",'TripStatus Test Cases'!$L$2:$L$31,"&lt;&gt;SUPERSEDED",'TripStatus Test Cases'!$N$2:$N$31,"PASS")+COUNTIFS('Tracking Test Cases'!$P$2:$P$29,"R17",'Tracking Test Cases'!$L$2:$L$29,"&lt;&gt;OUT_OF_SCOPE",'Tracking Test Cases'!$L$2:$L$29,"&lt;&gt;SUPERSEDED",'Tracking Test Cases'!$N$2:$N$29,"PASS")+COUNTIFS('Notification Test Cases'!$P$2:$P$35,"R07; R17",'Notification Test Cases'!$L$2:$L$35,"&lt;&gt;OUT_OF_SCOPE",'Notification Test Cases'!$L$2:$L$35,"&lt;&gt;SUPERSEDED",'Notification Test Cases'!$N$2:$N$35,"PASS")</x:f>
        <x:v>0</x:v>
      </x:c>
      <x:c r="H18" s="34" t="n">
        <x:f>COUNTIFS('TripStatus Test Cases'!$P$2:$P$31,"R17",'TripStatus Test Cases'!$L$2:$L$31,"&lt;&gt;OUT_OF_SCOPE",'TripStatus Test Cases'!$L$2:$L$31,"&lt;&gt;SUPERSEDED",'TripStatus Test Cases'!$N$2:$N$31,"FAIL")+COUNTIFS('Tracking Test Cases'!$P$2:$P$29,"R17",'Tracking Test Cases'!$L$2:$L$29,"&lt;&gt;OUT_OF_SCOPE",'Tracking Test Cases'!$L$2:$L$29,"&lt;&gt;SUPERSEDED",'Tracking Test Cases'!$N$2:$N$29,"FAIL")+COUNTIFS('Notification Test Cases'!$P$2:$P$35,"R07; R17",'Notification Test Cases'!$L$2:$L$35,"&lt;&gt;OUT_OF_SCOPE",'Notification Test Cases'!$L$2:$L$35,"&lt;&gt;SUPERSEDED",'Notification Test Cases'!$N$2:$N$35,"FAIL")</x:f>
        <x:v>0</x:v>
      </x:c>
      <x:c r="I18" s="34" t="n">
        <x:f>COUNTIFS('TripStatus Test Cases'!$P$2:$P$31,"R17",'TripStatus Test Cases'!$L$2:$L$31,"&lt;&gt;OUT_OF_SCOPE",'TripStatus Test Cases'!$L$2:$L$31,"&lt;&gt;SUPERSEDED",'TripStatus Test Cases'!$N$2:$N$31,"BLOCKED")+COUNTIFS('Tracking Test Cases'!$P$2:$P$29,"R17",'Tracking Test Cases'!$L$2:$L$29,"&lt;&gt;OUT_OF_SCOPE",'Tracking Test Cases'!$L$2:$L$29,"&lt;&gt;SUPERSEDED",'Tracking Test Cases'!$N$2:$N$29,"BLOCKED")+COUNTIFS('Notification Test Cases'!$P$2:$P$35,"R07; R17",'Notification Test Cases'!$L$2:$L$35,"&lt;&gt;OUT_OF_SCOPE",'Notification Test Cases'!$L$2:$L$35,"&lt;&gt;SUPERSEDED",'Notification Test Cases'!$N$2:$N$35,"BLOCKED")</x:f>
        <x:v>0</x:v>
      </x:c>
      <x:c r="J18" s="34" t="n">
        <x:f>COUNTIFS('TripStatus Test Cases'!$P$2:$P$31,"R17",'TripStatus Test Cases'!$L$2:$L$31,"&lt;&gt;OUT_OF_SCOPE",'TripStatus Test Cases'!$L$2:$L$31,"&lt;&gt;SUPERSEDED",'TripStatus Test Cases'!$N$2:$N$31,"NOT_RUN")+COUNTIFS('Tracking Test Cases'!$P$2:$P$29,"R17",'Tracking Test Cases'!$L$2:$L$29,"&lt;&gt;OUT_OF_SCOPE",'Tracking Test Cases'!$L$2:$L$29,"&lt;&gt;SUPERSEDED",'Tracking Test Cases'!$N$2:$N$29,"NOT_RUN")+COUNTIFS('Notification Test Cases'!$P$2:$P$35,"R07; R17",'Notification Test Cases'!$L$2:$L$35,"&lt;&gt;OUT_OF_SCOPE",'Notification Test Cases'!$L$2:$L$35,"&lt;&gt;SUPERSEDED",'Notification Test Cases'!$N$2:$N$35,"NOT_RUN")</x:f>
        <x:v>57</x:v>
      </x:c>
      <x:c r="K18" s="14" t="str">
        <x:f>IF(D18=0,"CHƯA LIÊN KẾT",IF(H18&gt;0,"CÓ CA FAIL",IF(I18&gt;0,"CÓ CA BLOCKED",IF(F18&gt;0,"CẦN CHỐT THIẾT KẾ",IF(J18&gt;0,"CHƯA CHẠY ĐỦ","CA LIÊN KẾT ĐÃ PASS")))))</x:f>
        <x:v>CHƯA CHẠY ĐỦ</x:v>
      </x:c>
      <x:c r="L18" s="14" t="str">
        <x:v>Chuỗi trạng thái hợp lệ, GPS/tracking và hoàn tất.</x:v>
      </x:c>
      <x:c r="M18" s="33"/>
      <x:c r="N18" s="33" t="str">
        <x:v>CHƯA CHẤM</x:v>
      </x:c>
    </x:row>
    <x:row r="19" ht="115" customHeight="1">
      <x:c r="A19" s="14" t="str">
        <x:v>R18</x:v>
      </x:c>
      <x:c r="B19" s="14" t="str">
        <x:v>Hủy chuyến có lý do và thông báo</x:v>
      </x:c>
      <x:c r="C19" s="14" t="str">
        <x:v>TC-BOOKING-030
TC-TRIPSTATUS-024
TC-TRIPSTATUS-025
TC-TRIPSTATUS-027
TC-TRIPSTATUS-028
TC-NOTIF-032</x:v>
      </x:c>
      <x:c r="D19" s="34" t="n">
        <x:f>COUNTIFS('Booking Test Cases'!$P$2:$P$31,"R15; R18",'Booking Test Cases'!$L$2:$L$31,"&lt;&gt;OUT_OF_SCOPE",'Booking Test Cases'!$L$2:$L$31,"&lt;&gt;SUPERSEDED")+COUNTIFS('TripStatus Test Cases'!$P$2:$P$31,"R18",'TripStatus Test Cases'!$L$2:$L$31,"&lt;&gt;OUT_OF_SCOPE",'TripStatus Test Cases'!$L$2:$L$31,"&lt;&gt;SUPERSEDED")+COUNTIFS('TripStatus Test Cases'!$P$2:$P$31,"R18; R07",'TripStatus Test Cases'!$L$2:$L$31,"&lt;&gt;OUT_OF_SCOPE",'TripStatus Test Cases'!$L$2:$L$31,"&lt;&gt;SUPERSEDED")+COUNTIFS('Notification Test Cases'!$P$2:$P$35,"R07; R18",'Notification Test Cases'!$L$2:$L$35,"&lt;&gt;OUT_OF_SCOPE",'Notification Test Cases'!$L$2:$L$35,"&lt;&gt;SUPERSEDED")</x:f>
        <x:v>6</x:v>
      </x:c>
      <x:c r="E19" s="34" t="n">
        <x:f>COUNTIFS('Booking Test Cases'!$P$2:$P$31,"R15; R18",'Booking Test Cases'!$L$2:$L$31,"&lt;&gt;OUT_OF_SCOPE",'Booking Test Cases'!$L$2:$L$31,"&lt;&gt;SUPERSEDED",'Booking Test Cases'!$L$2:$L$31,"DEFINED")+COUNTIFS('TripStatus Test Cases'!$P$2:$P$31,"R18",'TripStatus Test Cases'!$L$2:$L$31,"&lt;&gt;OUT_OF_SCOPE",'TripStatus Test Cases'!$L$2:$L$31,"&lt;&gt;SUPERSEDED",'TripStatus Test Cases'!$L$2:$L$31,"DEFINED")+COUNTIFS('TripStatus Test Cases'!$P$2:$P$31,"R18; R07",'TripStatus Test Cases'!$L$2:$L$31,"&lt;&gt;OUT_OF_SCOPE",'TripStatus Test Cases'!$L$2:$L$31,"&lt;&gt;SUPERSEDED",'TripStatus Test Cases'!$L$2:$L$31,"DEFINED")+COUNTIFS('Notification Test Cases'!$P$2:$P$35,"R07; R18",'Notification Test Cases'!$L$2:$L$35,"&lt;&gt;OUT_OF_SCOPE",'Notification Test Cases'!$L$2:$L$35,"&lt;&gt;SUPERSEDED",'Notification Test Cases'!$L$2:$L$35,"DEFINED")</x:f>
        <x:v>6</x:v>
      </x:c>
      <x:c r="F19" s="34" t="n">
        <x:f>COUNTIFS('Booking Test Cases'!$P$2:$P$31,"R15; R18",'Booking Test Cases'!$L$2:$L$31,"&lt;&gt;OUT_OF_SCOPE",'Booking Test Cases'!$L$2:$L$31,"&lt;&gt;SUPERSEDED",'Booking Test Cases'!$L$2:$L$31,"NEEDS_DECISION")+COUNTIFS('TripStatus Test Cases'!$P$2:$P$31,"R18",'TripStatus Test Cases'!$L$2:$L$31,"&lt;&gt;OUT_OF_SCOPE",'TripStatus Test Cases'!$L$2:$L$31,"&lt;&gt;SUPERSEDED",'TripStatus Test Cases'!$L$2:$L$31,"NEEDS_DECISION")+COUNTIFS('TripStatus Test Cases'!$P$2:$P$31,"R18; R07",'TripStatus Test Cases'!$L$2:$L$31,"&lt;&gt;OUT_OF_SCOPE",'TripStatus Test Cases'!$L$2:$L$31,"&lt;&gt;SUPERSEDED",'TripStatus Test Cases'!$L$2:$L$31,"NEEDS_DECISION")+COUNTIFS('Notification Test Cases'!$P$2:$P$35,"R07; R18",'Notification Test Cases'!$L$2:$L$35,"&lt;&gt;OUT_OF_SCOPE",'Notification Test Cases'!$L$2:$L$35,"&lt;&gt;SUPERSEDED",'Notification Test Cases'!$L$2:$L$35,"NEEDS_DECISION")</x:f>
        <x:v>0</x:v>
      </x:c>
      <x:c r="G19" s="34" t="n">
        <x:f>COUNTIFS('Booking Test Cases'!$P$2:$P$31,"R15; R18",'Booking Test Cases'!$L$2:$L$31,"&lt;&gt;OUT_OF_SCOPE",'Booking Test Cases'!$L$2:$L$31,"&lt;&gt;SUPERSEDED",'Booking Test Cases'!$N$2:$N$31,"PASS")+COUNTIFS('TripStatus Test Cases'!$P$2:$P$31,"R18",'TripStatus Test Cases'!$L$2:$L$31,"&lt;&gt;OUT_OF_SCOPE",'TripStatus Test Cases'!$L$2:$L$31,"&lt;&gt;SUPERSEDED",'TripStatus Test Cases'!$N$2:$N$31,"PASS")+COUNTIFS('TripStatus Test Cases'!$P$2:$P$31,"R18; R07",'TripStatus Test Cases'!$L$2:$L$31,"&lt;&gt;OUT_OF_SCOPE",'TripStatus Test Cases'!$L$2:$L$31,"&lt;&gt;SUPERSEDED",'TripStatus Test Cases'!$N$2:$N$31,"PASS")+COUNTIFS('Notification Test Cases'!$P$2:$P$35,"R07; R18",'Notification Test Cases'!$L$2:$L$35,"&lt;&gt;OUT_OF_SCOPE",'Notification Test Cases'!$L$2:$L$35,"&lt;&gt;SUPERSEDED",'Notification Test Cases'!$N$2:$N$35,"PASS")</x:f>
        <x:v>0</x:v>
      </x:c>
      <x:c r="H19" s="34" t="n">
        <x:f>COUNTIFS('Booking Test Cases'!$P$2:$P$31,"R15; R18",'Booking Test Cases'!$L$2:$L$31,"&lt;&gt;OUT_OF_SCOPE",'Booking Test Cases'!$L$2:$L$31,"&lt;&gt;SUPERSEDED",'Booking Test Cases'!$N$2:$N$31,"FAIL")+COUNTIFS('TripStatus Test Cases'!$P$2:$P$31,"R18",'TripStatus Test Cases'!$L$2:$L$31,"&lt;&gt;OUT_OF_SCOPE",'TripStatus Test Cases'!$L$2:$L$31,"&lt;&gt;SUPERSEDED",'TripStatus Test Cases'!$N$2:$N$31,"FAIL")+COUNTIFS('TripStatus Test Cases'!$P$2:$P$31,"R18; R07",'TripStatus Test Cases'!$L$2:$L$31,"&lt;&gt;OUT_OF_SCOPE",'TripStatus Test Cases'!$L$2:$L$31,"&lt;&gt;SUPERSEDED",'TripStatus Test Cases'!$N$2:$N$31,"FAIL")+COUNTIFS('Notification Test Cases'!$P$2:$P$35,"R07; R18",'Notification Test Cases'!$L$2:$L$35,"&lt;&gt;OUT_OF_SCOPE",'Notification Test Cases'!$L$2:$L$35,"&lt;&gt;SUPERSEDED",'Notification Test Cases'!$N$2:$N$35,"FAIL")</x:f>
        <x:v>0</x:v>
      </x:c>
      <x:c r="I19" s="34" t="n">
        <x:f>COUNTIFS('Booking Test Cases'!$P$2:$P$31,"R15; R18",'Booking Test Cases'!$L$2:$L$31,"&lt;&gt;OUT_OF_SCOPE",'Booking Test Cases'!$L$2:$L$31,"&lt;&gt;SUPERSEDED",'Booking Test Cases'!$N$2:$N$31,"BLOCKED")+COUNTIFS('TripStatus Test Cases'!$P$2:$P$31,"R18",'TripStatus Test Cases'!$L$2:$L$31,"&lt;&gt;OUT_OF_SCOPE",'TripStatus Test Cases'!$L$2:$L$31,"&lt;&gt;SUPERSEDED",'TripStatus Test Cases'!$N$2:$N$31,"BLOCKED")+COUNTIFS('TripStatus Test Cases'!$P$2:$P$31,"R18; R07",'TripStatus Test Cases'!$L$2:$L$31,"&lt;&gt;OUT_OF_SCOPE",'TripStatus Test Cases'!$L$2:$L$31,"&lt;&gt;SUPERSEDED",'TripStatus Test Cases'!$N$2:$N$31,"BLOCKED")+COUNTIFS('Notification Test Cases'!$P$2:$P$35,"R07; R18",'Notification Test Cases'!$L$2:$L$35,"&lt;&gt;OUT_OF_SCOPE",'Notification Test Cases'!$L$2:$L$35,"&lt;&gt;SUPERSEDED",'Notification Test Cases'!$N$2:$N$35,"BLOCKED")</x:f>
        <x:v>0</x:v>
      </x:c>
      <x:c r="J19" s="34" t="n">
        <x:f>COUNTIFS('Booking Test Cases'!$P$2:$P$31,"R15; R18",'Booking Test Cases'!$L$2:$L$31,"&lt;&gt;OUT_OF_SCOPE",'Booking Test Cases'!$L$2:$L$31,"&lt;&gt;SUPERSEDED",'Booking Test Cases'!$N$2:$N$31,"NOT_RUN")+COUNTIFS('TripStatus Test Cases'!$P$2:$P$31,"R18",'TripStatus Test Cases'!$L$2:$L$31,"&lt;&gt;OUT_OF_SCOPE",'TripStatus Test Cases'!$L$2:$L$31,"&lt;&gt;SUPERSEDED",'TripStatus Test Cases'!$N$2:$N$31,"NOT_RUN")+COUNTIFS('TripStatus Test Cases'!$P$2:$P$31,"R18; R07",'TripStatus Test Cases'!$L$2:$L$31,"&lt;&gt;OUT_OF_SCOPE",'TripStatus Test Cases'!$L$2:$L$31,"&lt;&gt;SUPERSEDED",'TripStatus Test Cases'!$N$2:$N$31,"NOT_RUN")+COUNTIFS('Notification Test Cases'!$P$2:$P$35,"R07; R18",'Notification Test Cases'!$L$2:$L$35,"&lt;&gt;OUT_OF_SCOPE",'Notification Test Cases'!$L$2:$L$35,"&lt;&gt;SUPERSEDED",'Notification Test Cases'!$N$2:$N$35,"NOT_RUN")</x:f>
        <x:v>6</x:v>
      </x:c>
      <x:c r="K19" s="14" t="str">
        <x:f>IF(D19=0,"CHƯA LIÊN KẾT",IF(H19&gt;0,"CÓ CA FAIL",IF(I19&gt;0,"CÓ CA BLOCKED",IF(F19&gt;0,"CẦN CHỐT THIẾT KẾ",IF(J19&gt;0,"CHƯA CHẠY ĐỦ","CA LIÊN KẾT ĐÃ PASS")))))</x:f>
        <x:v>CHƯA CHẠY ĐỦ</x:v>
      </x:c>
      <x:c r="L19" s="14" t="str">
        <x:v>Điều kiện hủy, reason, dữ liệu sau hủy và thông báo đúng người.</x:v>
      </x:c>
      <x:c r="M19" s="33"/>
      <x:c r="N19" s="33" t="str">
        <x:v>CHƯA CHẤM</x:v>
      </x:c>
    </x:row>
    <x:row r="20" ht="115" customHeight="1">
      <x:c r="A20" s="14" t="str">
        <x:v>R19</x:v>
      </x:c>
      <x:c r="B20" s="14" t="str">
        <x:v>Thanh toán online và callback</x:v>
      </x:c>
      <x:c r="C20" s="14" t="str">
        <x:v>TC-SEC-018
TC-PAYMENT-001
TC-PAYMENT-002
TC-PAYMENT-004
TC-PAYMENT-005
TC-PAYMENT-006</x:v>
      </x:c>
      <x:c r="D20" s="34" t="n">
        <x:f>COUNTIFS('Payment Test Cases'!$P$2:$P$38,"R19",'Payment Test Cases'!$L$2:$L$38,"&lt;&gt;OUT_OF_SCOPE",'Payment Test Cases'!$L$2:$L$38,"&lt;&gt;SUPERSEDED")+COUNTIFS('Payment Test Cases'!$P$2:$P$38,"R19; R30",'Payment Test Cases'!$L$2:$L$38,"&lt;&gt;OUT_OF_SCOPE",'Payment Test Cases'!$L$2:$L$38,"&lt;&gt;SUPERSEDED")+COUNTIFS('Notification Test Cases'!$P$2:$P$35,"R07; R19; R30",'Notification Test Cases'!$L$2:$L$35,"&lt;&gt;OUT_OF_SCOPE",'Notification Test Cases'!$L$2:$L$35,"&lt;&gt;SUPERSEDED")+COUNTIFS('Security Test Cases'!$P$2:$P$20,"R19; R30",'Security Test Cases'!$L$2:$L$20,"&lt;&gt;OUT_OF_SCOPE",'Security Test Cases'!$L$2:$L$20,"&lt;&gt;SUPERSEDED")</x:f>
        <x:v>29</x:v>
      </x:c>
      <x:c r="E20" s="34" t="n">
        <x:f>COUNTIFS('Payment Test Cases'!$P$2:$P$38,"R19",'Payment Test Cases'!$L$2:$L$38,"&lt;&gt;OUT_OF_SCOPE",'Payment Test Cases'!$L$2:$L$38,"&lt;&gt;SUPERSEDED",'Payment Test Cases'!$L$2:$L$38,"DEFINED")+COUNTIFS('Payment Test Cases'!$P$2:$P$38,"R19; R30",'Payment Test Cases'!$L$2:$L$38,"&lt;&gt;OUT_OF_SCOPE",'Payment Test Cases'!$L$2:$L$38,"&lt;&gt;SUPERSEDED",'Payment Test Cases'!$L$2:$L$38,"DEFINED")+COUNTIFS('Notification Test Cases'!$P$2:$P$35,"R07; R19; R30",'Notification Test Cases'!$L$2:$L$35,"&lt;&gt;OUT_OF_SCOPE",'Notification Test Cases'!$L$2:$L$35,"&lt;&gt;SUPERSEDED",'Notification Test Cases'!$L$2:$L$35,"DEFINED")+COUNTIFS('Security Test Cases'!$P$2:$P$20,"R19; R30",'Security Test Cases'!$L$2:$L$20,"&lt;&gt;OUT_OF_SCOPE",'Security Test Cases'!$L$2:$L$20,"&lt;&gt;SUPERSEDED",'Security Test Cases'!$L$2:$L$20,"DEFINED")</x:f>
        <x:v>19</x:v>
      </x:c>
      <x:c r="F20" s="34" t="n">
        <x:f>COUNTIFS('Payment Test Cases'!$P$2:$P$38,"R19",'Payment Test Cases'!$L$2:$L$38,"&lt;&gt;OUT_OF_SCOPE",'Payment Test Cases'!$L$2:$L$38,"&lt;&gt;SUPERSEDED",'Payment Test Cases'!$L$2:$L$38,"NEEDS_DECISION")+COUNTIFS('Payment Test Cases'!$P$2:$P$38,"R19; R30",'Payment Test Cases'!$L$2:$L$38,"&lt;&gt;OUT_OF_SCOPE",'Payment Test Cases'!$L$2:$L$38,"&lt;&gt;SUPERSEDED",'Payment Test Cases'!$L$2:$L$38,"NEEDS_DECISION")+COUNTIFS('Notification Test Cases'!$P$2:$P$35,"R07; R19; R30",'Notification Test Cases'!$L$2:$L$35,"&lt;&gt;OUT_OF_SCOPE",'Notification Test Cases'!$L$2:$L$35,"&lt;&gt;SUPERSEDED",'Notification Test Cases'!$L$2:$L$35,"NEEDS_DECISION")+COUNTIFS('Security Test Cases'!$P$2:$P$20,"R19; R30",'Security Test Cases'!$L$2:$L$20,"&lt;&gt;OUT_OF_SCOPE",'Security Test Cases'!$L$2:$L$20,"&lt;&gt;SUPERSEDED",'Security Test Cases'!$L$2:$L$20,"NEEDS_DECISION")</x:f>
        <x:v>10</x:v>
      </x:c>
      <x:c r="G20" s="34" t="n">
        <x:f>COUNTIFS('Payment Test Cases'!$P$2:$P$38,"R19",'Payment Test Cases'!$L$2:$L$38,"&lt;&gt;OUT_OF_SCOPE",'Payment Test Cases'!$L$2:$L$38,"&lt;&gt;SUPERSEDED",'Payment Test Cases'!$N$2:$N$38,"PASS")+COUNTIFS('Payment Test Cases'!$P$2:$P$38,"R19; R30",'Payment Test Cases'!$L$2:$L$38,"&lt;&gt;OUT_OF_SCOPE",'Payment Test Cases'!$L$2:$L$38,"&lt;&gt;SUPERSEDED",'Payment Test Cases'!$N$2:$N$38,"PASS")+COUNTIFS('Notification Test Cases'!$P$2:$P$35,"R07; R19; R30",'Notification Test Cases'!$L$2:$L$35,"&lt;&gt;OUT_OF_SCOPE",'Notification Test Cases'!$L$2:$L$35,"&lt;&gt;SUPERSEDED",'Notification Test Cases'!$N$2:$N$35,"PASS")+COUNTIFS('Security Test Cases'!$P$2:$P$20,"R19; R30",'Security Test Cases'!$L$2:$L$20,"&lt;&gt;OUT_OF_SCOPE",'Security Test Cases'!$L$2:$L$20,"&lt;&gt;SUPERSEDED",'Security Test Cases'!$N$2:$N$20,"PASS")</x:f>
        <x:v>0</x:v>
      </x:c>
      <x:c r="H20" s="34" t="n">
        <x:f>COUNTIFS('Payment Test Cases'!$P$2:$P$38,"R19",'Payment Test Cases'!$L$2:$L$38,"&lt;&gt;OUT_OF_SCOPE",'Payment Test Cases'!$L$2:$L$38,"&lt;&gt;SUPERSEDED",'Payment Test Cases'!$N$2:$N$38,"FAIL")+COUNTIFS('Payment Test Cases'!$P$2:$P$38,"R19; R30",'Payment Test Cases'!$L$2:$L$38,"&lt;&gt;OUT_OF_SCOPE",'Payment Test Cases'!$L$2:$L$38,"&lt;&gt;SUPERSEDED",'Payment Test Cases'!$N$2:$N$38,"FAIL")+COUNTIFS('Notification Test Cases'!$P$2:$P$35,"R07; R19; R30",'Notification Test Cases'!$L$2:$L$35,"&lt;&gt;OUT_OF_SCOPE",'Notification Test Cases'!$L$2:$L$35,"&lt;&gt;SUPERSEDED",'Notification Test Cases'!$N$2:$N$35,"FAIL")+COUNTIFS('Security Test Cases'!$P$2:$P$20,"R19; R30",'Security Test Cases'!$L$2:$L$20,"&lt;&gt;OUT_OF_SCOPE",'Security Test Cases'!$L$2:$L$20,"&lt;&gt;SUPERSEDED",'Security Test Cases'!$N$2:$N$20,"FAIL")</x:f>
        <x:v>0</x:v>
      </x:c>
      <x:c r="I20" s="34" t="n">
        <x:f>COUNTIFS('Payment Test Cases'!$P$2:$P$38,"R19",'Payment Test Cases'!$L$2:$L$38,"&lt;&gt;OUT_OF_SCOPE",'Payment Test Cases'!$L$2:$L$38,"&lt;&gt;SUPERSEDED",'Payment Test Cases'!$N$2:$N$38,"BLOCKED")+COUNTIFS('Payment Test Cases'!$P$2:$P$38,"R19; R30",'Payment Test Cases'!$L$2:$L$38,"&lt;&gt;OUT_OF_SCOPE",'Payment Test Cases'!$L$2:$L$38,"&lt;&gt;SUPERSEDED",'Payment Test Cases'!$N$2:$N$38,"BLOCKED")+COUNTIFS('Notification Test Cases'!$P$2:$P$35,"R07; R19; R30",'Notification Test Cases'!$L$2:$L$35,"&lt;&gt;OUT_OF_SCOPE",'Notification Test Cases'!$L$2:$L$35,"&lt;&gt;SUPERSEDED",'Notification Test Cases'!$N$2:$N$35,"BLOCKED")+COUNTIFS('Security Test Cases'!$P$2:$P$20,"R19; R30",'Security Test Cases'!$L$2:$L$20,"&lt;&gt;OUT_OF_SCOPE",'Security Test Cases'!$L$2:$L$20,"&lt;&gt;SUPERSEDED",'Security Test Cases'!$N$2:$N$20,"BLOCKED")</x:f>
        <x:v>0</x:v>
      </x:c>
      <x:c r="J20" s="34" t="n">
        <x:f>COUNTIFS('Payment Test Cases'!$P$2:$P$38,"R19",'Payment Test Cases'!$L$2:$L$38,"&lt;&gt;OUT_OF_SCOPE",'Payment Test Cases'!$L$2:$L$38,"&lt;&gt;SUPERSEDED",'Payment Test Cases'!$N$2:$N$38,"NOT_RUN")+COUNTIFS('Payment Test Cases'!$P$2:$P$38,"R19; R30",'Payment Test Cases'!$L$2:$L$38,"&lt;&gt;OUT_OF_SCOPE",'Payment Test Cases'!$L$2:$L$38,"&lt;&gt;SUPERSEDED",'Payment Test Cases'!$N$2:$N$38,"NOT_RUN")+COUNTIFS('Notification Test Cases'!$P$2:$P$35,"R07; R19; R30",'Notification Test Cases'!$L$2:$L$35,"&lt;&gt;OUT_OF_SCOPE",'Notification Test Cases'!$L$2:$L$35,"&lt;&gt;SUPERSEDED",'Notification Test Cases'!$N$2:$N$35,"NOT_RUN")+COUNTIFS('Security Test Cases'!$P$2:$P$20,"R19; R30",'Security Test Cases'!$L$2:$L$20,"&lt;&gt;OUT_OF_SCOPE",'Security Test Cases'!$L$2:$L$20,"&lt;&gt;SUPERSEDED",'Security Test Cases'!$N$2:$N$20,"NOT_RUN")</x:f>
        <x:v>29</x:v>
      </x:c>
      <x:c r="K20" s="14" t="str">
        <x:f>IF(D20=0,"CHƯA LIÊN KẾT",IF(H20&gt;0,"CÓ CA FAIL",IF(I20&gt;0,"CÓ CA BLOCKED",IF(F20&gt;0,"CẦN CHỐT THIẾT KẾ",IF(J20&gt;0,"CHƯA CHẠY ĐỦ","CA LIÊN KẾT ĐÃ PASS")))))</x:f>
        <x:v>CẦN CHỐT THIẾT KẾ</x:v>
      </x:c>
      <x:c r="L20" s="14" t="str">
        <x:v>Giao dịch sandbox có xác minh callback. CAB SUCCESS tương ứng COMPLETED trong rubric.</x:v>
      </x:c>
      <x:c r="M20" s="33"/>
      <x:c r="N20" s="33" t="str">
        <x:v>CHƯA CHẤM</x:v>
      </x:c>
    </x:row>
    <x:row r="21" ht="115" customHeight="1">
      <x:c r="A21" s="14" t="str">
        <x:v>R20</x:v>
      </x:c>
      <x:c r="B21" s="14" t="str">
        <x:v>Đánh giá chuyến</x:v>
      </x:c>
      <x:c r="C21" s="14" t="str">
        <x:v>TC-ARCH-004
TC-PAYMENT-016
TC-RATING-001
TC-RATING-002
TC-RATING-003
TC-RATING-004</x:v>
      </x:c>
      <x:c r="D21" s="34" t="n">
        <x:f>COUNTIFS('Payment Test Cases'!$P$2:$P$38,"R20",'Payment Test Cases'!$L$2:$L$38,"&lt;&gt;OUT_OF_SCOPE",'Payment Test Cases'!$L$2:$L$38,"&lt;&gt;SUPERSEDED")+COUNTIFS('Rating Test Cases'!$P$2:$P$33,"R20",'Rating Test Cases'!$L$2:$L$33,"&lt;&gt;OUT_OF_SCOPE",'Rating Test Cases'!$L$2:$L$33,"&lt;&gt;SUPERSEDED")+COUNTIFS('Rating Test Cases'!$P$2:$P$33,"R04; R20",'Rating Test Cases'!$L$2:$L$33,"&lt;&gt;OUT_OF_SCOPE",'Rating Test Cases'!$L$2:$L$33,"&lt;&gt;SUPERSEDED")+COUNTIFS('Rating Test Cases'!$P$2:$P$33,"R20; R27",'Rating Test Cases'!$L$2:$L$33,"&lt;&gt;OUT_OF_SCOPE",'Rating Test Cases'!$L$2:$L$33,"&lt;&gt;SUPERSEDED")+COUNTIFS('Rating Test Cases'!$P$2:$P$33,"R20; R28",'Rating Test Cases'!$L$2:$L$33,"&lt;&gt;OUT_OF_SCOPE",'Rating Test Cases'!$L$2:$L$33,"&lt;&gt;SUPERSEDED")+COUNTIFS('Architecture Test Cases'!$P$2:$P$18,"R04; R20",'Architecture Test Cases'!$L$2:$L$18,"&lt;&gt;OUT_OF_SCOPE",'Architecture Test Cases'!$L$2:$L$18,"&lt;&gt;SUPERSEDED")</x:f>
        <x:v>33</x:v>
      </x:c>
      <x:c r="E21" s="34" t="n">
        <x:f>COUNTIFS('Payment Test Cases'!$P$2:$P$38,"R20",'Payment Test Cases'!$L$2:$L$38,"&lt;&gt;OUT_OF_SCOPE",'Payment Test Cases'!$L$2:$L$38,"&lt;&gt;SUPERSEDED",'Payment Test Cases'!$L$2:$L$38,"DEFINED")+COUNTIFS('Rating Test Cases'!$P$2:$P$33,"R20",'Rating Test Cases'!$L$2:$L$33,"&lt;&gt;OUT_OF_SCOPE",'Rating Test Cases'!$L$2:$L$33,"&lt;&gt;SUPERSEDED",'Rating Test Cases'!$L$2:$L$33,"DEFINED")+COUNTIFS('Rating Test Cases'!$P$2:$P$33,"R04; R20",'Rating Test Cases'!$L$2:$L$33,"&lt;&gt;OUT_OF_SCOPE",'Rating Test Cases'!$L$2:$L$33,"&lt;&gt;SUPERSEDED",'Rating Test Cases'!$L$2:$L$33,"DEFINED")+COUNTIFS('Rating Test Cases'!$P$2:$P$33,"R20; R27",'Rating Test Cases'!$L$2:$L$33,"&lt;&gt;OUT_OF_SCOPE",'Rating Test Cases'!$L$2:$L$33,"&lt;&gt;SUPERSEDED",'Rating Test Cases'!$L$2:$L$33,"DEFINED")+COUNTIFS('Rating Test Cases'!$P$2:$P$33,"R20; R28",'Rating Test Cases'!$L$2:$L$33,"&lt;&gt;OUT_OF_SCOPE",'Rating Test Cases'!$L$2:$L$33,"&lt;&gt;SUPERSEDED",'Rating Test Cases'!$L$2:$L$33,"DEFINED")+COUNTIFS('Architecture Test Cases'!$P$2:$P$18,"R04; R20",'Architecture Test Cases'!$L$2:$L$18,"&lt;&gt;OUT_OF_SCOPE",'Architecture Test Cases'!$L$2:$L$18,"&lt;&gt;SUPERSEDED",'Architecture Test Cases'!$L$2:$L$18,"DEFINED")</x:f>
        <x:v>33</x:v>
      </x:c>
      <x:c r="F21" s="34" t="n">
        <x:f>COUNTIFS('Payment Test Cases'!$P$2:$P$38,"R20",'Payment Test Cases'!$L$2:$L$38,"&lt;&gt;OUT_OF_SCOPE",'Payment Test Cases'!$L$2:$L$38,"&lt;&gt;SUPERSEDED",'Payment Test Cases'!$L$2:$L$38,"NEEDS_DECISION")+COUNTIFS('Rating Test Cases'!$P$2:$P$33,"R20",'Rating Test Cases'!$L$2:$L$33,"&lt;&gt;OUT_OF_SCOPE",'Rating Test Cases'!$L$2:$L$33,"&lt;&gt;SUPERSEDED",'Rating Test Cases'!$L$2:$L$33,"NEEDS_DECISION")+COUNTIFS('Rating Test Cases'!$P$2:$P$33,"R04; R20",'Rating Test Cases'!$L$2:$L$33,"&lt;&gt;OUT_OF_SCOPE",'Rating Test Cases'!$L$2:$L$33,"&lt;&gt;SUPERSEDED",'Rating Test Cases'!$L$2:$L$33,"NEEDS_DECISION")+COUNTIFS('Rating Test Cases'!$P$2:$P$33,"R20; R27",'Rating Test Cases'!$L$2:$L$33,"&lt;&gt;OUT_OF_SCOPE",'Rating Test Cases'!$L$2:$L$33,"&lt;&gt;SUPERSEDED",'Rating Test Cases'!$L$2:$L$33,"NEEDS_DECISION")+COUNTIFS('Rating Test Cases'!$P$2:$P$33,"R20; R28",'Rating Test Cases'!$L$2:$L$33,"&lt;&gt;OUT_OF_SCOPE",'Rating Test Cases'!$L$2:$L$33,"&lt;&gt;SUPERSEDED",'Rating Test Cases'!$L$2:$L$33,"NEEDS_DECISION")+COUNTIFS('Architecture Test Cases'!$P$2:$P$18,"R04; R20",'Architecture Test Cases'!$L$2:$L$18,"&lt;&gt;OUT_OF_SCOPE",'Architecture Test Cases'!$L$2:$L$18,"&lt;&gt;SUPERSEDED",'Architecture Test Cases'!$L$2:$L$18,"NEEDS_DECISION")</x:f>
        <x:v>0</x:v>
      </x:c>
      <x:c r="G21" s="34" t="n">
        <x:f>COUNTIFS('Payment Test Cases'!$P$2:$P$38,"R20",'Payment Test Cases'!$L$2:$L$38,"&lt;&gt;OUT_OF_SCOPE",'Payment Test Cases'!$L$2:$L$38,"&lt;&gt;SUPERSEDED",'Payment Test Cases'!$N$2:$N$38,"PASS")+COUNTIFS('Rating Test Cases'!$P$2:$P$33,"R20",'Rating Test Cases'!$L$2:$L$33,"&lt;&gt;OUT_OF_SCOPE",'Rating Test Cases'!$L$2:$L$33,"&lt;&gt;SUPERSEDED",'Rating Test Cases'!$N$2:$N$33,"PASS")+COUNTIFS('Rating Test Cases'!$P$2:$P$33,"R04; R20",'Rating Test Cases'!$L$2:$L$33,"&lt;&gt;OUT_OF_SCOPE",'Rating Test Cases'!$L$2:$L$33,"&lt;&gt;SUPERSEDED",'Rating Test Cases'!$N$2:$N$33,"PASS")+COUNTIFS('Rating Test Cases'!$P$2:$P$33,"R20; R27",'Rating Test Cases'!$L$2:$L$33,"&lt;&gt;OUT_OF_SCOPE",'Rating Test Cases'!$L$2:$L$33,"&lt;&gt;SUPERSEDED",'Rating Test Cases'!$N$2:$N$33,"PASS")+COUNTIFS('Rating Test Cases'!$P$2:$P$33,"R20; R28",'Rating Test Cases'!$L$2:$L$33,"&lt;&gt;OUT_OF_SCOPE",'Rating Test Cases'!$L$2:$L$33,"&lt;&gt;SUPERSEDED",'Rating Test Cases'!$N$2:$N$33,"PASS")+COUNTIFS('Architecture Test Cases'!$P$2:$P$18,"R04; R20",'Architecture Test Cases'!$L$2:$L$18,"&lt;&gt;OUT_OF_SCOPE",'Architecture Test Cases'!$L$2:$L$18,"&lt;&gt;SUPERSEDED",'Architecture Test Cases'!$N$2:$N$18,"PASS")</x:f>
        <x:v>0</x:v>
      </x:c>
      <x:c r="H21" s="34" t="n">
        <x:f>COUNTIFS('Payment Test Cases'!$P$2:$P$38,"R20",'Payment Test Cases'!$L$2:$L$38,"&lt;&gt;OUT_OF_SCOPE",'Payment Test Cases'!$L$2:$L$38,"&lt;&gt;SUPERSEDED",'Payment Test Cases'!$N$2:$N$38,"FAIL")+COUNTIFS('Rating Test Cases'!$P$2:$P$33,"R20",'Rating Test Cases'!$L$2:$L$33,"&lt;&gt;OUT_OF_SCOPE",'Rating Test Cases'!$L$2:$L$33,"&lt;&gt;SUPERSEDED",'Rating Test Cases'!$N$2:$N$33,"FAIL")+COUNTIFS('Rating Test Cases'!$P$2:$P$33,"R04; R20",'Rating Test Cases'!$L$2:$L$33,"&lt;&gt;OUT_OF_SCOPE",'Rating Test Cases'!$L$2:$L$33,"&lt;&gt;SUPERSEDED",'Rating Test Cases'!$N$2:$N$33,"FAIL")+COUNTIFS('Rating Test Cases'!$P$2:$P$33,"R20; R27",'Rating Test Cases'!$L$2:$L$33,"&lt;&gt;OUT_OF_SCOPE",'Rating Test Cases'!$L$2:$L$33,"&lt;&gt;SUPERSEDED",'Rating Test Cases'!$N$2:$N$33,"FAIL")+COUNTIFS('Rating Test Cases'!$P$2:$P$33,"R20; R28",'Rating Test Cases'!$L$2:$L$33,"&lt;&gt;OUT_OF_SCOPE",'Rating Test Cases'!$L$2:$L$33,"&lt;&gt;SUPERSEDED",'Rating Test Cases'!$N$2:$N$33,"FAIL")+COUNTIFS('Architecture Test Cases'!$P$2:$P$18,"R04; R20",'Architecture Test Cases'!$L$2:$L$18,"&lt;&gt;OUT_OF_SCOPE",'Architecture Test Cases'!$L$2:$L$18,"&lt;&gt;SUPERSEDED",'Architecture Test Cases'!$N$2:$N$18,"FAIL")</x:f>
        <x:v>0</x:v>
      </x:c>
      <x:c r="I21" s="34" t="n">
        <x:f>COUNTIFS('Payment Test Cases'!$P$2:$P$38,"R20",'Payment Test Cases'!$L$2:$L$38,"&lt;&gt;OUT_OF_SCOPE",'Payment Test Cases'!$L$2:$L$38,"&lt;&gt;SUPERSEDED",'Payment Test Cases'!$N$2:$N$38,"BLOCKED")+COUNTIFS('Rating Test Cases'!$P$2:$P$33,"R20",'Rating Test Cases'!$L$2:$L$33,"&lt;&gt;OUT_OF_SCOPE",'Rating Test Cases'!$L$2:$L$33,"&lt;&gt;SUPERSEDED",'Rating Test Cases'!$N$2:$N$33,"BLOCKED")+COUNTIFS('Rating Test Cases'!$P$2:$P$33,"R04; R20",'Rating Test Cases'!$L$2:$L$33,"&lt;&gt;OUT_OF_SCOPE",'Rating Test Cases'!$L$2:$L$33,"&lt;&gt;SUPERSEDED",'Rating Test Cases'!$N$2:$N$33,"BLOCKED")+COUNTIFS('Rating Test Cases'!$P$2:$P$33,"R20; R27",'Rating Test Cases'!$L$2:$L$33,"&lt;&gt;OUT_OF_SCOPE",'Rating Test Cases'!$L$2:$L$33,"&lt;&gt;SUPERSEDED",'Rating Test Cases'!$N$2:$N$33,"BLOCKED")+COUNTIFS('Rating Test Cases'!$P$2:$P$33,"R20; R28",'Rating Test Cases'!$L$2:$L$33,"&lt;&gt;OUT_OF_SCOPE",'Rating Test Cases'!$L$2:$L$33,"&lt;&gt;SUPERSEDED",'Rating Test Cases'!$N$2:$N$33,"BLOCKED")+COUNTIFS('Architecture Test Cases'!$P$2:$P$18,"R04; R20",'Architecture Test Cases'!$L$2:$L$18,"&lt;&gt;OUT_OF_SCOPE",'Architecture Test Cases'!$L$2:$L$18,"&lt;&gt;SUPERSEDED",'Architecture Test Cases'!$N$2:$N$18,"BLOCKED")</x:f>
        <x:v>0</x:v>
      </x:c>
      <x:c r="J21" s="34" t="n">
        <x:f>COUNTIFS('Payment Test Cases'!$P$2:$P$38,"R20",'Payment Test Cases'!$L$2:$L$38,"&lt;&gt;OUT_OF_SCOPE",'Payment Test Cases'!$L$2:$L$38,"&lt;&gt;SUPERSEDED",'Payment Test Cases'!$N$2:$N$38,"NOT_RUN")+COUNTIFS('Rating Test Cases'!$P$2:$P$33,"R20",'Rating Test Cases'!$L$2:$L$33,"&lt;&gt;OUT_OF_SCOPE",'Rating Test Cases'!$L$2:$L$33,"&lt;&gt;SUPERSEDED",'Rating Test Cases'!$N$2:$N$33,"NOT_RUN")+COUNTIFS('Rating Test Cases'!$P$2:$P$33,"R04; R20",'Rating Test Cases'!$L$2:$L$33,"&lt;&gt;OUT_OF_SCOPE",'Rating Test Cases'!$L$2:$L$33,"&lt;&gt;SUPERSEDED",'Rating Test Cases'!$N$2:$N$33,"NOT_RUN")+COUNTIFS('Rating Test Cases'!$P$2:$P$33,"R20; R27",'Rating Test Cases'!$L$2:$L$33,"&lt;&gt;OUT_OF_SCOPE",'Rating Test Cases'!$L$2:$L$33,"&lt;&gt;SUPERSEDED",'Rating Test Cases'!$N$2:$N$33,"NOT_RUN")+COUNTIFS('Rating Test Cases'!$P$2:$P$33,"R20; R28",'Rating Test Cases'!$L$2:$L$33,"&lt;&gt;OUT_OF_SCOPE",'Rating Test Cases'!$L$2:$L$33,"&lt;&gt;SUPERSEDED",'Rating Test Cases'!$N$2:$N$33,"NOT_RUN")+COUNTIFS('Architecture Test Cases'!$P$2:$P$18,"R04; R20",'Architecture Test Cases'!$L$2:$L$18,"&lt;&gt;OUT_OF_SCOPE",'Architecture Test Cases'!$L$2:$L$18,"&lt;&gt;SUPERSEDED",'Architecture Test Cases'!$N$2:$N$18,"NOT_RUN")</x:f>
        <x:v>33</x:v>
      </x:c>
      <x:c r="K21" s="14" t="str">
        <x:f>IF(D21=0,"CHƯA LIÊN KẾT",IF(H21&gt;0,"CÓ CA FAIL",IF(I21&gt;0,"CÓ CA BLOCKED",IF(F21&gt;0,"CẦN CHỐT THIẾT KẾ",IF(J21&gt;0,"CHƯA CHẠY ĐỦ","CA LIÊN KẾT ĐÃ PASS")))))</x:f>
        <x:v>CHƯA CHẠY ĐỦ</x:v>
      </x:c>
      <x:c r="L21" s="14" t="str">
        <x:v>Một Rating/Trip hoàn tất; đúng chủ; điểm 1–5; không phụ thuộc thanh toán.</x:v>
      </x:c>
      <x:c r="M21" s="33"/>
      <x:c r="N21" s="33" t="str">
        <x:v>CHƯA CHẤM</x:v>
      </x:c>
    </x:row>
    <x:row r="22" ht="115" customHeight="1">
      <x:c r="A22" s="14" t="str">
        <x:v>R21</x:v>
      </x:c>
      <x:c r="B22" s="14" t="str">
        <x:v>Đăng ký Driver có OTP và hồ sơ</x:v>
      </x:c>
      <x:c r="C22" s="14" t="str">
        <x:v>TC-DREG-001
TC-DREG-002
TC-DREG-003
TC-DREG-004
TC-DREG-005
TC-DREG-006</x:v>
      </x:c>
      <x:c r="D22" s="34" t="n">
        <x:f>COUNTIFS('Driver Registration Test Cases'!$P$2:$P$31,"R21",'Driver Registration Test Cases'!$L$2:$L$31,"&lt;&gt;OUT_OF_SCOPE",'Driver Registration Test Cases'!$L$2:$L$31,"&lt;&gt;SUPERSEDED")+COUNTIFS('Driver Registration Test Cases'!$P$2:$P$31,"R10; R21",'Driver Registration Test Cases'!$L$2:$L$31,"&lt;&gt;OUT_OF_SCOPE",'Driver Registration Test Cases'!$L$2:$L$31,"&lt;&gt;SUPERSEDED")+COUNTIFS('Driver Registration Test Cases'!$P$2:$P$31,"R21; R23",'Driver Registration Test Cases'!$L$2:$L$31,"&lt;&gt;OUT_OF_SCOPE",'Driver Registration Test Cases'!$L$2:$L$31,"&lt;&gt;SUPERSEDED")+COUNTIFS('Driver Registration Test Cases'!$P$2:$P$31,"R21; R22",'Driver Registration Test Cases'!$L$2:$L$31,"&lt;&gt;OUT_OF_SCOPE",'Driver Registration Test Cases'!$L$2:$L$31,"&lt;&gt;SUPERSEDED")</x:f>
        <x:v>18</x:v>
      </x:c>
      <x:c r="E22" s="34" t="n">
        <x:f>COUNTIFS('Driver Registration Test Cases'!$P$2:$P$31,"R21",'Driver Registration Test Cases'!$L$2:$L$31,"&lt;&gt;OUT_OF_SCOPE",'Driver Registration Test Cases'!$L$2:$L$31,"&lt;&gt;SUPERSEDED",'Driver Registration Test Cases'!$L$2:$L$31,"DEFINED")+COUNTIFS('Driver Registration Test Cases'!$P$2:$P$31,"R10; R21",'Driver Registration Test Cases'!$L$2:$L$31,"&lt;&gt;OUT_OF_SCOPE",'Driver Registration Test Cases'!$L$2:$L$31,"&lt;&gt;SUPERSEDED",'Driver Registration Test Cases'!$L$2:$L$31,"DEFINED")+COUNTIFS('Driver Registration Test Cases'!$P$2:$P$31,"R21; R23",'Driver Registration Test Cases'!$L$2:$L$31,"&lt;&gt;OUT_OF_SCOPE",'Driver Registration Test Cases'!$L$2:$L$31,"&lt;&gt;SUPERSEDED",'Driver Registration Test Cases'!$L$2:$L$31,"DEFINED")+COUNTIFS('Driver Registration Test Cases'!$P$2:$P$31,"R21; R22",'Driver Registration Test Cases'!$L$2:$L$31,"&lt;&gt;OUT_OF_SCOPE",'Driver Registration Test Cases'!$L$2:$L$31,"&lt;&gt;SUPERSEDED",'Driver Registration Test Cases'!$L$2:$L$31,"DEFINED")</x:f>
        <x:v>17</x:v>
      </x:c>
      <x:c r="F22" s="34" t="n">
        <x:f>COUNTIFS('Driver Registration Test Cases'!$P$2:$P$31,"R21",'Driver Registration Test Cases'!$L$2:$L$31,"&lt;&gt;OUT_OF_SCOPE",'Driver Registration Test Cases'!$L$2:$L$31,"&lt;&gt;SUPERSEDED",'Driver Registration Test Cases'!$L$2:$L$31,"NEEDS_DECISION")+COUNTIFS('Driver Registration Test Cases'!$P$2:$P$31,"R10; R21",'Driver Registration Test Cases'!$L$2:$L$31,"&lt;&gt;OUT_OF_SCOPE",'Driver Registration Test Cases'!$L$2:$L$31,"&lt;&gt;SUPERSEDED",'Driver Registration Test Cases'!$L$2:$L$31,"NEEDS_DECISION")+COUNTIFS('Driver Registration Test Cases'!$P$2:$P$31,"R21; R23",'Driver Registration Test Cases'!$L$2:$L$31,"&lt;&gt;OUT_OF_SCOPE",'Driver Registration Test Cases'!$L$2:$L$31,"&lt;&gt;SUPERSEDED",'Driver Registration Test Cases'!$L$2:$L$31,"NEEDS_DECISION")+COUNTIFS('Driver Registration Test Cases'!$P$2:$P$31,"R21; R22",'Driver Registration Test Cases'!$L$2:$L$31,"&lt;&gt;OUT_OF_SCOPE",'Driver Registration Test Cases'!$L$2:$L$31,"&lt;&gt;SUPERSEDED",'Driver Registration Test Cases'!$L$2:$L$31,"NEEDS_DECISION")</x:f>
        <x:v>1</x:v>
      </x:c>
      <x:c r="G22" s="34" t="n">
        <x:f>COUNTIFS('Driver Registration Test Cases'!$P$2:$P$31,"R21",'Driver Registration Test Cases'!$L$2:$L$31,"&lt;&gt;OUT_OF_SCOPE",'Driver Registration Test Cases'!$L$2:$L$31,"&lt;&gt;SUPERSEDED",'Driver Registration Test Cases'!$N$2:$N$31,"PASS")+COUNTIFS('Driver Registration Test Cases'!$P$2:$P$31,"R10; R21",'Driver Registration Test Cases'!$L$2:$L$31,"&lt;&gt;OUT_OF_SCOPE",'Driver Registration Test Cases'!$L$2:$L$31,"&lt;&gt;SUPERSEDED",'Driver Registration Test Cases'!$N$2:$N$31,"PASS")+COUNTIFS('Driver Registration Test Cases'!$P$2:$P$31,"R21; R23",'Driver Registration Test Cases'!$L$2:$L$31,"&lt;&gt;OUT_OF_SCOPE",'Driver Registration Test Cases'!$L$2:$L$31,"&lt;&gt;SUPERSEDED",'Driver Registration Test Cases'!$N$2:$N$31,"PASS")+COUNTIFS('Driver Registration Test Cases'!$P$2:$P$31,"R21; R22",'Driver Registration Test Cases'!$L$2:$L$31,"&lt;&gt;OUT_OF_SCOPE",'Driver Registration Test Cases'!$L$2:$L$31,"&lt;&gt;SUPERSEDED",'Driver Registration Test Cases'!$N$2:$N$31,"PASS")</x:f>
        <x:v>0</x:v>
      </x:c>
      <x:c r="H22" s="34" t="n">
        <x:f>COUNTIFS('Driver Registration Test Cases'!$P$2:$P$31,"R21",'Driver Registration Test Cases'!$L$2:$L$31,"&lt;&gt;OUT_OF_SCOPE",'Driver Registration Test Cases'!$L$2:$L$31,"&lt;&gt;SUPERSEDED",'Driver Registration Test Cases'!$N$2:$N$31,"FAIL")+COUNTIFS('Driver Registration Test Cases'!$P$2:$P$31,"R10; R21",'Driver Registration Test Cases'!$L$2:$L$31,"&lt;&gt;OUT_OF_SCOPE",'Driver Registration Test Cases'!$L$2:$L$31,"&lt;&gt;SUPERSEDED",'Driver Registration Test Cases'!$N$2:$N$31,"FAIL")+COUNTIFS('Driver Registration Test Cases'!$P$2:$P$31,"R21; R23",'Driver Registration Test Cases'!$L$2:$L$31,"&lt;&gt;OUT_OF_SCOPE",'Driver Registration Test Cases'!$L$2:$L$31,"&lt;&gt;SUPERSEDED",'Driver Registration Test Cases'!$N$2:$N$31,"FAIL")+COUNTIFS('Driver Registration Test Cases'!$P$2:$P$31,"R21; R22",'Driver Registration Test Cases'!$L$2:$L$31,"&lt;&gt;OUT_OF_SCOPE",'Driver Registration Test Cases'!$L$2:$L$31,"&lt;&gt;SUPERSEDED",'Driver Registration Test Cases'!$N$2:$N$31,"FAIL")</x:f>
        <x:v>0</x:v>
      </x:c>
      <x:c r="I22" s="34" t="n">
        <x:f>COUNTIFS('Driver Registration Test Cases'!$P$2:$P$31,"R21",'Driver Registration Test Cases'!$L$2:$L$31,"&lt;&gt;OUT_OF_SCOPE",'Driver Registration Test Cases'!$L$2:$L$31,"&lt;&gt;SUPERSEDED",'Driver Registration Test Cases'!$N$2:$N$31,"BLOCKED")+COUNTIFS('Driver Registration Test Cases'!$P$2:$P$31,"R10; R21",'Driver Registration Test Cases'!$L$2:$L$31,"&lt;&gt;OUT_OF_SCOPE",'Driver Registration Test Cases'!$L$2:$L$31,"&lt;&gt;SUPERSEDED",'Driver Registration Test Cases'!$N$2:$N$31,"BLOCKED")+COUNTIFS('Driver Registration Test Cases'!$P$2:$P$31,"R21; R23",'Driver Registration Test Cases'!$L$2:$L$31,"&lt;&gt;OUT_OF_SCOPE",'Driver Registration Test Cases'!$L$2:$L$31,"&lt;&gt;SUPERSEDED",'Driver Registration Test Cases'!$N$2:$N$31,"BLOCKED")+COUNTIFS('Driver Registration Test Cases'!$P$2:$P$31,"R21; R22",'Driver Registration Test Cases'!$L$2:$L$31,"&lt;&gt;OUT_OF_SCOPE",'Driver Registration Test Cases'!$L$2:$L$31,"&lt;&gt;SUPERSEDED",'Driver Registration Test Cases'!$N$2:$N$31,"BLOCKED")</x:f>
        <x:v>0</x:v>
      </x:c>
      <x:c r="J22" s="34" t="n">
        <x:f>COUNTIFS('Driver Registration Test Cases'!$P$2:$P$31,"R21",'Driver Registration Test Cases'!$L$2:$L$31,"&lt;&gt;OUT_OF_SCOPE",'Driver Registration Test Cases'!$L$2:$L$31,"&lt;&gt;SUPERSEDED",'Driver Registration Test Cases'!$N$2:$N$31,"NOT_RUN")+COUNTIFS('Driver Registration Test Cases'!$P$2:$P$31,"R10; R21",'Driver Registration Test Cases'!$L$2:$L$31,"&lt;&gt;OUT_OF_SCOPE",'Driver Registration Test Cases'!$L$2:$L$31,"&lt;&gt;SUPERSEDED",'Driver Registration Test Cases'!$N$2:$N$31,"NOT_RUN")+COUNTIFS('Driver Registration Test Cases'!$P$2:$P$31,"R21; R23",'Driver Registration Test Cases'!$L$2:$L$31,"&lt;&gt;OUT_OF_SCOPE",'Driver Registration Test Cases'!$L$2:$L$31,"&lt;&gt;SUPERSEDED",'Driver Registration Test Cases'!$N$2:$N$31,"NOT_RUN")+COUNTIFS('Driver Registration Test Cases'!$P$2:$P$31,"R21; R22",'Driver Registration Test Cases'!$L$2:$L$31,"&lt;&gt;OUT_OF_SCOPE",'Driver Registration Test Cases'!$L$2:$L$31,"&lt;&gt;SUPERSEDED",'Driver Registration Test Cases'!$N$2:$N$31,"NOT_RUN")</x:f>
        <x:v>18</x:v>
      </x:c>
      <x:c r="K22" s="14" t="str">
        <x:f>IF(D22=0,"CHƯA LIÊN KẾT",IF(H22&gt;0,"CÓ CA FAIL",IF(I22&gt;0,"CÓ CA BLOCKED",IF(F22&gt;0,"CẦN CHỐT THIẾT KẾ",IF(J22&gt;0,"CHƯA CHẠY ĐỦ","CA LIÊN KẾT ĐÃ PASS")))))</x:f>
        <x:v>CẦN CHỐT THIẾT KẾ</x:v>
      </x:c>
      <x:c r="L22" s="14" t="str">
        <x:v>Gửi/verify OTP, nộp dữ liệu cá nhân/xe, trạng thái chờ duyệt.</x:v>
      </x:c>
      <x:c r="M22" s="33"/>
      <x:c r="N22" s="33" t="str">
        <x:v>CHƯA CHẤM</x:v>
      </x:c>
    </x:row>
    <x:row r="23" ht="115" customHeight="1">
      <x:c r="A23" s="14" t="str">
        <x:v>R22</x:v>
      </x:c>
      <x:c r="B23" s="14" t="str">
        <x:v>Duyệt/từ chối Driver và thông báo</x:v>
      </x:c>
      <x:c r="C23" s="14" t="str">
        <x:v>TC-DREG-017
TC-DREG-018
TC-DREG-019
TC-DREG-020
TC-DREG-021
TC-DREG-022</x:v>
      </x:c>
      <x:c r="D23" s="34" t="n">
        <x:f>COUNTIFS('Admin Test Cases'!$P$2:$P$33,"R22",'Admin Test Cases'!$L$2:$L$33,"&lt;&gt;OUT_OF_SCOPE",'Admin Test Cases'!$L$2:$L$33,"&lt;&gt;SUPERSEDED")+COUNTIFS('Driver Registration Test Cases'!$P$2:$P$31,"R22; R07",'Driver Registration Test Cases'!$L$2:$L$31,"&lt;&gt;OUT_OF_SCOPE",'Driver Registration Test Cases'!$L$2:$L$31,"&lt;&gt;SUPERSEDED")+COUNTIFS('Driver Registration Test Cases'!$P$2:$P$31,"R22",'Driver Registration Test Cases'!$L$2:$L$31,"&lt;&gt;OUT_OF_SCOPE",'Driver Registration Test Cases'!$L$2:$L$31,"&lt;&gt;SUPERSEDED")+COUNTIFS('Driver Registration Test Cases'!$P$2:$P$31,"R22; R28",'Driver Registration Test Cases'!$L$2:$L$31,"&lt;&gt;OUT_OF_SCOPE",'Driver Registration Test Cases'!$L$2:$L$31,"&lt;&gt;SUPERSEDED")+COUNTIFS('Driver Registration Test Cases'!$P$2:$P$31,"R21; R22",'Driver Registration Test Cases'!$L$2:$L$31,"&lt;&gt;OUT_OF_SCOPE",'Driver Registration Test Cases'!$L$2:$L$31,"&lt;&gt;SUPERSEDED")</x:f>
        <x:v>12</x:v>
      </x:c>
      <x:c r="E23" s="34" t="n">
        <x:f>COUNTIFS('Admin Test Cases'!$P$2:$P$33,"R22",'Admin Test Cases'!$L$2:$L$33,"&lt;&gt;OUT_OF_SCOPE",'Admin Test Cases'!$L$2:$L$33,"&lt;&gt;SUPERSEDED",'Admin Test Cases'!$L$2:$L$33,"DEFINED")+COUNTIFS('Driver Registration Test Cases'!$P$2:$P$31,"R22; R07",'Driver Registration Test Cases'!$L$2:$L$31,"&lt;&gt;OUT_OF_SCOPE",'Driver Registration Test Cases'!$L$2:$L$31,"&lt;&gt;SUPERSEDED",'Driver Registration Test Cases'!$L$2:$L$31,"DEFINED")+COUNTIFS('Driver Registration Test Cases'!$P$2:$P$31,"R22",'Driver Registration Test Cases'!$L$2:$L$31,"&lt;&gt;OUT_OF_SCOPE",'Driver Registration Test Cases'!$L$2:$L$31,"&lt;&gt;SUPERSEDED",'Driver Registration Test Cases'!$L$2:$L$31,"DEFINED")+COUNTIFS('Driver Registration Test Cases'!$P$2:$P$31,"R22; R28",'Driver Registration Test Cases'!$L$2:$L$31,"&lt;&gt;OUT_OF_SCOPE",'Driver Registration Test Cases'!$L$2:$L$31,"&lt;&gt;SUPERSEDED",'Driver Registration Test Cases'!$L$2:$L$31,"DEFINED")+COUNTIFS('Driver Registration Test Cases'!$P$2:$P$31,"R21; R22",'Driver Registration Test Cases'!$L$2:$L$31,"&lt;&gt;OUT_OF_SCOPE",'Driver Registration Test Cases'!$L$2:$L$31,"&lt;&gt;SUPERSEDED",'Driver Registration Test Cases'!$L$2:$L$31,"DEFINED")</x:f>
        <x:v>12</x:v>
      </x:c>
      <x:c r="F23" s="34" t="n">
        <x:f>COUNTIFS('Admin Test Cases'!$P$2:$P$33,"R22",'Admin Test Cases'!$L$2:$L$33,"&lt;&gt;OUT_OF_SCOPE",'Admin Test Cases'!$L$2:$L$33,"&lt;&gt;SUPERSEDED",'Admin Test Cases'!$L$2:$L$33,"NEEDS_DECISION")+COUNTIFS('Driver Registration Test Cases'!$P$2:$P$31,"R22; R07",'Driver Registration Test Cases'!$L$2:$L$31,"&lt;&gt;OUT_OF_SCOPE",'Driver Registration Test Cases'!$L$2:$L$31,"&lt;&gt;SUPERSEDED",'Driver Registration Test Cases'!$L$2:$L$31,"NEEDS_DECISION")+COUNTIFS('Driver Registration Test Cases'!$P$2:$P$31,"R22",'Driver Registration Test Cases'!$L$2:$L$31,"&lt;&gt;OUT_OF_SCOPE",'Driver Registration Test Cases'!$L$2:$L$31,"&lt;&gt;SUPERSEDED",'Driver Registration Test Cases'!$L$2:$L$31,"NEEDS_DECISION")+COUNTIFS('Driver Registration Test Cases'!$P$2:$P$31,"R22; R28",'Driver Registration Test Cases'!$L$2:$L$31,"&lt;&gt;OUT_OF_SCOPE",'Driver Registration Test Cases'!$L$2:$L$31,"&lt;&gt;SUPERSEDED",'Driver Registration Test Cases'!$L$2:$L$31,"NEEDS_DECISION")+COUNTIFS('Driver Registration Test Cases'!$P$2:$P$31,"R21; R22",'Driver Registration Test Cases'!$L$2:$L$31,"&lt;&gt;OUT_OF_SCOPE",'Driver Registration Test Cases'!$L$2:$L$31,"&lt;&gt;SUPERSEDED",'Driver Registration Test Cases'!$L$2:$L$31,"NEEDS_DECISION")</x:f>
        <x:v>0</x:v>
      </x:c>
      <x:c r="G23" s="34" t="n">
        <x:f>COUNTIFS('Admin Test Cases'!$P$2:$P$33,"R22",'Admin Test Cases'!$L$2:$L$33,"&lt;&gt;OUT_OF_SCOPE",'Admin Test Cases'!$L$2:$L$33,"&lt;&gt;SUPERSEDED",'Admin Test Cases'!$N$2:$N$33,"PASS")+COUNTIFS('Driver Registration Test Cases'!$P$2:$P$31,"R22; R07",'Driver Registration Test Cases'!$L$2:$L$31,"&lt;&gt;OUT_OF_SCOPE",'Driver Registration Test Cases'!$L$2:$L$31,"&lt;&gt;SUPERSEDED",'Driver Registration Test Cases'!$N$2:$N$31,"PASS")+COUNTIFS('Driver Registration Test Cases'!$P$2:$P$31,"R22",'Driver Registration Test Cases'!$L$2:$L$31,"&lt;&gt;OUT_OF_SCOPE",'Driver Registration Test Cases'!$L$2:$L$31,"&lt;&gt;SUPERSEDED",'Driver Registration Test Cases'!$N$2:$N$31,"PASS")+COUNTIFS('Driver Registration Test Cases'!$P$2:$P$31,"R22; R28",'Driver Registration Test Cases'!$L$2:$L$31,"&lt;&gt;OUT_OF_SCOPE",'Driver Registration Test Cases'!$L$2:$L$31,"&lt;&gt;SUPERSEDED",'Driver Registration Test Cases'!$N$2:$N$31,"PASS")+COUNTIFS('Driver Registration Test Cases'!$P$2:$P$31,"R21; R22",'Driver Registration Test Cases'!$L$2:$L$31,"&lt;&gt;OUT_OF_SCOPE",'Driver Registration Test Cases'!$L$2:$L$31,"&lt;&gt;SUPERSEDED",'Driver Registration Test Cases'!$N$2:$N$31,"PASS")</x:f>
        <x:v>0</x:v>
      </x:c>
      <x:c r="H23" s="34" t="n">
        <x:f>COUNTIFS('Admin Test Cases'!$P$2:$P$33,"R22",'Admin Test Cases'!$L$2:$L$33,"&lt;&gt;OUT_OF_SCOPE",'Admin Test Cases'!$L$2:$L$33,"&lt;&gt;SUPERSEDED",'Admin Test Cases'!$N$2:$N$33,"FAIL")+COUNTIFS('Driver Registration Test Cases'!$P$2:$P$31,"R22; R07",'Driver Registration Test Cases'!$L$2:$L$31,"&lt;&gt;OUT_OF_SCOPE",'Driver Registration Test Cases'!$L$2:$L$31,"&lt;&gt;SUPERSEDED",'Driver Registration Test Cases'!$N$2:$N$31,"FAIL")+COUNTIFS('Driver Registration Test Cases'!$P$2:$P$31,"R22",'Driver Registration Test Cases'!$L$2:$L$31,"&lt;&gt;OUT_OF_SCOPE",'Driver Registration Test Cases'!$L$2:$L$31,"&lt;&gt;SUPERSEDED",'Driver Registration Test Cases'!$N$2:$N$31,"FAIL")+COUNTIFS('Driver Registration Test Cases'!$P$2:$P$31,"R22; R28",'Driver Registration Test Cases'!$L$2:$L$31,"&lt;&gt;OUT_OF_SCOPE",'Driver Registration Test Cases'!$L$2:$L$31,"&lt;&gt;SUPERSEDED",'Driver Registration Test Cases'!$N$2:$N$31,"FAIL")+COUNTIFS('Driver Registration Test Cases'!$P$2:$P$31,"R21; R22",'Driver Registration Test Cases'!$L$2:$L$31,"&lt;&gt;OUT_OF_SCOPE",'Driver Registration Test Cases'!$L$2:$L$31,"&lt;&gt;SUPERSEDED",'Driver Registration Test Cases'!$N$2:$N$31,"FAIL")</x:f>
        <x:v>0</x:v>
      </x:c>
      <x:c r="I23" s="34" t="n">
        <x:f>COUNTIFS('Admin Test Cases'!$P$2:$P$33,"R22",'Admin Test Cases'!$L$2:$L$33,"&lt;&gt;OUT_OF_SCOPE",'Admin Test Cases'!$L$2:$L$33,"&lt;&gt;SUPERSEDED",'Admin Test Cases'!$N$2:$N$33,"BLOCKED")+COUNTIFS('Driver Registration Test Cases'!$P$2:$P$31,"R22; R07",'Driver Registration Test Cases'!$L$2:$L$31,"&lt;&gt;OUT_OF_SCOPE",'Driver Registration Test Cases'!$L$2:$L$31,"&lt;&gt;SUPERSEDED",'Driver Registration Test Cases'!$N$2:$N$31,"BLOCKED")+COUNTIFS('Driver Registration Test Cases'!$P$2:$P$31,"R22",'Driver Registration Test Cases'!$L$2:$L$31,"&lt;&gt;OUT_OF_SCOPE",'Driver Registration Test Cases'!$L$2:$L$31,"&lt;&gt;SUPERSEDED",'Driver Registration Test Cases'!$N$2:$N$31,"BLOCKED")+COUNTIFS('Driver Registration Test Cases'!$P$2:$P$31,"R22; R28",'Driver Registration Test Cases'!$L$2:$L$31,"&lt;&gt;OUT_OF_SCOPE",'Driver Registration Test Cases'!$L$2:$L$31,"&lt;&gt;SUPERSEDED",'Driver Registration Test Cases'!$N$2:$N$31,"BLOCKED")+COUNTIFS('Driver Registration Test Cases'!$P$2:$P$31,"R21; R22",'Driver Registration Test Cases'!$L$2:$L$31,"&lt;&gt;OUT_OF_SCOPE",'Driver Registration Test Cases'!$L$2:$L$31,"&lt;&gt;SUPERSEDED",'Driver Registration Test Cases'!$N$2:$N$31,"BLOCKED")</x:f>
        <x:v>0</x:v>
      </x:c>
      <x:c r="J23" s="34" t="n">
        <x:f>COUNTIFS('Admin Test Cases'!$P$2:$P$33,"R22",'Admin Test Cases'!$L$2:$L$33,"&lt;&gt;OUT_OF_SCOPE",'Admin Test Cases'!$L$2:$L$33,"&lt;&gt;SUPERSEDED",'Admin Test Cases'!$N$2:$N$33,"NOT_RUN")+COUNTIFS('Driver Registration Test Cases'!$P$2:$P$31,"R22; R07",'Driver Registration Test Cases'!$L$2:$L$31,"&lt;&gt;OUT_OF_SCOPE",'Driver Registration Test Cases'!$L$2:$L$31,"&lt;&gt;SUPERSEDED",'Driver Registration Test Cases'!$N$2:$N$31,"NOT_RUN")+COUNTIFS('Driver Registration Test Cases'!$P$2:$P$31,"R22",'Driver Registration Test Cases'!$L$2:$L$31,"&lt;&gt;OUT_OF_SCOPE",'Driver Registration Test Cases'!$L$2:$L$31,"&lt;&gt;SUPERSEDED",'Driver Registration Test Cases'!$N$2:$N$31,"NOT_RUN")+COUNTIFS('Driver Registration Test Cases'!$P$2:$P$31,"R22; R28",'Driver Registration Test Cases'!$L$2:$L$31,"&lt;&gt;OUT_OF_SCOPE",'Driver Registration Test Cases'!$L$2:$L$31,"&lt;&gt;SUPERSEDED",'Driver Registration Test Cases'!$N$2:$N$31,"NOT_RUN")+COUNTIFS('Driver Registration Test Cases'!$P$2:$P$31,"R21; R22",'Driver Registration Test Cases'!$L$2:$L$31,"&lt;&gt;OUT_OF_SCOPE",'Driver Registration Test Cases'!$L$2:$L$31,"&lt;&gt;SUPERSEDED",'Driver Registration Test Cases'!$N$2:$N$31,"NOT_RUN")</x:f>
        <x:v>12</x:v>
      </x:c>
      <x:c r="K23" s="14" t="str">
        <x:f>IF(D23=0,"CHƯA LIÊN KẾT",IF(H23&gt;0,"CÓ CA FAIL",IF(I23&gt;0,"CÓ CA BLOCKED",IF(F23&gt;0,"CẦN CHỐT THIẾT KẾ",IF(J23&gt;0,"CHƯA CHẠY ĐỦ","CA LIÊN KẾT ĐÃ PASS")))))</x:f>
        <x:v>CHƯA CHẠY ĐỦ</x:v>
      </x:c>
      <x:c r="L23" s="14" t="str">
        <x:v>Quyết định, lý do, phân công xe, transaction và thông báo.</x:v>
      </x:c>
      <x:c r="M23" s="33"/>
      <x:c r="N23" s="33" t="str">
        <x:v>CHƯA CHẤM</x:v>
      </x:c>
    </x:row>
    <x:row r="24" ht="115" customHeight="1">
      <x:c r="A24" s="14" t="str">
        <x:v>R23</x:v>
      </x:c>
      <x:c r="B24" s="14" t="str">
        <x:v>Driver online/offline</x:v>
      </x:c>
      <x:c r="C24" s="14" t="str">
        <x:v>TC-DREG-016
TC-DREG-026
TC-DREG-027
TC-DREG-028
TC-ADMIN-024
TC-ADMIN-029</x:v>
      </x:c>
      <x:c r="D24" s="34" t="n">
        <x:f>COUNTIFS('Admin Test Cases'!$P$2:$P$33,"R23",'Admin Test Cases'!$L$2:$L$33,"&lt;&gt;OUT_OF_SCOPE",'Admin Test Cases'!$L$2:$L$33,"&lt;&gt;SUPERSEDED")+COUNTIFS('Driver Registration Test Cases'!$P$2:$P$31,"R21; R23",'Driver Registration Test Cases'!$L$2:$L$31,"&lt;&gt;OUT_OF_SCOPE",'Driver Registration Test Cases'!$L$2:$L$31,"&lt;&gt;SUPERSEDED")+COUNTIFS('Driver Registration Test Cases'!$P$2:$P$31,"R23",'Driver Registration Test Cases'!$L$2:$L$31,"&lt;&gt;OUT_OF_SCOPE",'Driver Registration Test Cases'!$L$2:$L$31,"&lt;&gt;SUPERSEDED")+COUNTIFS('Driver Registration Test Cases'!$P$2:$P$31,"R16; R23",'Driver Registration Test Cases'!$L$2:$L$31,"&lt;&gt;OUT_OF_SCOPE",'Driver Registration Test Cases'!$L$2:$L$31,"&lt;&gt;SUPERSEDED")</x:f>
        <x:v>6</x:v>
      </x:c>
      <x:c r="E24" s="34" t="n">
        <x:f>COUNTIFS('Admin Test Cases'!$P$2:$P$33,"R23",'Admin Test Cases'!$L$2:$L$33,"&lt;&gt;OUT_OF_SCOPE",'Admin Test Cases'!$L$2:$L$33,"&lt;&gt;SUPERSEDED",'Admin Test Cases'!$L$2:$L$33,"DEFINED")+COUNTIFS('Driver Registration Test Cases'!$P$2:$P$31,"R21; R23",'Driver Registration Test Cases'!$L$2:$L$31,"&lt;&gt;OUT_OF_SCOPE",'Driver Registration Test Cases'!$L$2:$L$31,"&lt;&gt;SUPERSEDED",'Driver Registration Test Cases'!$L$2:$L$31,"DEFINED")+COUNTIFS('Driver Registration Test Cases'!$P$2:$P$31,"R23",'Driver Registration Test Cases'!$L$2:$L$31,"&lt;&gt;OUT_OF_SCOPE",'Driver Registration Test Cases'!$L$2:$L$31,"&lt;&gt;SUPERSEDED",'Driver Registration Test Cases'!$L$2:$L$31,"DEFINED")+COUNTIFS('Driver Registration Test Cases'!$P$2:$P$31,"R16; R23",'Driver Registration Test Cases'!$L$2:$L$31,"&lt;&gt;OUT_OF_SCOPE",'Driver Registration Test Cases'!$L$2:$L$31,"&lt;&gt;SUPERSEDED",'Driver Registration Test Cases'!$L$2:$L$31,"DEFINED")</x:f>
        <x:v>6</x:v>
      </x:c>
      <x:c r="F24" s="34" t="n">
        <x:f>COUNTIFS('Admin Test Cases'!$P$2:$P$33,"R23",'Admin Test Cases'!$L$2:$L$33,"&lt;&gt;OUT_OF_SCOPE",'Admin Test Cases'!$L$2:$L$33,"&lt;&gt;SUPERSEDED",'Admin Test Cases'!$L$2:$L$33,"NEEDS_DECISION")+COUNTIFS('Driver Registration Test Cases'!$P$2:$P$31,"R21; R23",'Driver Registration Test Cases'!$L$2:$L$31,"&lt;&gt;OUT_OF_SCOPE",'Driver Registration Test Cases'!$L$2:$L$31,"&lt;&gt;SUPERSEDED",'Driver Registration Test Cases'!$L$2:$L$31,"NEEDS_DECISION")+COUNTIFS('Driver Registration Test Cases'!$P$2:$P$31,"R23",'Driver Registration Test Cases'!$L$2:$L$31,"&lt;&gt;OUT_OF_SCOPE",'Driver Registration Test Cases'!$L$2:$L$31,"&lt;&gt;SUPERSEDED",'Driver Registration Test Cases'!$L$2:$L$31,"NEEDS_DECISION")+COUNTIFS('Driver Registration Test Cases'!$P$2:$P$31,"R16; R23",'Driver Registration Test Cases'!$L$2:$L$31,"&lt;&gt;OUT_OF_SCOPE",'Driver Registration Test Cases'!$L$2:$L$31,"&lt;&gt;SUPERSEDED",'Driver Registration Test Cases'!$L$2:$L$31,"NEEDS_DECISION")</x:f>
        <x:v>0</x:v>
      </x:c>
      <x:c r="G24" s="34" t="n">
        <x:f>COUNTIFS('Admin Test Cases'!$P$2:$P$33,"R23",'Admin Test Cases'!$L$2:$L$33,"&lt;&gt;OUT_OF_SCOPE",'Admin Test Cases'!$L$2:$L$33,"&lt;&gt;SUPERSEDED",'Admin Test Cases'!$N$2:$N$33,"PASS")+COUNTIFS('Driver Registration Test Cases'!$P$2:$P$31,"R21; R23",'Driver Registration Test Cases'!$L$2:$L$31,"&lt;&gt;OUT_OF_SCOPE",'Driver Registration Test Cases'!$L$2:$L$31,"&lt;&gt;SUPERSEDED",'Driver Registration Test Cases'!$N$2:$N$31,"PASS")+COUNTIFS('Driver Registration Test Cases'!$P$2:$P$31,"R23",'Driver Registration Test Cases'!$L$2:$L$31,"&lt;&gt;OUT_OF_SCOPE",'Driver Registration Test Cases'!$L$2:$L$31,"&lt;&gt;SUPERSEDED",'Driver Registration Test Cases'!$N$2:$N$31,"PASS")+COUNTIFS('Driver Registration Test Cases'!$P$2:$P$31,"R16; R23",'Driver Registration Test Cases'!$L$2:$L$31,"&lt;&gt;OUT_OF_SCOPE",'Driver Registration Test Cases'!$L$2:$L$31,"&lt;&gt;SUPERSEDED",'Driver Registration Test Cases'!$N$2:$N$31,"PASS")</x:f>
        <x:v>0</x:v>
      </x:c>
      <x:c r="H24" s="34" t="n">
        <x:f>COUNTIFS('Admin Test Cases'!$P$2:$P$33,"R23",'Admin Test Cases'!$L$2:$L$33,"&lt;&gt;OUT_OF_SCOPE",'Admin Test Cases'!$L$2:$L$33,"&lt;&gt;SUPERSEDED",'Admin Test Cases'!$N$2:$N$33,"FAIL")+COUNTIFS('Driver Registration Test Cases'!$P$2:$P$31,"R21; R23",'Driver Registration Test Cases'!$L$2:$L$31,"&lt;&gt;OUT_OF_SCOPE",'Driver Registration Test Cases'!$L$2:$L$31,"&lt;&gt;SUPERSEDED",'Driver Registration Test Cases'!$N$2:$N$31,"FAIL")+COUNTIFS('Driver Registration Test Cases'!$P$2:$P$31,"R23",'Driver Registration Test Cases'!$L$2:$L$31,"&lt;&gt;OUT_OF_SCOPE",'Driver Registration Test Cases'!$L$2:$L$31,"&lt;&gt;SUPERSEDED",'Driver Registration Test Cases'!$N$2:$N$31,"FAIL")+COUNTIFS('Driver Registration Test Cases'!$P$2:$P$31,"R16; R23",'Driver Registration Test Cases'!$L$2:$L$31,"&lt;&gt;OUT_OF_SCOPE",'Driver Registration Test Cases'!$L$2:$L$31,"&lt;&gt;SUPERSEDED",'Driver Registration Test Cases'!$N$2:$N$31,"FAIL")</x:f>
        <x:v>0</x:v>
      </x:c>
      <x:c r="I24" s="34" t="n">
        <x:f>COUNTIFS('Admin Test Cases'!$P$2:$P$33,"R23",'Admin Test Cases'!$L$2:$L$33,"&lt;&gt;OUT_OF_SCOPE",'Admin Test Cases'!$L$2:$L$33,"&lt;&gt;SUPERSEDED",'Admin Test Cases'!$N$2:$N$33,"BLOCKED")+COUNTIFS('Driver Registration Test Cases'!$P$2:$P$31,"R21; R23",'Driver Registration Test Cases'!$L$2:$L$31,"&lt;&gt;OUT_OF_SCOPE",'Driver Registration Test Cases'!$L$2:$L$31,"&lt;&gt;SUPERSEDED",'Driver Registration Test Cases'!$N$2:$N$31,"BLOCKED")+COUNTIFS('Driver Registration Test Cases'!$P$2:$P$31,"R23",'Driver Registration Test Cases'!$L$2:$L$31,"&lt;&gt;OUT_OF_SCOPE",'Driver Registration Test Cases'!$L$2:$L$31,"&lt;&gt;SUPERSEDED",'Driver Registration Test Cases'!$N$2:$N$31,"BLOCKED")+COUNTIFS('Driver Registration Test Cases'!$P$2:$P$31,"R16; R23",'Driver Registration Test Cases'!$L$2:$L$31,"&lt;&gt;OUT_OF_SCOPE",'Driver Registration Test Cases'!$L$2:$L$31,"&lt;&gt;SUPERSEDED",'Driver Registration Test Cases'!$N$2:$N$31,"BLOCKED")</x:f>
        <x:v>0</x:v>
      </x:c>
      <x:c r="J24" s="34" t="n">
        <x:f>COUNTIFS('Admin Test Cases'!$P$2:$P$33,"R23",'Admin Test Cases'!$L$2:$L$33,"&lt;&gt;OUT_OF_SCOPE",'Admin Test Cases'!$L$2:$L$33,"&lt;&gt;SUPERSEDED",'Admin Test Cases'!$N$2:$N$33,"NOT_RUN")+COUNTIFS('Driver Registration Test Cases'!$P$2:$P$31,"R21; R23",'Driver Registration Test Cases'!$L$2:$L$31,"&lt;&gt;OUT_OF_SCOPE",'Driver Registration Test Cases'!$L$2:$L$31,"&lt;&gt;SUPERSEDED",'Driver Registration Test Cases'!$N$2:$N$31,"NOT_RUN")+COUNTIFS('Driver Registration Test Cases'!$P$2:$P$31,"R23",'Driver Registration Test Cases'!$L$2:$L$31,"&lt;&gt;OUT_OF_SCOPE",'Driver Registration Test Cases'!$L$2:$L$31,"&lt;&gt;SUPERSEDED",'Driver Registration Test Cases'!$N$2:$N$31,"NOT_RUN")+COUNTIFS('Driver Registration Test Cases'!$P$2:$P$31,"R16; R23",'Driver Registration Test Cases'!$L$2:$L$31,"&lt;&gt;OUT_OF_SCOPE",'Driver Registration Test Cases'!$L$2:$L$31,"&lt;&gt;SUPERSEDED",'Driver Registration Test Cases'!$N$2:$N$31,"NOT_RUN")</x:f>
        <x:v>6</x:v>
      </x:c>
      <x:c r="K24" s="14" t="str">
        <x:f>IF(D24=0,"CHƯA LIÊN KẾT",IF(H24&gt;0,"CÓ CA FAIL",IF(I24&gt;0,"CÓ CA BLOCKED",IF(F24&gt;0,"CẦN CHỐT THIẾT KẾ",IF(J24&gt;0,"CHƯA CHẠY ĐỦ","CA LIÊN KẾT ĐÃ PASS")))))</x:f>
        <x:v>CHƯA CHẠY ĐỦ</x:v>
      </x:c>
      <x:c r="L24" s="14" t="str">
        <x:v>Điều kiện APPROVED/xe/GPS/Trip và xung đột accept.</x:v>
      </x:c>
      <x:c r="M24" s="33"/>
      <x:c r="N24" s="33" t="str">
        <x:v>CHƯA CHẤM</x:v>
      </x:c>
    </x:row>
    <x:row r="25" ht="115" customHeight="1">
      <x:c r="A25" s="14" t="str">
        <x:v>R24</x:v>
      </x:c>
      <x:c r="B25" s="14" t="str">
        <x:v>Bảo vệ dữ liệu lưu trữ</x:v>
      </x:c>
      <x:c r="C25" s="14" t="str">
        <x:v>TC-SEC-001
TC-SEC-002
TC-SEC-003
TC-SEC-004
TC-SEC-019</x:v>
      </x:c>
      <x:c r="D25" s="34" t="n">
        <x:f>COUNTIFS('Security Test Cases'!$P$2:$P$20,"R24",'Security Test Cases'!$L$2:$L$20,"&lt;&gt;OUT_OF_SCOPE",'Security Test Cases'!$L$2:$L$20,"&lt;&gt;SUPERSEDED")+COUNTIFS('Security Test Cases'!$P$2:$P$20,"R02; R24",'Security Test Cases'!$L$2:$L$20,"&lt;&gt;OUT_OF_SCOPE",'Security Test Cases'!$L$2:$L$20,"&lt;&gt;SUPERSEDED")</x:f>
        <x:v>5</x:v>
      </x:c>
      <x:c r="E25" s="34" t="n">
        <x:f>COUNTIFS('Security Test Cases'!$P$2:$P$20,"R24",'Security Test Cases'!$L$2:$L$20,"&lt;&gt;OUT_OF_SCOPE",'Security Test Cases'!$L$2:$L$20,"&lt;&gt;SUPERSEDED",'Security Test Cases'!$L$2:$L$20,"DEFINED")+COUNTIFS('Security Test Cases'!$P$2:$P$20,"R02; R24",'Security Test Cases'!$L$2:$L$20,"&lt;&gt;OUT_OF_SCOPE",'Security Test Cases'!$L$2:$L$20,"&lt;&gt;SUPERSEDED",'Security Test Cases'!$L$2:$L$20,"DEFINED")</x:f>
        <x:v>5</x:v>
      </x:c>
      <x:c r="F25" s="34" t="n">
        <x:f>COUNTIFS('Security Test Cases'!$P$2:$P$20,"R24",'Security Test Cases'!$L$2:$L$20,"&lt;&gt;OUT_OF_SCOPE",'Security Test Cases'!$L$2:$L$20,"&lt;&gt;SUPERSEDED",'Security Test Cases'!$L$2:$L$20,"NEEDS_DECISION")+COUNTIFS('Security Test Cases'!$P$2:$P$20,"R02; R24",'Security Test Cases'!$L$2:$L$20,"&lt;&gt;OUT_OF_SCOPE",'Security Test Cases'!$L$2:$L$20,"&lt;&gt;SUPERSEDED",'Security Test Cases'!$L$2:$L$20,"NEEDS_DECISION")</x:f>
        <x:v>0</x:v>
      </x:c>
      <x:c r="G25" s="34" t="n">
        <x:f>COUNTIFS('Security Test Cases'!$P$2:$P$20,"R24",'Security Test Cases'!$L$2:$L$20,"&lt;&gt;OUT_OF_SCOPE",'Security Test Cases'!$L$2:$L$20,"&lt;&gt;SUPERSEDED",'Security Test Cases'!$N$2:$N$20,"PASS")+COUNTIFS('Security Test Cases'!$P$2:$P$20,"R02; R24",'Security Test Cases'!$L$2:$L$20,"&lt;&gt;OUT_OF_SCOPE",'Security Test Cases'!$L$2:$L$20,"&lt;&gt;SUPERSEDED",'Security Test Cases'!$N$2:$N$20,"PASS")</x:f>
        <x:v>0</x:v>
      </x:c>
      <x:c r="H25" s="34" t="n">
        <x:f>COUNTIFS('Security Test Cases'!$P$2:$P$20,"R24",'Security Test Cases'!$L$2:$L$20,"&lt;&gt;OUT_OF_SCOPE",'Security Test Cases'!$L$2:$L$20,"&lt;&gt;SUPERSEDED",'Security Test Cases'!$N$2:$N$20,"FAIL")+COUNTIFS('Security Test Cases'!$P$2:$P$20,"R02; R24",'Security Test Cases'!$L$2:$L$20,"&lt;&gt;OUT_OF_SCOPE",'Security Test Cases'!$L$2:$L$20,"&lt;&gt;SUPERSEDED",'Security Test Cases'!$N$2:$N$20,"FAIL")</x:f>
        <x:v>0</x:v>
      </x:c>
      <x:c r="I25" s="34" t="n">
        <x:f>COUNTIFS('Security Test Cases'!$P$2:$P$20,"R24",'Security Test Cases'!$L$2:$L$20,"&lt;&gt;OUT_OF_SCOPE",'Security Test Cases'!$L$2:$L$20,"&lt;&gt;SUPERSEDED",'Security Test Cases'!$N$2:$N$20,"BLOCKED")+COUNTIFS('Security Test Cases'!$P$2:$P$20,"R02; R24",'Security Test Cases'!$L$2:$L$20,"&lt;&gt;OUT_OF_SCOPE",'Security Test Cases'!$L$2:$L$20,"&lt;&gt;SUPERSEDED",'Security Test Cases'!$N$2:$N$20,"BLOCKED")</x:f>
        <x:v>0</x:v>
      </x:c>
      <x:c r="J25" s="34" t="n">
        <x:f>COUNTIFS('Security Test Cases'!$P$2:$P$20,"R24",'Security Test Cases'!$L$2:$L$20,"&lt;&gt;OUT_OF_SCOPE",'Security Test Cases'!$L$2:$L$20,"&lt;&gt;SUPERSEDED",'Security Test Cases'!$N$2:$N$20,"NOT_RUN")+COUNTIFS('Security Test Cases'!$P$2:$P$20,"R02; R24",'Security Test Cases'!$L$2:$L$20,"&lt;&gt;OUT_OF_SCOPE",'Security Test Cases'!$L$2:$L$20,"&lt;&gt;SUPERSEDED",'Security Test Cases'!$N$2:$N$20,"NOT_RUN")</x:f>
        <x:v>5</x:v>
      </x:c>
      <x:c r="K25" s="14" t="str">
        <x:f>IF(D25=0,"CHƯA LIÊN KẾT",IF(H25&gt;0,"CÓ CA FAIL",IF(I25&gt;0,"CÓ CA BLOCKED",IF(F25&gt;0,"CẦN CHỐT THIẾT KẾ",IF(J25&gt;0,"CHƯA CHẠY ĐỦ","CA LIÊN KẾT ĐÃ PASS")))))</x:f>
        <x:v>CHƯA CHẠY ĐỦ</x:v>
      </x:c>
      <x:c r="L25" s="14" t="str">
        <x:v>Email/phone/license mã hóa; HMAC lookup; mật khẩu hash; quản lý khóa.</x:v>
      </x:c>
      <x:c r="M25" s="33"/>
      <x:c r="N25" s="33" t="str">
        <x:v>CHƯA CHẤM</x:v>
      </x:c>
    </x:row>
    <x:row r="26" ht="115" customHeight="1">
      <x:c r="A26" s="14" t="str">
        <x:v>R25</x:v>
      </x:c>
      <x:c r="B26" s="14" t="str">
        <x:v>Chống SQL injection</x:v>
      </x:c>
      <x:c r="C26" s="14" t="str">
        <x:v>TC-SEC-005
TC-SEC-006
TC-SEC-007</x:v>
      </x:c>
      <x:c r="D26" s="34" t="n">
        <x:f>COUNTIFS('Security Test Cases'!$P$2:$P$20,"R25",'Security Test Cases'!$L$2:$L$20,"&lt;&gt;OUT_OF_SCOPE",'Security Test Cases'!$L$2:$L$20,"&lt;&gt;SUPERSEDED")</x:f>
        <x:v>3</x:v>
      </x:c>
      <x:c r="E26" s="34" t="n">
        <x:f>COUNTIFS('Security Test Cases'!$P$2:$P$20,"R25",'Security Test Cases'!$L$2:$L$20,"&lt;&gt;OUT_OF_SCOPE",'Security Test Cases'!$L$2:$L$20,"&lt;&gt;SUPERSEDED",'Security Test Cases'!$L$2:$L$20,"DEFINED")</x:f>
        <x:v>3</x:v>
      </x:c>
      <x:c r="F26" s="34" t="n">
        <x:f>COUNTIFS('Security Test Cases'!$P$2:$P$20,"R25",'Security Test Cases'!$L$2:$L$20,"&lt;&gt;OUT_OF_SCOPE",'Security Test Cases'!$L$2:$L$20,"&lt;&gt;SUPERSEDED",'Security Test Cases'!$L$2:$L$20,"NEEDS_DECISION")</x:f>
        <x:v>0</x:v>
      </x:c>
      <x:c r="G26" s="34" t="n">
        <x:f>COUNTIFS('Security Test Cases'!$P$2:$P$20,"R25",'Security Test Cases'!$L$2:$L$20,"&lt;&gt;OUT_OF_SCOPE",'Security Test Cases'!$L$2:$L$20,"&lt;&gt;SUPERSEDED",'Security Test Cases'!$N$2:$N$20,"PASS")</x:f>
        <x:v>0</x:v>
      </x:c>
      <x:c r="H26" s="34" t="n">
        <x:f>COUNTIFS('Security Test Cases'!$P$2:$P$20,"R25",'Security Test Cases'!$L$2:$L$20,"&lt;&gt;OUT_OF_SCOPE",'Security Test Cases'!$L$2:$L$20,"&lt;&gt;SUPERSEDED",'Security Test Cases'!$N$2:$N$20,"FAIL")</x:f>
        <x:v>0</x:v>
      </x:c>
      <x:c r="I26" s="34" t="n">
        <x:f>COUNTIFS('Security Test Cases'!$P$2:$P$20,"R25",'Security Test Cases'!$L$2:$L$20,"&lt;&gt;OUT_OF_SCOPE",'Security Test Cases'!$L$2:$L$20,"&lt;&gt;SUPERSEDED",'Security Test Cases'!$N$2:$N$20,"BLOCKED")</x:f>
        <x:v>0</x:v>
      </x:c>
      <x:c r="J26" s="34" t="n">
        <x:f>COUNTIFS('Security Test Cases'!$P$2:$P$20,"R25",'Security Test Cases'!$L$2:$L$20,"&lt;&gt;OUT_OF_SCOPE",'Security Test Cases'!$L$2:$L$20,"&lt;&gt;SUPERSEDED",'Security Test Cases'!$N$2:$N$20,"NOT_RUN")</x:f>
        <x:v>3</x:v>
      </x:c>
      <x:c r="K26" s="14" t="str">
        <x:f>IF(D26=0,"CHƯA LIÊN KẾT",IF(H26&gt;0,"CÓ CA FAIL",IF(I26&gt;0,"CÓ CA BLOCKED",IF(F26&gt;0,"CẦN CHỐT THIẾT KẾ",IF(J26&gt;0,"CHƯA CHẠY ĐỦ","CA LIÊN KẾT ĐÃ PASS")))))</x:f>
        <x:v>CHƯA CHẠY ĐỦ</x:v>
      </x:c>
      <x:c r="L26" s="14" t="str">
        <x:v>Payload tấn công không vượt xác thực hoặc thực thi SQL; 400/401 ở fixture tương ứng.</x:v>
      </x:c>
      <x:c r="M26" s="33"/>
      <x:c r="N26" s="33" t="str">
        <x:v>CHƯA CHẤM</x:v>
      </x:c>
    </x:row>
    <x:row r="27" ht="115" customHeight="1">
      <x:c r="A27" s="14" t="str">
        <x:v>R26</x:v>
      </x:c>
      <x:c r="B27" s="14" t="str">
        <x:v>Chống XSS</x:v>
      </x:c>
      <x:c r="C27" s="14" t="str">
        <x:v>TC-SEC-008
TC-SEC-009</x:v>
      </x:c>
      <x:c r="D27" s="34" t="n">
        <x:f>COUNTIFS('Security Test Cases'!$P$2:$P$20,"R26",'Security Test Cases'!$L$2:$L$20,"&lt;&gt;OUT_OF_SCOPE",'Security Test Cases'!$L$2:$L$20,"&lt;&gt;SUPERSEDED")</x:f>
        <x:v>2</x:v>
      </x:c>
      <x:c r="E27" s="34" t="n">
        <x:f>COUNTIFS('Security Test Cases'!$P$2:$P$20,"R26",'Security Test Cases'!$L$2:$L$20,"&lt;&gt;OUT_OF_SCOPE",'Security Test Cases'!$L$2:$L$20,"&lt;&gt;SUPERSEDED",'Security Test Cases'!$L$2:$L$20,"DEFINED")</x:f>
        <x:v>2</x:v>
      </x:c>
      <x:c r="F27" s="34" t="n">
        <x:f>COUNTIFS('Security Test Cases'!$P$2:$P$20,"R26",'Security Test Cases'!$L$2:$L$20,"&lt;&gt;OUT_OF_SCOPE",'Security Test Cases'!$L$2:$L$20,"&lt;&gt;SUPERSEDED",'Security Test Cases'!$L$2:$L$20,"NEEDS_DECISION")</x:f>
        <x:v>0</x:v>
      </x:c>
      <x:c r="G27" s="34" t="n">
        <x:f>COUNTIFS('Security Test Cases'!$P$2:$P$20,"R26",'Security Test Cases'!$L$2:$L$20,"&lt;&gt;OUT_OF_SCOPE",'Security Test Cases'!$L$2:$L$20,"&lt;&gt;SUPERSEDED",'Security Test Cases'!$N$2:$N$20,"PASS")</x:f>
        <x:v>0</x:v>
      </x:c>
      <x:c r="H27" s="34" t="n">
        <x:f>COUNTIFS('Security Test Cases'!$P$2:$P$20,"R26",'Security Test Cases'!$L$2:$L$20,"&lt;&gt;OUT_OF_SCOPE",'Security Test Cases'!$L$2:$L$20,"&lt;&gt;SUPERSEDED",'Security Test Cases'!$N$2:$N$20,"FAIL")</x:f>
        <x:v>0</x:v>
      </x:c>
      <x:c r="I27" s="34" t="n">
        <x:f>COUNTIFS('Security Test Cases'!$P$2:$P$20,"R26",'Security Test Cases'!$L$2:$L$20,"&lt;&gt;OUT_OF_SCOPE",'Security Test Cases'!$L$2:$L$20,"&lt;&gt;SUPERSEDED",'Security Test Cases'!$N$2:$N$20,"BLOCKED")</x:f>
        <x:v>0</x:v>
      </x:c>
      <x:c r="J27" s="34" t="n">
        <x:f>COUNTIFS('Security Test Cases'!$P$2:$P$20,"R26",'Security Test Cases'!$L$2:$L$20,"&lt;&gt;OUT_OF_SCOPE",'Security Test Cases'!$L$2:$L$20,"&lt;&gt;SUPERSEDED",'Security Test Cases'!$N$2:$N$20,"NOT_RUN")</x:f>
        <x:v>2</x:v>
      </x:c>
      <x:c r="K27" s="14" t="str">
        <x:f>IF(D27=0,"CHƯA LIÊN KẾT",IF(H27&gt;0,"CÓ CA FAIL",IF(I27&gt;0,"CÓ CA BLOCKED",IF(F27&gt;0,"CẦN CHỐT THIẾT KẾ",IF(J27&gt;0,"CHƯA CHẠY ĐỦ","CA LIÊN KẾT ĐÃ PASS")))))</x:f>
        <x:v>CHƯA CHẠY ĐỦ</x:v>
      </x:c>
      <x:c r="L27" s="14" t="str">
        <x:v>Kiểm tra trên trình duyệt nhiều vai trò; không thực thi script lưu/phản xạ.</x:v>
      </x:c>
      <x:c r="M27" s="33"/>
      <x:c r="N27" s="33" t="str">
        <x:v>CHƯA CHẤM</x:v>
      </x:c>
    </x:row>
    <x:row r="28" ht="115" customHeight="1">
      <x:c r="A28" s="14" t="str">
        <x:v>R27</x:v>
      </x:c>
      <x:c r="B28" s="14" t="str">
        <x:v>JWT bị sửa bị từ chối</x:v>
      </x:c>
      <x:c r="C28" s="14" t="str">
        <x:v>TC-SEC-010
TC-SEC-011
TC-SEC-012
TC-RATING-027</x:v>
      </x:c>
      <x:c r="D28" s="34" t="n">
        <x:f>COUNTIFS('Rating Test Cases'!$P$2:$P$33,"R20; R27",'Rating Test Cases'!$L$2:$L$33,"&lt;&gt;OUT_OF_SCOPE",'Rating Test Cases'!$L$2:$L$33,"&lt;&gt;SUPERSEDED")+COUNTIFS('Security Test Cases'!$P$2:$P$20,"R27",'Security Test Cases'!$L$2:$L$20,"&lt;&gt;OUT_OF_SCOPE",'Security Test Cases'!$L$2:$L$20,"&lt;&gt;SUPERSEDED")</x:f>
        <x:v>4</x:v>
      </x:c>
      <x:c r="E28" s="34" t="n">
        <x:f>COUNTIFS('Rating Test Cases'!$P$2:$P$33,"R20; R27",'Rating Test Cases'!$L$2:$L$33,"&lt;&gt;OUT_OF_SCOPE",'Rating Test Cases'!$L$2:$L$33,"&lt;&gt;SUPERSEDED",'Rating Test Cases'!$L$2:$L$33,"DEFINED")+COUNTIFS('Security Test Cases'!$P$2:$P$20,"R27",'Security Test Cases'!$L$2:$L$20,"&lt;&gt;OUT_OF_SCOPE",'Security Test Cases'!$L$2:$L$20,"&lt;&gt;SUPERSEDED",'Security Test Cases'!$L$2:$L$20,"DEFINED")</x:f>
        <x:v>4</x:v>
      </x:c>
      <x:c r="F28" s="34" t="n">
        <x:f>COUNTIFS('Rating Test Cases'!$P$2:$P$33,"R20; R27",'Rating Test Cases'!$L$2:$L$33,"&lt;&gt;OUT_OF_SCOPE",'Rating Test Cases'!$L$2:$L$33,"&lt;&gt;SUPERSEDED",'Rating Test Cases'!$L$2:$L$33,"NEEDS_DECISION")+COUNTIFS('Security Test Cases'!$P$2:$P$20,"R27",'Security Test Cases'!$L$2:$L$20,"&lt;&gt;OUT_OF_SCOPE",'Security Test Cases'!$L$2:$L$20,"&lt;&gt;SUPERSEDED",'Security Test Cases'!$L$2:$L$20,"NEEDS_DECISION")</x:f>
        <x:v>0</x:v>
      </x:c>
      <x:c r="G28" s="34" t="n">
        <x:f>COUNTIFS('Rating Test Cases'!$P$2:$P$33,"R20; R27",'Rating Test Cases'!$L$2:$L$33,"&lt;&gt;OUT_OF_SCOPE",'Rating Test Cases'!$L$2:$L$33,"&lt;&gt;SUPERSEDED",'Rating Test Cases'!$N$2:$N$33,"PASS")+COUNTIFS('Security Test Cases'!$P$2:$P$20,"R27",'Security Test Cases'!$L$2:$L$20,"&lt;&gt;OUT_OF_SCOPE",'Security Test Cases'!$L$2:$L$20,"&lt;&gt;SUPERSEDED",'Security Test Cases'!$N$2:$N$20,"PASS")</x:f>
        <x:v>0</x:v>
      </x:c>
      <x:c r="H28" s="34" t="n">
        <x:f>COUNTIFS('Rating Test Cases'!$P$2:$P$33,"R20; R27",'Rating Test Cases'!$L$2:$L$33,"&lt;&gt;OUT_OF_SCOPE",'Rating Test Cases'!$L$2:$L$33,"&lt;&gt;SUPERSEDED",'Rating Test Cases'!$N$2:$N$33,"FAIL")+COUNTIFS('Security Test Cases'!$P$2:$P$20,"R27",'Security Test Cases'!$L$2:$L$20,"&lt;&gt;OUT_OF_SCOPE",'Security Test Cases'!$L$2:$L$20,"&lt;&gt;SUPERSEDED",'Security Test Cases'!$N$2:$N$20,"FAIL")</x:f>
        <x:v>0</x:v>
      </x:c>
      <x:c r="I28" s="34" t="n">
        <x:f>COUNTIFS('Rating Test Cases'!$P$2:$P$33,"R20; R27",'Rating Test Cases'!$L$2:$L$33,"&lt;&gt;OUT_OF_SCOPE",'Rating Test Cases'!$L$2:$L$33,"&lt;&gt;SUPERSEDED",'Rating Test Cases'!$N$2:$N$33,"BLOCKED")+COUNTIFS('Security Test Cases'!$P$2:$P$20,"R27",'Security Test Cases'!$L$2:$L$20,"&lt;&gt;OUT_OF_SCOPE",'Security Test Cases'!$L$2:$L$20,"&lt;&gt;SUPERSEDED",'Security Test Cases'!$N$2:$N$20,"BLOCKED")</x:f>
        <x:v>0</x:v>
      </x:c>
      <x:c r="J28" s="34" t="n">
        <x:f>COUNTIFS('Rating Test Cases'!$P$2:$P$33,"R20; R27",'Rating Test Cases'!$L$2:$L$33,"&lt;&gt;OUT_OF_SCOPE",'Rating Test Cases'!$L$2:$L$33,"&lt;&gt;SUPERSEDED",'Rating Test Cases'!$N$2:$N$33,"NOT_RUN")+COUNTIFS('Security Test Cases'!$P$2:$P$20,"R27",'Security Test Cases'!$L$2:$L$20,"&lt;&gt;OUT_OF_SCOPE",'Security Test Cases'!$L$2:$L$20,"&lt;&gt;SUPERSEDED",'Security Test Cases'!$N$2:$N$20,"NOT_RUN")</x:f>
        <x:v>4</x:v>
      </x:c>
      <x:c r="K28" s="14" t="str">
        <x:f>IF(D28=0,"CHƯA LIÊN KẾT",IF(H28&gt;0,"CÓ CA FAIL",IF(I28&gt;0,"CÓ CA BLOCKED",IF(F28&gt;0,"CẦN CHỐT THIẾT KẾ",IF(J28&gt;0,"CHƯA CHẠY ĐỦ","CA LIÊN KẾT ĐÃ PASS")))))</x:f>
        <x:v>CHƯA CHẠY ĐỦ</x:v>
      </x:c>
      <x:c r="L28" s="14" t="str">
        <x:v>Token bị sửa hoặc không hợp lệ nhận 401.</x:v>
      </x:c>
      <x:c r="M28" s="33"/>
      <x:c r="N28" s="33" t="str">
        <x:v>CHƯA CHẤM</x:v>
      </x:c>
    </x:row>
    <x:row r="29" ht="115" customHeight="1">
      <x:c r="A29" s="14" t="str">
        <x:v>R28</x:v>
      </x:c>
      <x:c r="B29" s="14" t="str">
        <x:v>Customer không gọi chức năng Driver</x:v>
      </x:c>
      <x:c r="C29" s="14" t="str">
        <x:v>TC-DREG-025
TC-SEC-013
TC-SEC-014
TC-RATING-030
TC-ADMIN-009</x:v>
      </x:c>
      <x:c r="D29" s="34" t="n">
        <x:f>COUNTIFS('Rating Test Cases'!$P$2:$P$33,"R20; R28",'Rating Test Cases'!$L$2:$L$33,"&lt;&gt;OUT_OF_SCOPE",'Rating Test Cases'!$L$2:$L$33,"&lt;&gt;SUPERSEDED")+COUNTIFS('Admin Test Cases'!$P$2:$P$33,"R28",'Admin Test Cases'!$L$2:$L$33,"&lt;&gt;OUT_OF_SCOPE",'Admin Test Cases'!$L$2:$L$33,"&lt;&gt;SUPERSEDED")+COUNTIFS('Driver Registration Test Cases'!$P$2:$P$31,"R22; R28",'Driver Registration Test Cases'!$L$2:$L$31,"&lt;&gt;OUT_OF_SCOPE",'Driver Registration Test Cases'!$L$2:$L$31,"&lt;&gt;SUPERSEDED")+COUNTIFS('Security Test Cases'!$P$2:$P$20,"R28",'Security Test Cases'!$L$2:$L$20,"&lt;&gt;OUT_OF_SCOPE",'Security Test Cases'!$L$2:$L$20,"&lt;&gt;SUPERSEDED")</x:f>
        <x:v>5</x:v>
      </x:c>
      <x:c r="E29" s="34" t="n">
        <x:f>COUNTIFS('Rating Test Cases'!$P$2:$P$33,"R20; R28",'Rating Test Cases'!$L$2:$L$33,"&lt;&gt;OUT_OF_SCOPE",'Rating Test Cases'!$L$2:$L$33,"&lt;&gt;SUPERSEDED",'Rating Test Cases'!$L$2:$L$33,"DEFINED")+COUNTIFS('Admin Test Cases'!$P$2:$P$33,"R28",'Admin Test Cases'!$L$2:$L$33,"&lt;&gt;OUT_OF_SCOPE",'Admin Test Cases'!$L$2:$L$33,"&lt;&gt;SUPERSEDED",'Admin Test Cases'!$L$2:$L$33,"DEFINED")+COUNTIFS('Driver Registration Test Cases'!$P$2:$P$31,"R22; R28",'Driver Registration Test Cases'!$L$2:$L$31,"&lt;&gt;OUT_OF_SCOPE",'Driver Registration Test Cases'!$L$2:$L$31,"&lt;&gt;SUPERSEDED",'Driver Registration Test Cases'!$L$2:$L$31,"DEFINED")+COUNTIFS('Security Test Cases'!$P$2:$P$20,"R28",'Security Test Cases'!$L$2:$L$20,"&lt;&gt;OUT_OF_SCOPE",'Security Test Cases'!$L$2:$L$20,"&lt;&gt;SUPERSEDED",'Security Test Cases'!$L$2:$L$20,"DEFINED")</x:f>
        <x:v>5</x:v>
      </x:c>
      <x:c r="F29" s="34" t="n">
        <x:f>COUNTIFS('Rating Test Cases'!$P$2:$P$33,"R20; R28",'Rating Test Cases'!$L$2:$L$33,"&lt;&gt;OUT_OF_SCOPE",'Rating Test Cases'!$L$2:$L$33,"&lt;&gt;SUPERSEDED",'Rating Test Cases'!$L$2:$L$33,"NEEDS_DECISION")+COUNTIFS('Admin Test Cases'!$P$2:$P$33,"R28",'Admin Test Cases'!$L$2:$L$33,"&lt;&gt;OUT_OF_SCOPE",'Admin Test Cases'!$L$2:$L$33,"&lt;&gt;SUPERSEDED",'Admin Test Cases'!$L$2:$L$33,"NEEDS_DECISION")+COUNTIFS('Driver Registration Test Cases'!$P$2:$P$31,"R22; R28",'Driver Registration Test Cases'!$L$2:$L$31,"&lt;&gt;OUT_OF_SCOPE",'Driver Registration Test Cases'!$L$2:$L$31,"&lt;&gt;SUPERSEDED",'Driver Registration Test Cases'!$L$2:$L$31,"NEEDS_DECISION")+COUNTIFS('Security Test Cases'!$P$2:$P$20,"R28",'Security Test Cases'!$L$2:$L$20,"&lt;&gt;OUT_OF_SCOPE",'Security Test Cases'!$L$2:$L$20,"&lt;&gt;SUPERSEDED",'Security Test Cases'!$L$2:$L$20,"NEEDS_DECISION")</x:f>
        <x:v>0</x:v>
      </x:c>
      <x:c r="G29" s="34" t="n">
        <x:f>COUNTIFS('Rating Test Cases'!$P$2:$P$33,"R20; R28",'Rating Test Cases'!$L$2:$L$33,"&lt;&gt;OUT_OF_SCOPE",'Rating Test Cases'!$L$2:$L$33,"&lt;&gt;SUPERSEDED",'Rating Test Cases'!$N$2:$N$33,"PASS")+COUNTIFS('Admin Test Cases'!$P$2:$P$33,"R28",'Admin Test Cases'!$L$2:$L$33,"&lt;&gt;OUT_OF_SCOPE",'Admin Test Cases'!$L$2:$L$33,"&lt;&gt;SUPERSEDED",'Admin Test Cases'!$N$2:$N$33,"PASS")+COUNTIFS('Driver Registration Test Cases'!$P$2:$P$31,"R22; R28",'Driver Registration Test Cases'!$L$2:$L$31,"&lt;&gt;OUT_OF_SCOPE",'Driver Registration Test Cases'!$L$2:$L$31,"&lt;&gt;SUPERSEDED",'Driver Registration Test Cases'!$N$2:$N$31,"PASS")+COUNTIFS('Security Test Cases'!$P$2:$P$20,"R28",'Security Test Cases'!$L$2:$L$20,"&lt;&gt;OUT_OF_SCOPE",'Security Test Cases'!$L$2:$L$20,"&lt;&gt;SUPERSEDED",'Security Test Cases'!$N$2:$N$20,"PASS")</x:f>
        <x:v>0</x:v>
      </x:c>
      <x:c r="H29" s="34" t="n">
        <x:f>COUNTIFS('Rating Test Cases'!$P$2:$P$33,"R20; R28",'Rating Test Cases'!$L$2:$L$33,"&lt;&gt;OUT_OF_SCOPE",'Rating Test Cases'!$L$2:$L$33,"&lt;&gt;SUPERSEDED",'Rating Test Cases'!$N$2:$N$33,"FAIL")+COUNTIFS('Admin Test Cases'!$P$2:$P$33,"R28",'Admin Test Cases'!$L$2:$L$33,"&lt;&gt;OUT_OF_SCOPE",'Admin Test Cases'!$L$2:$L$33,"&lt;&gt;SUPERSEDED",'Admin Test Cases'!$N$2:$N$33,"FAIL")+COUNTIFS('Driver Registration Test Cases'!$P$2:$P$31,"R22; R28",'Driver Registration Test Cases'!$L$2:$L$31,"&lt;&gt;OUT_OF_SCOPE",'Driver Registration Test Cases'!$L$2:$L$31,"&lt;&gt;SUPERSEDED",'Driver Registration Test Cases'!$N$2:$N$31,"FAIL")+COUNTIFS('Security Test Cases'!$P$2:$P$20,"R28",'Security Test Cases'!$L$2:$L$20,"&lt;&gt;OUT_OF_SCOPE",'Security Test Cases'!$L$2:$L$20,"&lt;&gt;SUPERSEDED",'Security Test Cases'!$N$2:$N$20,"FAIL")</x:f>
        <x:v>0</x:v>
      </x:c>
      <x:c r="I29" s="34" t="n">
        <x:f>COUNTIFS('Rating Test Cases'!$P$2:$P$33,"R20; R28",'Rating Test Cases'!$L$2:$L$33,"&lt;&gt;OUT_OF_SCOPE",'Rating Test Cases'!$L$2:$L$33,"&lt;&gt;SUPERSEDED",'Rating Test Cases'!$N$2:$N$33,"BLOCKED")+COUNTIFS('Admin Test Cases'!$P$2:$P$33,"R28",'Admin Test Cases'!$L$2:$L$33,"&lt;&gt;OUT_OF_SCOPE",'Admin Test Cases'!$L$2:$L$33,"&lt;&gt;SUPERSEDED",'Admin Test Cases'!$N$2:$N$33,"BLOCKED")+COUNTIFS('Driver Registration Test Cases'!$P$2:$P$31,"R22; R28",'Driver Registration Test Cases'!$L$2:$L$31,"&lt;&gt;OUT_OF_SCOPE",'Driver Registration Test Cases'!$L$2:$L$31,"&lt;&gt;SUPERSEDED",'Driver Registration Test Cases'!$N$2:$N$31,"BLOCKED")+COUNTIFS('Security Test Cases'!$P$2:$P$20,"R28",'Security Test Cases'!$L$2:$L$20,"&lt;&gt;OUT_OF_SCOPE",'Security Test Cases'!$L$2:$L$20,"&lt;&gt;SUPERSEDED",'Security Test Cases'!$N$2:$N$20,"BLOCKED")</x:f>
        <x:v>0</x:v>
      </x:c>
      <x:c r="J29" s="34" t="n">
        <x:f>COUNTIFS('Rating Test Cases'!$P$2:$P$33,"R20; R28",'Rating Test Cases'!$L$2:$L$33,"&lt;&gt;OUT_OF_SCOPE",'Rating Test Cases'!$L$2:$L$33,"&lt;&gt;SUPERSEDED",'Rating Test Cases'!$N$2:$N$33,"NOT_RUN")+COUNTIFS('Admin Test Cases'!$P$2:$P$33,"R28",'Admin Test Cases'!$L$2:$L$33,"&lt;&gt;OUT_OF_SCOPE",'Admin Test Cases'!$L$2:$L$33,"&lt;&gt;SUPERSEDED",'Admin Test Cases'!$N$2:$N$33,"NOT_RUN")+COUNTIFS('Driver Registration Test Cases'!$P$2:$P$31,"R22; R28",'Driver Registration Test Cases'!$L$2:$L$31,"&lt;&gt;OUT_OF_SCOPE",'Driver Registration Test Cases'!$L$2:$L$31,"&lt;&gt;SUPERSEDED",'Driver Registration Test Cases'!$N$2:$N$31,"NOT_RUN")+COUNTIFS('Security Test Cases'!$P$2:$P$20,"R28",'Security Test Cases'!$L$2:$L$20,"&lt;&gt;OUT_OF_SCOPE",'Security Test Cases'!$L$2:$L$20,"&lt;&gt;SUPERSEDED",'Security Test Cases'!$N$2:$N$20,"NOT_RUN")</x:f>
        <x:v>5</x:v>
      </x:c>
      <x:c r="K29" s="14" t="str">
        <x:f>IF(D29=0,"CHƯA LIÊN KẾT",IF(H29&gt;0,"CÓ CA FAIL",IF(I29&gt;0,"CÓ CA BLOCKED",IF(F29&gt;0,"CẦN CHỐT THIẾT KẾ",IF(J29&gt;0,"CHƯA CHẠY ĐỦ","CA LIÊN KẾT ĐÃ PASS")))))</x:f>
        <x:v>CHƯA CHẠY ĐỦ</x:v>
      </x:c>
      <x:c r="L29" s="14" t="str">
        <x:v>403 cho request hợp lệ từ sai vai trò; không có tác dụng phụ.</x:v>
      </x:c>
      <x:c r="M29" s="33"/>
      <x:c r="N29" s="33" t="str">
        <x:v>CHƯA CHẤM</x:v>
      </x:c>
    </x:row>
    <x:row r="30" ht="115" customHeight="1">
      <x:c r="A30" s="14" t="str">
        <x:v>R29</x:v>
      </x:c>
      <x:c r="B30" s="14" t="str">
        <x:v>Rate limit khi tải lớn</x:v>
      </x:c>
      <x:c r="C30" s="14" t="str">
        <x:v>TC-SEC-015
TC-SEC-016
TC-SEC-017
TC-AUTH-016</x:v>
      </x:c>
      <x:c r="D30" s="34" t="n">
        <x:f>COUNTIFS('Login Test Cases'!$P$2:$P$26,"R10; R29",'Login Test Cases'!$L$2:$L$26,"&lt;&gt;OUT_OF_SCOPE",'Login Test Cases'!$L$2:$L$26,"&lt;&gt;SUPERSEDED")+COUNTIFS('Security Test Cases'!$P$2:$P$20,"R29",'Security Test Cases'!$L$2:$L$20,"&lt;&gt;OUT_OF_SCOPE",'Security Test Cases'!$L$2:$L$20,"&lt;&gt;SUPERSEDED")</x:f>
        <x:v>4</x:v>
      </x:c>
      <x:c r="E30" s="34" t="n">
        <x:f>COUNTIFS('Login Test Cases'!$P$2:$P$26,"R10; R29",'Login Test Cases'!$L$2:$L$26,"&lt;&gt;OUT_OF_SCOPE",'Login Test Cases'!$L$2:$L$26,"&lt;&gt;SUPERSEDED",'Login Test Cases'!$L$2:$L$26,"DEFINED")+COUNTIFS('Security Test Cases'!$P$2:$P$20,"R29",'Security Test Cases'!$L$2:$L$20,"&lt;&gt;OUT_OF_SCOPE",'Security Test Cases'!$L$2:$L$20,"&lt;&gt;SUPERSEDED",'Security Test Cases'!$L$2:$L$20,"DEFINED")</x:f>
        <x:v>4</x:v>
      </x:c>
      <x:c r="F30" s="34" t="n">
        <x:f>COUNTIFS('Login Test Cases'!$P$2:$P$26,"R10; R29",'Login Test Cases'!$L$2:$L$26,"&lt;&gt;OUT_OF_SCOPE",'Login Test Cases'!$L$2:$L$26,"&lt;&gt;SUPERSEDED",'Login Test Cases'!$L$2:$L$26,"NEEDS_DECISION")+COUNTIFS('Security Test Cases'!$P$2:$P$20,"R29",'Security Test Cases'!$L$2:$L$20,"&lt;&gt;OUT_OF_SCOPE",'Security Test Cases'!$L$2:$L$20,"&lt;&gt;SUPERSEDED",'Security Test Cases'!$L$2:$L$20,"NEEDS_DECISION")</x:f>
        <x:v>0</x:v>
      </x:c>
      <x:c r="G30" s="34" t="n">
        <x:f>COUNTIFS('Login Test Cases'!$P$2:$P$26,"R10; R29",'Login Test Cases'!$L$2:$L$26,"&lt;&gt;OUT_OF_SCOPE",'Login Test Cases'!$L$2:$L$26,"&lt;&gt;SUPERSEDED",'Login Test Cases'!$N$2:$N$26,"PASS")+COUNTIFS('Security Test Cases'!$P$2:$P$20,"R29",'Security Test Cases'!$L$2:$L$20,"&lt;&gt;OUT_OF_SCOPE",'Security Test Cases'!$L$2:$L$20,"&lt;&gt;SUPERSEDED",'Security Test Cases'!$N$2:$N$20,"PASS")</x:f>
        <x:v>0</x:v>
      </x:c>
      <x:c r="H30" s="34" t="n">
        <x:f>COUNTIFS('Login Test Cases'!$P$2:$P$26,"R10; R29",'Login Test Cases'!$L$2:$L$26,"&lt;&gt;OUT_OF_SCOPE",'Login Test Cases'!$L$2:$L$26,"&lt;&gt;SUPERSEDED",'Login Test Cases'!$N$2:$N$26,"FAIL")+COUNTIFS('Security Test Cases'!$P$2:$P$20,"R29",'Security Test Cases'!$L$2:$L$20,"&lt;&gt;OUT_OF_SCOPE",'Security Test Cases'!$L$2:$L$20,"&lt;&gt;SUPERSEDED",'Security Test Cases'!$N$2:$N$20,"FAIL")</x:f>
        <x:v>0</x:v>
      </x:c>
      <x:c r="I30" s="34" t="n">
        <x:f>COUNTIFS('Login Test Cases'!$P$2:$P$26,"R10; R29",'Login Test Cases'!$L$2:$L$26,"&lt;&gt;OUT_OF_SCOPE",'Login Test Cases'!$L$2:$L$26,"&lt;&gt;SUPERSEDED",'Login Test Cases'!$N$2:$N$26,"BLOCKED")+COUNTIFS('Security Test Cases'!$P$2:$P$20,"R29",'Security Test Cases'!$L$2:$L$20,"&lt;&gt;OUT_OF_SCOPE",'Security Test Cases'!$L$2:$L$20,"&lt;&gt;SUPERSEDED",'Security Test Cases'!$N$2:$N$20,"BLOCKED")</x:f>
        <x:v>0</x:v>
      </x:c>
      <x:c r="J30" s="34" t="n">
        <x:f>COUNTIFS('Login Test Cases'!$P$2:$P$26,"R10; R29",'Login Test Cases'!$L$2:$L$26,"&lt;&gt;OUT_OF_SCOPE",'Login Test Cases'!$L$2:$L$26,"&lt;&gt;SUPERSEDED",'Login Test Cases'!$N$2:$N$26,"NOT_RUN")+COUNTIFS('Security Test Cases'!$P$2:$P$20,"R29",'Security Test Cases'!$L$2:$L$20,"&lt;&gt;OUT_OF_SCOPE",'Security Test Cases'!$L$2:$L$20,"&lt;&gt;SUPERSEDED",'Security Test Cases'!$N$2:$N$20,"NOT_RUN")</x:f>
        <x:v>4</x:v>
      </x:c>
      <x:c r="K30" s="14" t="str">
        <x:f>IF(D30=0,"CHƯA LIÊN KẾT",IF(H30&gt;0,"CÓ CA FAIL",IF(I30&gt;0,"CÓ CA BLOCKED",IF(F30&gt;0,"CẦN CHỐT THIẾT KẾ",IF(J30&gt;0,"CHƯA CHẠY ĐỦ","CA LIÊN KẾT ĐÃ PASS")))))</x:f>
        <x:v>CHƯA CHẠY ĐỦ</x:v>
      </x:c>
      <x:c r="L30" s="14" t="str">
        <x:v>Đo thực &gt;1000 request/giây; 429, Retry-After và báo cáo tải thực tế.</x:v>
      </x:c>
      <x:c r="M30" s="33"/>
      <x:c r="N30" s="33" t="str">
        <x:v>CHƯA CHẤM</x:v>
      </x:c>
    </x:row>
    <x:row r="31" ht="115" customHeight="1">
      <x:c r="A31" s="14" t="str">
        <x:v>R30</x:v>
      </x:c>
      <x:c r="B31" s="14" t="str">
        <x:v>Thanh toán lặp không thu tiền trùng</x:v>
      </x:c>
      <x:c r="C31" s="14" t="str">
        <x:v>TC-SEC-018
TC-PAYMENT-009
TC-PAYMENT-010
TC-PAYMENT-023
TC-PAYMENT-025
TC-PAYMENT-026</x:v>
      </x:c>
      <x:c r="D31" s="34" t="n">
        <x:f>COUNTIFS('Payment Test Cases'!$P$2:$P$38,"R19; R30",'Payment Test Cases'!$L$2:$L$38,"&lt;&gt;OUT_OF_SCOPE",'Payment Test Cases'!$L$2:$L$38,"&lt;&gt;SUPERSEDED")+COUNTIFS('Payment Test Cases'!$P$2:$P$38,"R30",'Payment Test Cases'!$L$2:$L$38,"&lt;&gt;OUT_OF_SCOPE",'Payment Test Cases'!$L$2:$L$38,"&lt;&gt;SUPERSEDED")+COUNTIFS('Notification Test Cases'!$P$2:$P$35,"R07; R19; R30",'Notification Test Cases'!$L$2:$L$35,"&lt;&gt;OUT_OF_SCOPE",'Notification Test Cases'!$L$2:$L$35,"&lt;&gt;SUPERSEDED")+COUNTIFS('Security Test Cases'!$P$2:$P$20,"R19; R30",'Security Test Cases'!$L$2:$L$20,"&lt;&gt;OUT_OF_SCOPE",'Security Test Cases'!$L$2:$L$20,"&lt;&gt;SUPERSEDED")</x:f>
        <x:v>15</x:v>
      </x:c>
      <x:c r="E31" s="34" t="n">
        <x:f>COUNTIFS('Payment Test Cases'!$P$2:$P$38,"R19; R30",'Payment Test Cases'!$L$2:$L$38,"&lt;&gt;OUT_OF_SCOPE",'Payment Test Cases'!$L$2:$L$38,"&lt;&gt;SUPERSEDED",'Payment Test Cases'!$L$2:$L$38,"DEFINED")+COUNTIFS('Payment Test Cases'!$P$2:$P$38,"R30",'Payment Test Cases'!$L$2:$L$38,"&lt;&gt;OUT_OF_SCOPE",'Payment Test Cases'!$L$2:$L$38,"&lt;&gt;SUPERSEDED",'Payment Test Cases'!$L$2:$L$38,"DEFINED")+COUNTIFS('Notification Test Cases'!$P$2:$P$35,"R07; R19; R30",'Notification Test Cases'!$L$2:$L$35,"&lt;&gt;OUT_OF_SCOPE",'Notification Test Cases'!$L$2:$L$35,"&lt;&gt;SUPERSEDED",'Notification Test Cases'!$L$2:$L$35,"DEFINED")+COUNTIFS('Security Test Cases'!$P$2:$P$20,"R19; R30",'Security Test Cases'!$L$2:$L$20,"&lt;&gt;OUT_OF_SCOPE",'Security Test Cases'!$L$2:$L$20,"&lt;&gt;SUPERSEDED",'Security Test Cases'!$L$2:$L$20,"DEFINED")</x:f>
        <x:v>11</x:v>
      </x:c>
      <x:c r="F31" s="34" t="n">
        <x:f>COUNTIFS('Payment Test Cases'!$P$2:$P$38,"R19; R30",'Payment Test Cases'!$L$2:$L$38,"&lt;&gt;OUT_OF_SCOPE",'Payment Test Cases'!$L$2:$L$38,"&lt;&gt;SUPERSEDED",'Payment Test Cases'!$L$2:$L$38,"NEEDS_DECISION")+COUNTIFS('Payment Test Cases'!$P$2:$P$38,"R30",'Payment Test Cases'!$L$2:$L$38,"&lt;&gt;OUT_OF_SCOPE",'Payment Test Cases'!$L$2:$L$38,"&lt;&gt;SUPERSEDED",'Payment Test Cases'!$L$2:$L$38,"NEEDS_DECISION")+COUNTIFS('Notification Test Cases'!$P$2:$P$35,"R07; R19; R30",'Notification Test Cases'!$L$2:$L$35,"&lt;&gt;OUT_OF_SCOPE",'Notification Test Cases'!$L$2:$L$35,"&lt;&gt;SUPERSEDED",'Notification Test Cases'!$L$2:$L$35,"NEEDS_DECISION")+COUNTIFS('Security Test Cases'!$P$2:$P$20,"R19; R30",'Security Test Cases'!$L$2:$L$20,"&lt;&gt;OUT_OF_SCOPE",'Security Test Cases'!$L$2:$L$20,"&lt;&gt;SUPERSEDED",'Security Test Cases'!$L$2:$L$20,"NEEDS_DECISION")</x:f>
        <x:v>4</x:v>
      </x:c>
      <x:c r="G31" s="34" t="n">
        <x:f>COUNTIFS('Payment Test Cases'!$P$2:$P$38,"R19; R30",'Payment Test Cases'!$L$2:$L$38,"&lt;&gt;OUT_OF_SCOPE",'Payment Test Cases'!$L$2:$L$38,"&lt;&gt;SUPERSEDED",'Payment Test Cases'!$N$2:$N$38,"PASS")+COUNTIFS('Payment Test Cases'!$P$2:$P$38,"R30",'Payment Test Cases'!$L$2:$L$38,"&lt;&gt;OUT_OF_SCOPE",'Payment Test Cases'!$L$2:$L$38,"&lt;&gt;SUPERSEDED",'Payment Test Cases'!$N$2:$N$38,"PASS")+COUNTIFS('Notification Test Cases'!$P$2:$P$35,"R07; R19; R30",'Notification Test Cases'!$L$2:$L$35,"&lt;&gt;OUT_OF_SCOPE",'Notification Test Cases'!$L$2:$L$35,"&lt;&gt;SUPERSEDED",'Notification Test Cases'!$N$2:$N$35,"PASS")+COUNTIFS('Security Test Cases'!$P$2:$P$20,"R19; R30",'Security Test Cases'!$L$2:$L$20,"&lt;&gt;OUT_OF_SCOPE",'Security Test Cases'!$L$2:$L$20,"&lt;&gt;SUPERSEDED",'Security Test Cases'!$N$2:$N$20,"PASS")</x:f>
        <x:v>0</x:v>
      </x:c>
      <x:c r="H31" s="34" t="n">
        <x:f>COUNTIFS('Payment Test Cases'!$P$2:$P$38,"R19; R30",'Payment Test Cases'!$L$2:$L$38,"&lt;&gt;OUT_OF_SCOPE",'Payment Test Cases'!$L$2:$L$38,"&lt;&gt;SUPERSEDED",'Payment Test Cases'!$N$2:$N$38,"FAIL")+COUNTIFS('Payment Test Cases'!$P$2:$P$38,"R30",'Payment Test Cases'!$L$2:$L$38,"&lt;&gt;OUT_OF_SCOPE",'Payment Test Cases'!$L$2:$L$38,"&lt;&gt;SUPERSEDED",'Payment Test Cases'!$N$2:$N$38,"FAIL")+COUNTIFS('Notification Test Cases'!$P$2:$P$35,"R07; R19; R30",'Notification Test Cases'!$L$2:$L$35,"&lt;&gt;OUT_OF_SCOPE",'Notification Test Cases'!$L$2:$L$35,"&lt;&gt;SUPERSEDED",'Notification Test Cases'!$N$2:$N$35,"FAIL")+COUNTIFS('Security Test Cases'!$P$2:$P$20,"R19; R30",'Security Test Cases'!$L$2:$L$20,"&lt;&gt;OUT_OF_SCOPE",'Security Test Cases'!$L$2:$L$20,"&lt;&gt;SUPERSEDED",'Security Test Cases'!$N$2:$N$20,"FAIL")</x:f>
        <x:v>0</x:v>
      </x:c>
      <x:c r="I31" s="34" t="n">
        <x:f>COUNTIFS('Payment Test Cases'!$P$2:$P$38,"R19; R30",'Payment Test Cases'!$L$2:$L$38,"&lt;&gt;OUT_OF_SCOPE",'Payment Test Cases'!$L$2:$L$38,"&lt;&gt;SUPERSEDED",'Payment Test Cases'!$N$2:$N$38,"BLOCKED")+COUNTIFS('Payment Test Cases'!$P$2:$P$38,"R30",'Payment Test Cases'!$L$2:$L$38,"&lt;&gt;OUT_OF_SCOPE",'Payment Test Cases'!$L$2:$L$38,"&lt;&gt;SUPERSEDED",'Payment Test Cases'!$N$2:$N$38,"BLOCKED")+COUNTIFS('Notification Test Cases'!$P$2:$P$35,"R07; R19; R30",'Notification Test Cases'!$L$2:$L$35,"&lt;&gt;OUT_OF_SCOPE",'Notification Test Cases'!$L$2:$L$35,"&lt;&gt;SUPERSEDED",'Notification Test Cases'!$N$2:$N$35,"BLOCKED")+COUNTIFS('Security Test Cases'!$P$2:$P$20,"R19; R30",'Security Test Cases'!$L$2:$L$20,"&lt;&gt;OUT_OF_SCOPE",'Security Test Cases'!$L$2:$L$20,"&lt;&gt;SUPERSEDED",'Security Test Cases'!$N$2:$N$20,"BLOCKED")</x:f>
        <x:v>0</x:v>
      </x:c>
      <x:c r="J31" s="34" t="n">
        <x:f>COUNTIFS('Payment Test Cases'!$P$2:$P$38,"R19; R30",'Payment Test Cases'!$L$2:$L$38,"&lt;&gt;OUT_OF_SCOPE",'Payment Test Cases'!$L$2:$L$38,"&lt;&gt;SUPERSEDED",'Payment Test Cases'!$N$2:$N$38,"NOT_RUN")+COUNTIFS('Payment Test Cases'!$P$2:$P$38,"R30",'Payment Test Cases'!$L$2:$L$38,"&lt;&gt;OUT_OF_SCOPE",'Payment Test Cases'!$L$2:$L$38,"&lt;&gt;SUPERSEDED",'Payment Test Cases'!$N$2:$N$38,"NOT_RUN")+COUNTIFS('Notification Test Cases'!$P$2:$P$35,"R07; R19; R30",'Notification Test Cases'!$L$2:$L$35,"&lt;&gt;OUT_OF_SCOPE",'Notification Test Cases'!$L$2:$L$35,"&lt;&gt;SUPERSEDED",'Notification Test Cases'!$N$2:$N$35,"NOT_RUN")+COUNTIFS('Security Test Cases'!$P$2:$P$20,"R19; R30",'Security Test Cases'!$L$2:$L$20,"&lt;&gt;OUT_OF_SCOPE",'Security Test Cases'!$L$2:$L$20,"&lt;&gt;SUPERSEDED",'Security Test Cases'!$N$2:$N$20,"NOT_RUN")</x:f>
        <x:v>15</x:v>
      </x:c>
      <x:c r="K31" s="14" t="str">
        <x:f>IF(D31=0,"CHƯA LIÊN KẾT",IF(H31&gt;0,"CÓ CA FAIL",IF(I31&gt;0,"CÓ CA BLOCKED",IF(F31&gt;0,"CẦN CHỐT THIẾT KẾ",IF(J31&gt;0,"CHƯA CHẠY ĐỦ","CA LIÊN KẾT ĐÃ PASS")))))</x:f>
        <x:v>CẦN CHỐT THIẾT KẾ</x:v>
      </x:c>
      <x:c r="L31" s="14" t="str">
        <x:v>Replay API/callback và ledger provider chứng minh không có khoản thu lặp.</x:v>
      </x:c>
      <x:c r="M31" s="33"/>
      <x:c r="N31" s="33" t="str">
        <x:v>CHƯA CHẤM</x:v>
      </x:c>
    </x:row>
  </x:sheetData>
  <x:dataValidations count="1">
    <x:dataValidation type="list" sqref="N2:N31">
      <x:formula1>"CHƯA CHẤM,ĐẠT,CHƯA ĐẠT,CẦN BỔ SUNG MINH CHỨNG"</x:formula1>
    </x:dataValidation>
  </x:dataValidations>
  <x:pageMargins left="0.7" right="0.7" top="0.75" bottom="0.75" header="0.3" footer="0.3"/>
  <x:tableParts count="1">
    <x:tablePart xmlns:r="http://schemas.openxmlformats.org/officeDocument/2006/relationships" r:id="Rccb89a774f6a416e"/>
  </x:tableParts>
</x:worksheet>
</file>