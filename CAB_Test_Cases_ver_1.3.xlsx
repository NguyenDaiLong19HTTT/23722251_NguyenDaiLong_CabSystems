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f6462e4fef47f8" /></Relationships>
</file>

<file path=xl/workbook.xml><?xml version="1.0" encoding="utf-8"?>
<x:workbook xmlns:x="http://schemas.openxmlformats.org/spreadsheetml/2006/main">
  <x:sheets>
    <x:sheet xmlns:r="http://schemas.openxmlformats.org/officeDocument/2006/relationships" name="Tong_quan" sheetId="1" r:id="R72bbb65f725a4c17"/>
    <x:sheet xmlns:r="http://schemas.openxmlformats.org/officeDocument/2006/relationships" name="Test_Cases" sheetId="2" r:id="Re9a2282ae5234131"/>
    <x:sheet xmlns:r="http://schemas.openxmlformats.org/officeDocument/2006/relationships" name="Truy_vet_YC" sheetId="3" r:id="R5fc87d61d777434d"/>
    <x:sheet xmlns:r="http://schemas.openxmlformats.org/officeDocument/2006/relationships" name="Truy_vet_API" sheetId="4" r:id="R579e929026d34ecf"/>
    <x:sheet xmlns:r="http://schemas.openxmlformats.org/officeDocument/2006/relationships" name="Rubric_30" sheetId="5" r:id="R3854e39a327c4685"/>
    <x:sheet xmlns:r="http://schemas.openxmlformats.org/officeDocument/2006/relationships" name="Quyet_dinh" sheetId="6" r:id="R6620cb819ef94398"/>
    <x:sheet xmlns:r="http://schemas.openxmlformats.org/officeDocument/2006/relationships" name="Du_lieu" sheetId="7" r:id="R066249790d864607"/>
    <x:sheet xmlns:r="http://schemas.openxmlformats.org/officeDocument/2006/relationships" name="Huong_dan" sheetId="8" r:id="Rde008d7212ee478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6">
    <x:font>
      <x:sz val="11"/>
      <x:name val="Carlito"/>
    </x:font>
    <x:font>
      <x:b/>
      <x:sz val="15"/>
      <x:color rgb="FF223652"/>
      <x:name val="Arial"/>
    </x:font>
    <x:font>
      <x:sz val="10"/>
      <x:color rgb="FF223247"/>
      <x:name val="Arial"/>
    </x:font>
    <x:font>
      <x:b/>
      <x:sz val="10"/>
      <x:color rgb="FFFFFFFF"/>
      <x:name val="Arial"/>
    </x:font>
    <x:font>
      <x:b/>
      <x:sz val="11"/>
      <x:name val="Carlito"/>
    </x:font>
    <x:font>
      <x:sz val="10"/>
      <x:name val="Arial"/>
    </x:font>
  </x:fonts>
  <x:fills count="8">
    <x:fill>
      <x:patternFill patternType="none"/>
    </x:fill>
    <x:fill>
      <x:patternFill patternType="gray125"/>
    </x:fill>
    <x:fill>
      <x:patternFill patternType="solid">
        <x:fgColor rgb="FF223652"/>
      </x:patternFill>
    </x:fill>
    <x:fill>
      <x:patternFill patternType="solid">
        <x:fgColor rgb="FFFFFFFF"/>
      </x:patternFill>
    </x:fill>
    <x:fill>
      <x:patternFill patternType="solid">
        <x:fgColor rgb="FFF1F5FA"/>
      </x:patternFill>
    </x:fill>
    <x:fill>
      <x:patternFill patternType="solid">
        <x:fgColor rgb="FFFFF9E6"/>
      </x:patternFill>
    </x:fill>
    <x:fill>
      <x:patternFill patternType="solid">
        <x:fgColor rgb="FFDDE7F2"/>
      </x:patternFill>
    </x:fill>
    <x:fill>
      <x:patternFill patternType="solid">
        <x:fgColor rgb="FFFFF2CC"/>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1" fontId="0" fillId="0" borderId="0" xfId="0" applyNumberFormat="1" applyFont="1" applyFill="1" applyBorder="1"/>
    <x:xf numFmtId="0" fontId="4" fillId="0" borderId="0" xfId="0" applyNumberFormat="1" applyFont="1" applyFill="1" applyBorder="1"/>
    <x:xf numFmtId="0" fontId="4" fillId="6" borderId="0" xfId="0" applyNumberFormat="1" applyFont="1" applyFill="1" applyBorder="1"/>
    <x:xf numFmtId="0" fontId="5" fillId="0" borderId="0" xfId="0" applyNumberFormat="1" applyFont="1" applyFill="1" applyBorder="1"/>
    <x:xf numFmtId="0" fontId="2" fillId="7" borderId="0" xfId="0" applyNumberFormat="1" applyFont="1" applyFill="1" applyBorder="1" applyAlignment="1">
      <x:alignment vertical="top" wrapText="1"/>
    </x:xf>
  </x:cellXfs>
  <x:cellStyles count="1">
    <x:cellStyle name="Normal" xfId="0"/>
  </x:cellStyles>
  <x:dxfs count="6">
    <x:dxf>
      <x:font>
        <x:color rgb="FF9C6500"/>
      </x:font>
      <x:fill>
        <x:patternFill patternType="solid">
          <x:bgColor rgb="FFFFF2CC"/>
        </x:patternFill>
      </x:fill>
    </x:dxf>
    <x:dxf>
      <x:font>
        <x:color rgb="FF666666"/>
      </x:font>
      <x:fill>
        <x:patternFill patternType="solid">
          <x:bgColor rgb="FFE7E6E6"/>
        </x:patternFill>
      </x:fill>
    </x:dxf>
    <x:dxf>
      <x:font>
        <x:color rgb="FF375623"/>
      </x:font>
      <x:fill>
        <x:patternFill patternType="solid">
          <x:bgColor rgb="FFE2F0D9"/>
        </x:patternFill>
      </x:fill>
    </x:dxf>
    <x:dxf>
      <x:font>
        <x:color rgb="FF9C0006"/>
      </x:font>
      <x:fill>
        <x:patternFill patternType="solid">
          <x:bgColor rgb="FFFCE4D6"/>
        </x:patternFill>
      </x:fill>
    </x:dxf>
    <x:dxf>
      <x:font>
        <x:color rgb="FF9C6500"/>
      </x:font>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91549acc1c4741" /><Relationship Type="http://schemas.openxmlformats.org/officeDocument/2006/relationships/theme" Target="/xl/theme/theme1.xml" Id="R7eb69d112fc341b7" /><Relationship Type="http://schemas.openxmlformats.org/officeDocument/2006/relationships/sharedStrings" Target="/xl/sharedStrings.xml" Id="R5b24e901a3584f0e" /><Relationship Type="http://schemas.openxmlformats.org/officeDocument/2006/relationships/worksheet" Target="/xl/worksheets/sheet1.xml" Id="R72bbb65f725a4c17" /><Relationship Type="http://schemas.openxmlformats.org/officeDocument/2006/relationships/worksheet" Target="/xl/worksheets/sheet2.xml" Id="Re9a2282ae5234131" /><Relationship Type="http://schemas.openxmlformats.org/officeDocument/2006/relationships/worksheet" Target="/xl/worksheets/sheet3.xml" Id="R5fc87d61d777434d" /><Relationship Type="http://schemas.openxmlformats.org/officeDocument/2006/relationships/worksheet" Target="/xl/worksheets/sheet4.xml" Id="R579e929026d34ecf" /><Relationship Type="http://schemas.openxmlformats.org/officeDocument/2006/relationships/worksheet" Target="/xl/worksheets/sheet5.xml" Id="R3854e39a327c4685" /><Relationship Type="http://schemas.openxmlformats.org/officeDocument/2006/relationships/worksheet" Target="/xl/worksheets/sheet6.xml" Id="R6620cb819ef94398" /><Relationship Type="http://schemas.openxmlformats.org/officeDocument/2006/relationships/worksheet" Target="/xl/worksheets/sheet7.xml" Id="R066249790d864607" /><Relationship Type="http://schemas.openxmlformats.org/officeDocument/2006/relationships/worksheet" Target="/xl/worksheets/sheet8.xml" Id="Rde008d7212ee4789" /></Relationships>
</file>

<file path=xl/tables/table1.xml><?xml version="1.0" encoding="utf-8"?>
<x:table xmlns:x="http://schemas.openxmlformats.org/spreadsheetml/2006/main" id="2" name="Summary" displayName="Summary" ref="A11:J27" headerRowCount="1" totalsRowCount="0" totalsRowShown="0">
  <x:autoFilter ref="A11:J27"/>
  <x:tableColumns count="10">
    <x:tableColumn id="1" name="Nhóm"/>
    <x:tableColumn id="2" name="Tổng ca"/>
    <x:tableColumn id="3" name="DEFINED"/>
    <x:tableColumn id="4" name="NEEDS_DECISION"/>
    <x:tableColumn id="5" name="OUT_OF_SCOPE"/>
    <x:tableColumn id="6" name="NOT_RUN"/>
    <x:tableColumn id="7" name="PASS"/>
    <x:tableColumn id="8" name="FAIL"/>
    <x:tableColumn id="9" name="BLOCKED"/>
    <x:tableColumn id="10" name="SKIPPED"/>
  </x:tableColumns>
  <x:tableStyleInfo name="TableStyleMedium2" showFirstColumn="0" showLastColumn="0" showRowStripes="1" showColumnStripes="0"/>
</x:table>
</file>

<file path=xl/tables/table2.xml><?xml version="1.0" encoding="utf-8"?>
<x:table xmlns:x="http://schemas.openxmlformats.org/spreadsheetml/2006/main" id="1" name="Cases" displayName="Cases" ref="A6:X338" headerRowCount="1" totalsRowCount="0" totalsRowShown="0">
  <x:autoFilter ref="A6:X338"/>
  <x:tableColumns count="24">
    <x:tableColumn id="1" name="Test ID"/>
    <x:tableColumn id="2" name="Nhóm"/>
    <x:tableColumn id="3" name="Tên ca kiểm thử"/>
    <x:tableColumn id="4" name="Ưu tiên"/>
    <x:tableColumn id="5" name="Thiết kế"/>
    <x:tableColumn id="6" name="Thực thi"/>
    <x:tableColumn id="7" name="Quyết định mở"/>
    <x:tableColumn id="8" name="Loại test"/>
    <x:tableColumn id="9" name="Endpoint / phạm vi"/>
    <x:tableColumn id="10" name="Tiền điều kiện"/>
    <x:tableColumn id="11" name="Dữ liệu kiểm thử"/>
    <x:tableColumn id="12" name="Các bước thực hiện"/>
    <x:tableColumn id="13" name="Kết quả mong đợi"/>
    <x:tableColumn id="14" name="Bằng chứng cần có"/>
    <x:tableColumn id="15" name="FR / NFR"/>
    <x:tableColumn id="16" name="UC / AC"/>
    <x:tableColumn id="17" name="Rubric"/>
    <x:tableColumn id="18" name="Khôi phục sau ca"/>
    <x:tableColumn id="19" name="Kết quả thực tế"/>
    <x:tableColumn id="20" name="Link bằng chứng"/>
    <x:tableColumn id="21" name="Defect ID"/>
    <x:tableColumn id="22" name="Người chạy"/>
    <x:tableColumn id="23" name="Ngày chạy"/>
    <x:tableColumn id="24" name="Nguồn / vị trí"/>
  </x:tableColumns>
  <x:tableStyleInfo name="TableStyleMedium2" showFirstColumn="0" showLastColumn="0" showRowStripes="1" showColumnStripes="0"/>
</x:table>
</file>

<file path=xl/tables/table3.xml><?xml version="1.0" encoding="utf-8"?>
<x:table xmlns:x="http://schemas.openxmlformats.org/spreadsheetml/2006/main" id="3" name="Requirements" displayName="Requirements" ref="A6:I73" headerRowCount="1" totalsRowCount="0" totalsRowShown="0">
  <x:autoFilter ref="A6:I73"/>
  <x:tableColumns count="9">
    <x:tableColumn id="1" name="Mã yêu cầu"/>
    <x:tableColumn id="2" name="Nội dung / vị trí SRS"/>
    <x:tableColumn id="3" name="Phạm vi"/>
    <x:tableColumn id="4" name="Số ca liên kết"/>
    <x:tableColumn id="5" name="DEFINED"/>
    <x:tableColumn id="6" name="NEEDS_DECISION"/>
    <x:tableColumn id="7" name="PASS"/>
    <x:tableColumn id="8" name="FAIL"/>
    <x:tableColumn id="9" name="Test ID liên quan"/>
  </x:tableColumns>
  <x:tableStyleInfo name="TableStyleMedium2" showFirstColumn="0" showLastColumn="0" showRowStripes="1" showColumnStripes="0"/>
</x:table>
</file>

<file path=xl/tables/table4.xml><?xml version="1.0" encoding="utf-8"?>
<x:table xmlns:x="http://schemas.openxmlformats.org/spreadsheetml/2006/main" id="4" name="ApiInventory" displayName="ApiInventory" ref="A6:K81" headerRowCount="1" totalsRowCount="0" totalsRowShown="0">
  <x:autoFilter ref="A6:K81"/>
  <x:tableColumns count="11">
    <x:tableColumn id="1" name="Operation ID"/>
    <x:tableColumn id="2" name="Method / Path"/>
    <x:tableColumn id="3" name="Owner theo YAML"/>
    <x:tableColumn id="4" name="Xác thực"/>
    <x:tableColumn id="5" name="HTTP 2xx"/>
    <x:tableColumn id="6" name="Phạm vi"/>
    <x:tableColumn id="7" name="HTTP được đặc tả"/>
    <x:tableColumn id="8" name="Test contract"/>
    <x:tableColumn id="9" name="Quyết định"/>
    <x:tableColumn id="10" name="Thực thi contract"/>
    <x:tableColumn id="11" name="File nguồn"/>
  </x:tableColumns>
  <x:tableStyleInfo name="TableStyleMedium2" showFirstColumn="0" showLastColumn="0" showRowStripes="1" showColumnStripes="0"/>
</x:table>
</file>

<file path=xl/tables/table5.xml><?xml version="1.0" encoding="utf-8"?>
<x:table xmlns:x="http://schemas.openxmlformats.org/spreadsheetml/2006/main" id="5" name="Rubric" displayName="Rubric" ref="A6:I36" headerRowCount="1" totalsRowCount="0" totalsRowShown="0">
  <x:autoFilter ref="A6:I36"/>
  <x:tableColumns count="9">
    <x:tableColumn id="1" name="STT"/>
    <x:tableColumn id="2" name="Tiêu chí"/>
    <x:tableColumn id="3" name="Yêu cầu SRS"/>
    <x:tableColumn id="4" name="Test ID liên quan"/>
    <x:tableColumn id="5" name="Bằng chứng"/>
    <x:tableColumn id="6" name="Số ca"/>
    <x:tableColumn id="7" name="PASS"/>
    <x:tableColumn id="8" name="FAIL"/>
    <x:tableColumn id="9" name="Kết luận nghiệm thu"/>
  </x:tableColumns>
  <x:tableStyleInfo name="TableStyleMedium2" showFirstColumn="0" showLastColumn="0" showRowStripes="1" showColumnStripes="0"/>
</x:table>
</file>

<file path=xl/tables/table6.xml><?xml version="1.0" encoding="utf-8"?>
<x:table xmlns:x="http://schemas.openxmlformats.org/spreadsheetml/2006/main" id="6" name="Decisions" displayName="Decisions" ref="A6:H22" headerRowCount="1" totalsRowCount="0" totalsRowShown="0">
  <x:autoFilter ref="A6:H22"/>
  <x:tableColumns count="8">
    <x:tableColumn id="1" name="Mã"/>
    <x:tableColumn id="2" name="Chủ đề"/>
    <x:tableColumn id="3" name="Vấn đề / điều chưa chốt"/>
    <x:tableColumn id="4" name="Điều kiện để đóng"/>
    <x:tableColumn id="5" name="Trạng thái"/>
    <x:tableColumn id="6" name="Nguồn"/>
    <x:tableColumn id="7" name="Người quyết định"/>
    <x:tableColumn id="8" name="Quyết định đã duyệt"/>
  </x:tableColumns>
  <x:tableStyleInfo name="TableStyleMedium2" showFirstColumn="0" showLastColumn="0" showRowStripes="1" showColumnStripes="0"/>
</x:table>
</file>

<file path=xl/tables/table7.xml><?xml version="1.0" encoding="utf-8"?>
<x:table xmlns:x="http://schemas.openxmlformats.org/spreadsheetml/2006/main" id="7" name="Fixtures" displayName="Fixtures" ref="A6:D24" headerRowCount="1" totalsRowCount="0" totalsRowShown="0">
  <x:autoFilter ref="A6:D24"/>
  <x:tableColumns count="4">
    <x:tableColumn id="1" name="Fixture"/>
    <x:tableColumn id="2" name="Loại"/>
    <x:tableColumn id="3" name="Giá trị / trạng thái cần chuẩn bị"/>
    <x:tableColumn id="4" name="Quy tắc sử dụng"/>
  </x:tableColumns>
  <x:tableStyleInfo name="TableStyleMedium2" showFirstColumn="0" showLastColumn="0" showRowStripes="1" showColumnStripes="0"/>
</x:table>
</file>

<file path=xl/tables/table8.xml><?xml version="1.0" encoding="utf-8"?>
<x:table xmlns:x="http://schemas.openxmlformats.org/spreadsheetml/2006/main" id="8" name="Guide" displayName="Guide" ref="A6:D38" headerRowCount="1" totalsRowCount="0" totalsRowShown="0">
  <x:autoFilter ref="A6:D38"/>
  <x:tableColumns count="4">
    <x:tableColumn id="1" name="Mục / nguồn"/>
    <x:tableColumn id="2" name="Hướng dẫn / đường dẫn"/>
    <x:tableColumn id="3" name="Phiên bản"/>
    <x:tableColumn id="4" name="URL / 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8cbc70baad4b10" /></Relationships>
</file>

<file path=xl/worksheets/_rels/sheet2.xml.rels>&#65279;<?xml version="1.0" encoding="utf-8"?><Relationships xmlns="http://schemas.openxmlformats.org/package/2006/relationships"><Relationship Type="http://schemas.openxmlformats.org/officeDocument/2006/relationships/table" Target="/xl/tables/table2.xml" Id="R87123dc73fad4a03" /></Relationships>
</file>

<file path=xl/worksheets/_rels/sheet3.xml.rels>&#65279;<?xml version="1.0" encoding="utf-8"?><Relationships xmlns="http://schemas.openxmlformats.org/package/2006/relationships"><Relationship Type="http://schemas.openxmlformats.org/officeDocument/2006/relationships/table" Target="/xl/tables/table3.xml" Id="R35c6a68dadde480f" /></Relationships>
</file>

<file path=xl/worksheets/_rels/sheet4.xml.rels>&#65279;<?xml version="1.0" encoding="utf-8"?><Relationships xmlns="http://schemas.openxmlformats.org/package/2006/relationships"><Relationship Type="http://schemas.openxmlformats.org/officeDocument/2006/relationships/table" Target="/xl/tables/table4.xml" Id="R76c70244e20f4bd0" /></Relationships>
</file>

<file path=xl/worksheets/_rels/sheet5.xml.rels>&#65279;<?xml version="1.0" encoding="utf-8"?><Relationships xmlns="http://schemas.openxmlformats.org/package/2006/relationships"><Relationship Type="http://schemas.openxmlformats.org/officeDocument/2006/relationships/table" Target="/xl/tables/table5.xml" Id="R0612a76415f6406b" /></Relationships>
</file>

<file path=xl/worksheets/_rels/sheet6.xml.rels>&#65279;<?xml version="1.0" encoding="utf-8"?><Relationships xmlns="http://schemas.openxmlformats.org/package/2006/relationships"><Relationship Type="http://schemas.openxmlformats.org/officeDocument/2006/relationships/table" Target="/xl/tables/table6.xml" Id="R067704989808496c" /></Relationships>
</file>

<file path=xl/worksheets/_rels/sheet7.xml.rels>&#65279;<?xml version="1.0" encoding="utf-8"?><Relationships xmlns="http://schemas.openxmlformats.org/package/2006/relationships"><Relationship Type="http://schemas.openxmlformats.org/officeDocument/2006/relationships/table" Target="/xl/tables/table7.xml" Id="R1a53970597484b43" /></Relationships>
</file>

<file path=xl/worksheets/_rels/sheet8.xml.rels>&#65279;<?xml version="1.0" encoding="utf-8"?><Relationships xmlns="http://schemas.openxmlformats.org/package/2006/relationships"><Relationship Type="http://schemas.openxmlformats.org/officeDocument/2006/relationships/table" Target="/xl/tables/table8.xml" Id="Rbc93a85813ab4248" /></Relationships>
</file>

<file path=xl/worksheets/sheet1.xml><?xml version="1.0" encoding="utf-8"?>
<x:worksheet xmlns:x="http://schemas.openxmlformats.org/spreadsheetml/2006/main">
  <x:sheetPr>
    <x:tabColor rgb="FF223652"/>
  </x:sheetPr>
  <x:sheetViews>
    <x:sheetView showGridLines="0" workbookViewId="0"/>
  </x:sheetViews>
  <x:sheetFormatPr defaultRowHeight="15"/>
  <x:cols>
    <x:col min="1" max="1" width="30" hidden="0" customWidth="1"/>
    <x:col min="2" max="2" width="15" hidden="0" customWidth="1"/>
    <x:col min="3" max="3" width="19" hidden="0" customWidth="1"/>
    <x:col min="4" max="4" width="21" hidden="0" customWidth="1"/>
    <x:col min="5" max="5" width="19" hidden="0" customWidth="1"/>
    <x:col min="6" max="6" width="17" hidden="0" customWidth="1"/>
    <x:col min="7" max="7" width="13" hidden="0" customWidth="1"/>
    <x:col min="8" max="8" width="13" hidden="0" customWidth="1"/>
    <x:col min="9" max="9" width="15" hidden="0" customWidth="1"/>
    <x:col min="10" max="10" width="13" hidden="0" customWidth="1"/>
  </x:cols>
  <x:sheetData>
    <x:row r="2">
      <x:c r="A2" s="1" t="str">
        <x:v>CAB System — Kế hoạch kiểm thử 1.3</x:v>
      </x:c>
    </x:row>
    <x:row r="4">
      <x:c r="A4" t="str">
        <x:v>Baseline 1938d4f • 01/10/2026 • SRS/MSD 1.3, API 1.3.0</x:v>
      </x:c>
    </x:row>
    <x:row r="5">
      <x:c r="A5" t="str">
        <x:v>Tổng ca</x:v>
      </x:c>
      <x:c r="B5" t="n">
        <x:f>COUNTA(Test_Cases!A7:A338)</x:f>
        <x:v>332</x:v>
      </x:c>
      <x:c r="C5" t="str">
        <x:v>Trong MVP</x:v>
      </x:c>
      <x:c r="D5" t="n">
        <x:f>COUNTIFS(Test_Cases!E7:E338,"&lt;&gt;OUT_OF_SCOPE")</x:f>
        <x:v>328</x:v>
      </x:c>
      <x:c r="E5" t="str">
        <x:v>Tỷ lệ PASS đã chạy</x:v>
      </x:c>
      <x:c r="F5" s="13" t="str">
        <x:f>IF(SUM(G28:H28)=0,"Chưa chạy",G28/SUM(G28:H28))</x:f>
        <x:v>Chưa chạy</x:v>
      </x:c>
    </x:row>
    <x:row r="7">
      <x:c r="A7" t="str">
        <x:v>75 thao tác API: 74 trong MVP và 1 báo cáo ngoài MVP.</x:v>
      </x:c>
    </x:row>
    <x:row r="8">
      <x:c r="A8" t="str">
        <x:v>DEFINED = đủ đặc tả để soạn ca; API 1.3.0 vẫn cần xác nhận baseline (G05).</x:v>
      </x:c>
    </x:row>
    <x:row r="9">
      <x:c r="A9" t="str">
        <x:v>Chưa thực thi kiểm thử. Không suy ra PASS từ việc có tài liệu hoặc test case.</x:v>
      </x:c>
    </x:row>
    <x:row r="11" ht="32" customHeight="1">
      <x:c r="A11" s="8" t="str">
        <x:v>Nhóm</x:v>
      </x:c>
      <x:c r="B11" s="8" t="str">
        <x:v>Tổng ca</x:v>
      </x:c>
      <x:c r="C11" s="8" t="str">
        <x:v>DEFINED</x:v>
      </x:c>
      <x:c r="D11" s="8" t="str">
        <x:v>NEEDS_DECISION</x:v>
      </x:c>
      <x:c r="E11" s="8" t="str">
        <x:v>OUT_OF_SCOPE</x:v>
      </x:c>
      <x:c r="F11" s="8" t="str">
        <x:v>NOT_RUN</x:v>
      </x:c>
      <x:c r="G11" s="8" t="str">
        <x:v>PASS</x:v>
      </x:c>
      <x:c r="H11" s="8" t="str">
        <x:v>FAIL</x:v>
      </x:c>
      <x:c r="I11" s="8" t="str">
        <x:v>BLOCKED</x:v>
      </x:c>
      <x:c r="J11" s="8" t="str">
        <x:v>SKIPPED</x:v>
      </x:c>
    </x:row>
    <x:row r="12" ht="25" customHeight="1">
      <x:c r="A12" s="9" t="str">
        <x:v>AUTH</x:v>
      </x:c>
      <x:c r="B12" s="9" t="n">
        <x:f>COUNTIFS(Test_Cases!$B$7:$B$338,$A12)</x:f>
        <x:v>30</x:v>
      </x:c>
      <x:c r="C12" s="9" t="n">
        <x:f>COUNTIFS(Test_Cases!$B$7:$B$338,$A12,Test_Cases!$E$7:$E$338,C$11)</x:f>
        <x:v>26</x:v>
      </x:c>
      <x:c r="D12" s="9" t="n">
        <x:f>COUNTIFS(Test_Cases!$B$7:$B$338,$A12,Test_Cases!$E$7:$E$338,D$11)</x:f>
        <x:v>4</x:v>
      </x:c>
      <x:c r="E12" s="9" t="n">
        <x:f>COUNTIFS(Test_Cases!$B$7:$B$338,$A12,Test_Cases!$E$7:$E$338,E$11)</x:f>
        <x:v>0</x:v>
      </x:c>
      <x:c r="F12" s="9" t="n">
        <x:f>COUNTIFS(Test_Cases!$B$7:$B$338,$A12,Test_Cases!$F$7:$F$338,F$11,Test_Cases!$E$7:$E$338,"&lt;&gt;OUT_OF_SCOPE")</x:f>
        <x:v>30</x:v>
      </x:c>
      <x:c r="G12" s="9" t="n">
        <x:f>COUNTIFS(Test_Cases!$B$7:$B$338,$A12,Test_Cases!$F$7:$F$338,G$11,Test_Cases!$E$7:$E$338,"&lt;&gt;OUT_OF_SCOPE")</x:f>
        <x:v>0</x:v>
      </x:c>
      <x:c r="H12" s="9" t="n">
        <x:f>COUNTIFS(Test_Cases!$B$7:$B$338,$A12,Test_Cases!$F$7:$F$338,H$11,Test_Cases!$E$7:$E$338,"&lt;&gt;OUT_OF_SCOPE")</x:f>
        <x:v>0</x:v>
      </x:c>
      <x:c r="I12" s="9" t="n">
        <x:f>COUNTIFS(Test_Cases!$B$7:$B$338,$A12,Test_Cases!$F$7:$F$338,I$11,Test_Cases!$E$7:$E$338,"&lt;&gt;OUT_OF_SCOPE")</x:f>
        <x:v>0</x:v>
      </x:c>
      <x:c r="J12" s="9" t="n">
        <x:f>COUNTIFS(Test_Cases!$B$7:$B$338,$A12,Test_Cases!$F$7:$F$338,J$11,Test_Cases!$E$7:$E$338,"&lt;&gt;OUT_OF_SCOPE")</x:f>
        <x:v>0</x:v>
      </x:c>
    </x:row>
    <x:row r="13" ht="25" customHeight="1">
      <x:c r="A13" s="10" t="str">
        <x:v>OTP</x:v>
      </x:c>
      <x:c r="B13" s="10" t="n">
        <x:f>COUNTIFS(Test_Cases!$B$7:$B$338,$A13)</x:f>
        <x:v>13</x:v>
      </x:c>
      <x:c r="C13" s="10" t="n">
        <x:f>COUNTIFS(Test_Cases!$B$7:$B$338,$A13,Test_Cases!$E$7:$E$338,C$11)</x:f>
        <x:v>11</x:v>
      </x:c>
      <x:c r="D13" s="10" t="n">
        <x:f>COUNTIFS(Test_Cases!$B$7:$B$338,$A13,Test_Cases!$E$7:$E$338,D$11)</x:f>
        <x:v>2</x:v>
      </x:c>
      <x:c r="E13" s="10" t="n">
        <x:f>COUNTIFS(Test_Cases!$B$7:$B$338,$A13,Test_Cases!$E$7:$E$338,E$11)</x:f>
        <x:v>0</x:v>
      </x:c>
      <x:c r="F13" s="10" t="n">
        <x:f>COUNTIFS(Test_Cases!$B$7:$B$338,$A13,Test_Cases!$F$7:$F$338,F$11,Test_Cases!$E$7:$E$338,"&lt;&gt;OUT_OF_SCOPE")</x:f>
        <x:v>13</x:v>
      </x:c>
      <x:c r="G13" s="10" t="n">
        <x:f>COUNTIFS(Test_Cases!$B$7:$B$338,$A13,Test_Cases!$F$7:$F$338,G$11,Test_Cases!$E$7:$E$338,"&lt;&gt;OUT_OF_SCOPE")</x:f>
        <x:v>0</x:v>
      </x:c>
      <x:c r="H13" s="10" t="n">
        <x:f>COUNTIFS(Test_Cases!$B$7:$B$338,$A13,Test_Cases!$F$7:$F$338,H$11,Test_Cases!$E$7:$E$338,"&lt;&gt;OUT_OF_SCOPE")</x:f>
        <x:v>0</x:v>
      </x:c>
      <x:c r="I13" s="10" t="n">
        <x:f>COUNTIFS(Test_Cases!$B$7:$B$338,$A13,Test_Cases!$F$7:$F$338,I$11,Test_Cases!$E$7:$E$338,"&lt;&gt;OUT_OF_SCOPE")</x:f>
        <x:v>0</x:v>
      </x:c>
      <x:c r="J13" s="10" t="n">
        <x:f>COUNTIFS(Test_Cases!$B$7:$B$338,$A13,Test_Cases!$F$7:$F$338,J$11,Test_Cases!$E$7:$E$338,"&lt;&gt;OUT_OF_SCOPE")</x:f>
        <x:v>0</x:v>
      </x:c>
    </x:row>
    <x:row r="14" ht="25" customHeight="1">
      <x:c r="A14" s="9" t="str">
        <x:v>FLEET</x:v>
      </x:c>
      <x:c r="B14" s="9" t="n">
        <x:f>COUNTIFS(Test_Cases!$B$7:$B$338,$A14)</x:f>
        <x:v>31</x:v>
      </x:c>
      <x:c r="C14" s="9" t="n">
        <x:f>COUNTIFS(Test_Cases!$B$7:$B$338,$A14,Test_Cases!$E$7:$E$338,C$11)</x:f>
        <x:v>28</x:v>
      </x:c>
      <x:c r="D14" s="9" t="n">
        <x:f>COUNTIFS(Test_Cases!$B$7:$B$338,$A14,Test_Cases!$E$7:$E$338,D$11)</x:f>
        <x:v>3</x:v>
      </x:c>
      <x:c r="E14" s="9" t="n">
        <x:f>COUNTIFS(Test_Cases!$B$7:$B$338,$A14,Test_Cases!$E$7:$E$338,E$11)</x:f>
        <x:v>0</x:v>
      </x:c>
      <x:c r="F14" s="9" t="n">
        <x:f>COUNTIFS(Test_Cases!$B$7:$B$338,$A14,Test_Cases!$F$7:$F$338,F$11,Test_Cases!$E$7:$E$338,"&lt;&gt;OUT_OF_SCOPE")</x:f>
        <x:v>31</x:v>
      </x:c>
      <x:c r="G14" s="9" t="n">
        <x:f>COUNTIFS(Test_Cases!$B$7:$B$338,$A14,Test_Cases!$F$7:$F$338,G$11,Test_Cases!$E$7:$E$338,"&lt;&gt;OUT_OF_SCOPE")</x:f>
        <x:v>0</x:v>
      </x:c>
      <x:c r="H14" s="9" t="n">
        <x:f>COUNTIFS(Test_Cases!$B$7:$B$338,$A14,Test_Cases!$F$7:$F$338,H$11,Test_Cases!$E$7:$E$338,"&lt;&gt;OUT_OF_SCOPE")</x:f>
        <x:v>0</x:v>
      </x:c>
      <x:c r="I14" s="9" t="n">
        <x:f>COUNTIFS(Test_Cases!$B$7:$B$338,$A14,Test_Cases!$F$7:$F$338,I$11,Test_Cases!$E$7:$E$338,"&lt;&gt;OUT_OF_SCOPE")</x:f>
        <x:v>0</x:v>
      </x:c>
      <x:c r="J14" s="9" t="n">
        <x:f>COUNTIFS(Test_Cases!$B$7:$B$338,$A14,Test_Cases!$F$7:$F$338,J$11,Test_Cases!$E$7:$E$338,"&lt;&gt;OUT_OF_SCOPE")</x:f>
        <x:v>0</x:v>
      </x:c>
    </x:row>
    <x:row r="15" ht="25" customHeight="1">
      <x:c r="A15" s="10" t="str">
        <x:v>BOOK</x:v>
      </x:c>
      <x:c r="B15" s="10" t="n">
        <x:f>COUNTIFS(Test_Cases!$B$7:$B$338,$A15)</x:f>
        <x:v>21</x:v>
      </x:c>
      <x:c r="C15" s="10" t="n">
        <x:f>COUNTIFS(Test_Cases!$B$7:$B$338,$A15,Test_Cases!$E$7:$E$338,C$11)</x:f>
        <x:v>18</x:v>
      </x:c>
      <x:c r="D15" s="10" t="n">
        <x:f>COUNTIFS(Test_Cases!$B$7:$B$338,$A15,Test_Cases!$E$7:$E$338,D$11)</x:f>
        <x:v>3</x:v>
      </x:c>
      <x:c r="E15" s="10" t="n">
        <x:f>COUNTIFS(Test_Cases!$B$7:$B$338,$A15,Test_Cases!$E$7:$E$338,E$11)</x:f>
        <x:v>0</x:v>
      </x:c>
      <x:c r="F15" s="10" t="n">
        <x:f>COUNTIFS(Test_Cases!$B$7:$B$338,$A15,Test_Cases!$F$7:$F$338,F$11,Test_Cases!$E$7:$E$338,"&lt;&gt;OUT_OF_SCOPE")</x:f>
        <x:v>21</x:v>
      </x:c>
      <x:c r="G15" s="10" t="n">
        <x:f>COUNTIFS(Test_Cases!$B$7:$B$338,$A15,Test_Cases!$F$7:$F$338,G$11,Test_Cases!$E$7:$E$338,"&lt;&gt;OUT_OF_SCOPE")</x:f>
        <x:v>0</x:v>
      </x:c>
      <x:c r="H15" s="10" t="n">
        <x:f>COUNTIFS(Test_Cases!$B$7:$B$338,$A15,Test_Cases!$F$7:$F$338,H$11,Test_Cases!$E$7:$E$338,"&lt;&gt;OUT_OF_SCOPE")</x:f>
        <x:v>0</x:v>
      </x:c>
      <x:c r="I15" s="10" t="n">
        <x:f>COUNTIFS(Test_Cases!$B$7:$B$338,$A15,Test_Cases!$F$7:$F$338,I$11,Test_Cases!$E$7:$E$338,"&lt;&gt;OUT_OF_SCOPE")</x:f>
        <x:v>0</x:v>
      </x:c>
      <x:c r="J15" s="10" t="n">
        <x:f>COUNTIFS(Test_Cases!$B$7:$B$338,$A15,Test_Cases!$F$7:$F$338,J$11,Test_Cases!$E$7:$E$338,"&lt;&gt;OUT_OF_SCOPE")</x:f>
        <x:v>0</x:v>
      </x:c>
    </x:row>
    <x:row r="16" ht="25" customHeight="1">
      <x:c r="A16" s="9" t="str">
        <x:v>DISP</x:v>
      </x:c>
      <x:c r="B16" s="9" t="n">
        <x:f>COUNTIFS(Test_Cases!$B$7:$B$338,$A16)</x:f>
        <x:v>20</x:v>
      </x:c>
      <x:c r="C16" s="9" t="n">
        <x:f>COUNTIFS(Test_Cases!$B$7:$B$338,$A16,Test_Cases!$E$7:$E$338,C$11)</x:f>
        <x:v>14</x:v>
      </x:c>
      <x:c r="D16" s="9" t="n">
        <x:f>COUNTIFS(Test_Cases!$B$7:$B$338,$A16,Test_Cases!$E$7:$E$338,D$11)</x:f>
        <x:v>6</x:v>
      </x:c>
      <x:c r="E16" s="9" t="n">
        <x:f>COUNTIFS(Test_Cases!$B$7:$B$338,$A16,Test_Cases!$E$7:$E$338,E$11)</x:f>
        <x:v>0</x:v>
      </x:c>
      <x:c r="F16" s="9" t="n">
        <x:f>COUNTIFS(Test_Cases!$B$7:$B$338,$A16,Test_Cases!$F$7:$F$338,F$11,Test_Cases!$E$7:$E$338,"&lt;&gt;OUT_OF_SCOPE")</x:f>
        <x:v>20</x:v>
      </x:c>
      <x:c r="G16" s="9" t="n">
        <x:f>COUNTIFS(Test_Cases!$B$7:$B$338,$A16,Test_Cases!$F$7:$F$338,G$11,Test_Cases!$E$7:$E$338,"&lt;&gt;OUT_OF_SCOPE")</x:f>
        <x:v>0</x:v>
      </x:c>
      <x:c r="H16" s="9" t="n">
        <x:f>COUNTIFS(Test_Cases!$B$7:$B$338,$A16,Test_Cases!$F$7:$F$338,H$11,Test_Cases!$E$7:$E$338,"&lt;&gt;OUT_OF_SCOPE")</x:f>
        <x:v>0</x:v>
      </x:c>
      <x:c r="I16" s="9" t="n">
        <x:f>COUNTIFS(Test_Cases!$B$7:$B$338,$A16,Test_Cases!$F$7:$F$338,I$11,Test_Cases!$E$7:$E$338,"&lt;&gt;OUT_OF_SCOPE")</x:f>
        <x:v>0</x:v>
      </x:c>
      <x:c r="J16" s="9" t="n">
        <x:f>COUNTIFS(Test_Cases!$B$7:$B$338,$A16,Test_Cases!$F$7:$F$338,J$11,Test_Cases!$E$7:$E$338,"&lt;&gt;OUT_OF_SCOPE")</x:f>
        <x:v>0</x:v>
      </x:c>
    </x:row>
    <x:row r="17" ht="25" customHeight="1">
      <x:c r="A17" s="10" t="str">
        <x:v>TRIP</x:v>
      </x:c>
      <x:c r="B17" s="10" t="n">
        <x:f>COUNTIFS(Test_Cases!$B$7:$B$338,$A17)</x:f>
        <x:v>29</x:v>
      </x:c>
      <x:c r="C17" s="10" t="n">
        <x:f>COUNTIFS(Test_Cases!$B$7:$B$338,$A17,Test_Cases!$E$7:$E$338,C$11)</x:f>
        <x:v>27</x:v>
      </x:c>
      <x:c r="D17" s="10" t="n">
        <x:f>COUNTIFS(Test_Cases!$B$7:$B$338,$A17,Test_Cases!$E$7:$E$338,D$11)</x:f>
        <x:v>2</x:v>
      </x:c>
      <x:c r="E17" s="10" t="n">
        <x:f>COUNTIFS(Test_Cases!$B$7:$B$338,$A17,Test_Cases!$E$7:$E$338,E$11)</x:f>
        <x:v>0</x:v>
      </x:c>
      <x:c r="F17" s="10" t="n">
        <x:f>COUNTIFS(Test_Cases!$B$7:$B$338,$A17,Test_Cases!$F$7:$F$338,F$11,Test_Cases!$E$7:$E$338,"&lt;&gt;OUT_OF_SCOPE")</x:f>
        <x:v>29</x:v>
      </x:c>
      <x:c r="G17" s="10" t="n">
        <x:f>COUNTIFS(Test_Cases!$B$7:$B$338,$A17,Test_Cases!$F$7:$F$338,G$11,Test_Cases!$E$7:$E$338,"&lt;&gt;OUT_OF_SCOPE")</x:f>
        <x:v>0</x:v>
      </x:c>
      <x:c r="H17" s="10" t="n">
        <x:f>COUNTIFS(Test_Cases!$B$7:$B$338,$A17,Test_Cases!$F$7:$F$338,H$11,Test_Cases!$E$7:$E$338,"&lt;&gt;OUT_OF_SCOPE")</x:f>
        <x:v>0</x:v>
      </x:c>
      <x:c r="I17" s="10" t="n">
        <x:f>COUNTIFS(Test_Cases!$B$7:$B$338,$A17,Test_Cases!$F$7:$F$338,I$11,Test_Cases!$E$7:$E$338,"&lt;&gt;OUT_OF_SCOPE")</x:f>
        <x:v>0</x:v>
      </x:c>
      <x:c r="J17" s="10" t="n">
        <x:f>COUNTIFS(Test_Cases!$B$7:$B$338,$A17,Test_Cases!$F$7:$F$338,J$11,Test_Cases!$E$7:$E$338,"&lt;&gt;OUT_OF_SCOPE")</x:f>
        <x:v>0</x:v>
      </x:c>
    </x:row>
    <x:row r="18" ht="25" customHeight="1">
      <x:c r="A18" s="9" t="str">
        <x:v>PAY</x:v>
      </x:c>
      <x:c r="B18" s="9" t="n">
        <x:f>COUNTIFS(Test_Cases!$B$7:$B$338,$A18)</x:f>
        <x:v>30</x:v>
      </x:c>
      <x:c r="C18" s="9" t="n">
        <x:f>COUNTIFS(Test_Cases!$B$7:$B$338,$A18,Test_Cases!$E$7:$E$338,C$11)</x:f>
        <x:v>20</x:v>
      </x:c>
      <x:c r="D18" s="9" t="n">
        <x:f>COUNTIFS(Test_Cases!$B$7:$B$338,$A18,Test_Cases!$E$7:$E$338,D$11)</x:f>
        <x:v>10</x:v>
      </x:c>
      <x:c r="E18" s="9" t="n">
        <x:f>COUNTIFS(Test_Cases!$B$7:$B$338,$A18,Test_Cases!$E$7:$E$338,E$11)</x:f>
        <x:v>0</x:v>
      </x:c>
      <x:c r="F18" s="9" t="n">
        <x:f>COUNTIFS(Test_Cases!$B$7:$B$338,$A18,Test_Cases!$F$7:$F$338,F$11,Test_Cases!$E$7:$E$338,"&lt;&gt;OUT_OF_SCOPE")</x:f>
        <x:v>30</x:v>
      </x:c>
      <x:c r="G18" s="9" t="n">
        <x:f>COUNTIFS(Test_Cases!$B$7:$B$338,$A18,Test_Cases!$F$7:$F$338,G$11,Test_Cases!$E$7:$E$338,"&lt;&gt;OUT_OF_SCOPE")</x:f>
        <x:v>0</x:v>
      </x:c>
      <x:c r="H18" s="9" t="n">
        <x:f>COUNTIFS(Test_Cases!$B$7:$B$338,$A18,Test_Cases!$F$7:$F$338,H$11,Test_Cases!$E$7:$E$338,"&lt;&gt;OUT_OF_SCOPE")</x:f>
        <x:v>0</x:v>
      </x:c>
      <x:c r="I18" s="9" t="n">
        <x:f>COUNTIFS(Test_Cases!$B$7:$B$338,$A18,Test_Cases!$F$7:$F$338,I$11,Test_Cases!$E$7:$E$338,"&lt;&gt;OUT_OF_SCOPE")</x:f>
        <x:v>0</x:v>
      </x:c>
      <x:c r="J18" s="9" t="n">
        <x:f>COUNTIFS(Test_Cases!$B$7:$B$338,$A18,Test_Cases!$F$7:$F$338,J$11,Test_Cases!$E$7:$E$338,"&lt;&gt;OUT_OF_SCOPE")</x:f>
        <x:v>0</x:v>
      </x:c>
    </x:row>
    <x:row r="19" ht="25" customHeight="1">
      <x:c r="A19" s="10" t="str">
        <x:v>NOTI</x:v>
      </x:c>
      <x:c r="B19" s="10" t="n">
        <x:f>COUNTIFS(Test_Cases!$B$7:$B$338,$A19)</x:f>
        <x:v>14</x:v>
      </x:c>
      <x:c r="C19" s="10" t="n">
        <x:f>COUNTIFS(Test_Cases!$B$7:$B$338,$A19,Test_Cases!$E$7:$E$338,C$11)</x:f>
        <x:v>10</x:v>
      </x:c>
      <x:c r="D19" s="10" t="n">
        <x:f>COUNTIFS(Test_Cases!$B$7:$B$338,$A19,Test_Cases!$E$7:$E$338,D$11)</x:f>
        <x:v>4</x:v>
      </x:c>
      <x:c r="E19" s="10" t="n">
        <x:f>COUNTIFS(Test_Cases!$B$7:$B$338,$A19,Test_Cases!$E$7:$E$338,E$11)</x:f>
        <x:v>0</x:v>
      </x:c>
      <x:c r="F19" s="10" t="n">
        <x:f>COUNTIFS(Test_Cases!$B$7:$B$338,$A19,Test_Cases!$F$7:$F$338,F$11,Test_Cases!$E$7:$E$338,"&lt;&gt;OUT_OF_SCOPE")</x:f>
        <x:v>14</x:v>
      </x:c>
      <x:c r="G19" s="10" t="n">
        <x:f>COUNTIFS(Test_Cases!$B$7:$B$338,$A19,Test_Cases!$F$7:$F$338,G$11,Test_Cases!$E$7:$E$338,"&lt;&gt;OUT_OF_SCOPE")</x:f>
        <x:v>0</x:v>
      </x:c>
      <x:c r="H19" s="10" t="n">
        <x:f>COUNTIFS(Test_Cases!$B$7:$B$338,$A19,Test_Cases!$F$7:$F$338,H$11,Test_Cases!$E$7:$E$338,"&lt;&gt;OUT_OF_SCOPE")</x:f>
        <x:v>0</x:v>
      </x:c>
      <x:c r="I19" s="10" t="n">
        <x:f>COUNTIFS(Test_Cases!$B$7:$B$338,$A19,Test_Cases!$F$7:$F$338,I$11,Test_Cases!$E$7:$E$338,"&lt;&gt;OUT_OF_SCOPE")</x:f>
        <x:v>0</x:v>
      </x:c>
      <x:c r="J19" s="10" t="n">
        <x:f>COUNTIFS(Test_Cases!$B$7:$B$338,$A19,Test_Cases!$F$7:$F$338,J$11,Test_Cases!$E$7:$E$338,"&lt;&gt;OUT_OF_SCOPE")</x:f>
        <x:v>0</x:v>
      </x:c>
    </x:row>
    <x:row r="20" ht="25" customHeight="1">
      <x:c r="A20" s="9" t="str">
        <x:v>RATE</x:v>
      </x:c>
      <x:c r="B20" s="9" t="n">
        <x:f>COUNTIFS(Test_Cases!$B$7:$B$338,$A20)</x:f>
        <x:v>11</x:v>
      </x:c>
      <x:c r="C20" s="9" t="n">
        <x:f>COUNTIFS(Test_Cases!$B$7:$B$338,$A20,Test_Cases!$E$7:$E$338,C$11)</x:f>
        <x:v>10</x:v>
      </x:c>
      <x:c r="D20" s="9" t="n">
        <x:f>COUNTIFS(Test_Cases!$B$7:$B$338,$A20,Test_Cases!$E$7:$E$338,D$11)</x:f>
        <x:v>1</x:v>
      </x:c>
      <x:c r="E20" s="9" t="n">
        <x:f>COUNTIFS(Test_Cases!$B$7:$B$338,$A20,Test_Cases!$E$7:$E$338,E$11)</x:f>
        <x:v>0</x:v>
      </x:c>
      <x:c r="F20" s="9" t="n">
        <x:f>COUNTIFS(Test_Cases!$B$7:$B$338,$A20,Test_Cases!$F$7:$F$338,F$11,Test_Cases!$E$7:$E$338,"&lt;&gt;OUT_OF_SCOPE")</x:f>
        <x:v>11</x:v>
      </x:c>
      <x:c r="G20" s="9" t="n">
        <x:f>COUNTIFS(Test_Cases!$B$7:$B$338,$A20,Test_Cases!$F$7:$F$338,G$11,Test_Cases!$E$7:$E$338,"&lt;&gt;OUT_OF_SCOPE")</x:f>
        <x:v>0</x:v>
      </x:c>
      <x:c r="H20" s="9" t="n">
        <x:f>COUNTIFS(Test_Cases!$B$7:$B$338,$A20,Test_Cases!$F$7:$F$338,H$11,Test_Cases!$E$7:$E$338,"&lt;&gt;OUT_OF_SCOPE")</x:f>
        <x:v>0</x:v>
      </x:c>
      <x:c r="I20" s="9" t="n">
        <x:f>COUNTIFS(Test_Cases!$B$7:$B$338,$A20,Test_Cases!$F$7:$F$338,I$11,Test_Cases!$E$7:$E$338,"&lt;&gt;OUT_OF_SCOPE")</x:f>
        <x:v>0</x:v>
      </x:c>
      <x:c r="J20" s="9" t="n">
        <x:f>COUNTIFS(Test_Cases!$B$7:$B$338,$A20,Test_Cases!$F$7:$F$338,J$11,Test_Cases!$E$7:$E$338,"&lt;&gt;OUT_OF_SCOPE")</x:f>
        <x:v>0</x:v>
      </x:c>
    </x:row>
    <x:row r="21" ht="25" customHeight="1">
      <x:c r="A21" s="10" t="str">
        <x:v>SAGA</x:v>
      </x:c>
      <x:c r="B21" s="10" t="n">
        <x:f>COUNTIFS(Test_Cases!$B$7:$B$338,$A21)</x:f>
        <x:v>11</x:v>
      </x:c>
      <x:c r="C21" s="10" t="n">
        <x:f>COUNTIFS(Test_Cases!$B$7:$B$338,$A21,Test_Cases!$E$7:$E$338,C$11)</x:f>
        <x:v>1</x:v>
      </x:c>
      <x:c r="D21" s="10" t="n">
        <x:f>COUNTIFS(Test_Cases!$B$7:$B$338,$A21,Test_Cases!$E$7:$E$338,D$11)</x:f>
        <x:v>10</x:v>
      </x:c>
      <x:c r="E21" s="10" t="n">
        <x:f>COUNTIFS(Test_Cases!$B$7:$B$338,$A21,Test_Cases!$E$7:$E$338,E$11)</x:f>
        <x:v>0</x:v>
      </x:c>
      <x:c r="F21" s="10" t="n">
        <x:f>COUNTIFS(Test_Cases!$B$7:$B$338,$A21,Test_Cases!$F$7:$F$338,F$11,Test_Cases!$E$7:$E$338,"&lt;&gt;OUT_OF_SCOPE")</x:f>
        <x:v>11</x:v>
      </x:c>
      <x:c r="G21" s="10" t="n">
        <x:f>COUNTIFS(Test_Cases!$B$7:$B$338,$A21,Test_Cases!$F$7:$F$338,G$11,Test_Cases!$E$7:$E$338,"&lt;&gt;OUT_OF_SCOPE")</x:f>
        <x:v>0</x:v>
      </x:c>
      <x:c r="H21" s="10" t="n">
        <x:f>COUNTIFS(Test_Cases!$B$7:$B$338,$A21,Test_Cases!$F$7:$F$338,H$11,Test_Cases!$E$7:$E$338,"&lt;&gt;OUT_OF_SCOPE")</x:f>
        <x:v>0</x:v>
      </x:c>
      <x:c r="I21" s="10" t="n">
        <x:f>COUNTIFS(Test_Cases!$B$7:$B$338,$A21,Test_Cases!$F$7:$F$338,I$11,Test_Cases!$E$7:$E$338,"&lt;&gt;OUT_OF_SCOPE")</x:f>
        <x:v>0</x:v>
      </x:c>
      <x:c r="J21" s="10" t="n">
        <x:f>COUNTIFS(Test_Cases!$B$7:$B$338,$A21,Test_Cases!$F$7:$F$338,J$11,Test_Cases!$E$7:$E$338,"&lt;&gt;OUT_OF_SCOPE")</x:f>
        <x:v>0</x:v>
      </x:c>
    </x:row>
    <x:row r="22" ht="25" customHeight="1">
      <x:c r="A22" s="9" t="str">
        <x:v>SEC</x:v>
      </x:c>
      <x:c r="B22" s="9" t="n">
        <x:f>COUNTIFS(Test_Cases!$B$7:$B$338,$A22)</x:f>
        <x:v>17</x:v>
      </x:c>
      <x:c r="C22" s="9" t="n">
        <x:f>COUNTIFS(Test_Cases!$B$7:$B$338,$A22,Test_Cases!$E$7:$E$338,C$11)</x:f>
        <x:v>14</x:v>
      </x:c>
      <x:c r="D22" s="9" t="n">
        <x:f>COUNTIFS(Test_Cases!$B$7:$B$338,$A22,Test_Cases!$E$7:$E$338,D$11)</x:f>
        <x:v>3</x:v>
      </x:c>
      <x:c r="E22" s="9" t="n">
        <x:f>COUNTIFS(Test_Cases!$B$7:$B$338,$A22,Test_Cases!$E$7:$E$338,E$11)</x:f>
        <x:v>0</x:v>
      </x:c>
      <x:c r="F22" s="9" t="n">
        <x:f>COUNTIFS(Test_Cases!$B$7:$B$338,$A22,Test_Cases!$F$7:$F$338,F$11,Test_Cases!$E$7:$E$338,"&lt;&gt;OUT_OF_SCOPE")</x:f>
        <x:v>17</x:v>
      </x:c>
      <x:c r="G22" s="9" t="n">
        <x:f>COUNTIFS(Test_Cases!$B$7:$B$338,$A22,Test_Cases!$F$7:$F$338,G$11,Test_Cases!$E$7:$E$338,"&lt;&gt;OUT_OF_SCOPE")</x:f>
        <x:v>0</x:v>
      </x:c>
      <x:c r="H22" s="9" t="n">
        <x:f>COUNTIFS(Test_Cases!$B$7:$B$338,$A22,Test_Cases!$F$7:$F$338,H$11,Test_Cases!$E$7:$E$338,"&lt;&gt;OUT_OF_SCOPE")</x:f>
        <x:v>0</x:v>
      </x:c>
      <x:c r="I22" s="9" t="n">
        <x:f>COUNTIFS(Test_Cases!$B$7:$B$338,$A22,Test_Cases!$F$7:$F$338,I$11,Test_Cases!$E$7:$E$338,"&lt;&gt;OUT_OF_SCOPE")</x:f>
        <x:v>0</x:v>
      </x:c>
      <x:c r="J22" s="9" t="n">
        <x:f>COUNTIFS(Test_Cases!$B$7:$B$338,$A22,Test_Cases!$F$7:$F$338,J$11,Test_Cases!$E$7:$E$338,"&lt;&gt;OUT_OF_SCOPE")</x:f>
        <x:v>0</x:v>
      </x:c>
    </x:row>
    <x:row r="23" ht="25" customHeight="1">
      <x:c r="A23" s="10" t="str">
        <x:v>INFRA</x:v>
      </x:c>
      <x:c r="B23" s="10" t="n">
        <x:f>COUNTIFS(Test_Cases!$B$7:$B$338,$A23)</x:f>
        <x:v>19</x:v>
      </x:c>
      <x:c r="C23" s="10" t="n">
        <x:f>COUNTIFS(Test_Cases!$B$7:$B$338,$A23,Test_Cases!$E$7:$E$338,C$11)</x:f>
        <x:v>14</x:v>
      </x:c>
      <x:c r="D23" s="10" t="n">
        <x:f>COUNTIFS(Test_Cases!$B$7:$B$338,$A23,Test_Cases!$E$7:$E$338,D$11)</x:f>
        <x:v>5</x:v>
      </x:c>
      <x:c r="E23" s="10" t="n">
        <x:f>COUNTIFS(Test_Cases!$B$7:$B$338,$A23,Test_Cases!$E$7:$E$338,E$11)</x:f>
        <x:v>0</x:v>
      </x:c>
      <x:c r="F23" s="10" t="n">
        <x:f>COUNTIFS(Test_Cases!$B$7:$B$338,$A23,Test_Cases!$F$7:$F$338,F$11,Test_Cases!$E$7:$E$338,"&lt;&gt;OUT_OF_SCOPE")</x:f>
        <x:v>19</x:v>
      </x:c>
      <x:c r="G23" s="10" t="n">
        <x:f>COUNTIFS(Test_Cases!$B$7:$B$338,$A23,Test_Cases!$F$7:$F$338,G$11,Test_Cases!$E$7:$E$338,"&lt;&gt;OUT_OF_SCOPE")</x:f>
        <x:v>0</x:v>
      </x:c>
      <x:c r="H23" s="10" t="n">
        <x:f>COUNTIFS(Test_Cases!$B$7:$B$338,$A23,Test_Cases!$F$7:$F$338,H$11,Test_Cases!$E$7:$E$338,"&lt;&gt;OUT_OF_SCOPE")</x:f>
        <x:v>0</x:v>
      </x:c>
      <x:c r="I23" s="10" t="n">
        <x:f>COUNTIFS(Test_Cases!$B$7:$B$338,$A23,Test_Cases!$F$7:$F$338,I$11,Test_Cases!$E$7:$E$338,"&lt;&gt;OUT_OF_SCOPE")</x:f>
        <x:v>0</x:v>
      </x:c>
      <x:c r="J23" s="10" t="n">
        <x:f>COUNTIFS(Test_Cases!$B$7:$B$338,$A23,Test_Cases!$F$7:$F$338,J$11,Test_Cases!$E$7:$E$338,"&lt;&gt;OUT_OF_SCOPE")</x:f>
        <x:v>0</x:v>
      </x:c>
    </x:row>
    <x:row r="24" ht="25" customHeight="1">
      <x:c r="A24" s="9" t="str">
        <x:v>E2E</x:v>
      </x:c>
      <x:c r="B24" s="9" t="n">
        <x:f>COUNTIFS(Test_Cases!$B$7:$B$338,$A24)</x:f>
        <x:v>5</x:v>
      </x:c>
      <x:c r="C24" s="9" t="n">
        <x:f>COUNTIFS(Test_Cases!$B$7:$B$338,$A24,Test_Cases!$E$7:$E$338,C$11)</x:f>
        <x:v>3</x:v>
      </x:c>
      <x:c r="D24" s="9" t="n">
        <x:f>COUNTIFS(Test_Cases!$B$7:$B$338,$A24,Test_Cases!$E$7:$E$338,D$11)</x:f>
        <x:v>2</x:v>
      </x:c>
      <x:c r="E24" s="9" t="n">
        <x:f>COUNTIFS(Test_Cases!$B$7:$B$338,$A24,Test_Cases!$E$7:$E$338,E$11)</x:f>
        <x:v>0</x:v>
      </x:c>
      <x:c r="F24" s="9" t="n">
        <x:f>COUNTIFS(Test_Cases!$B$7:$B$338,$A24,Test_Cases!$F$7:$F$338,F$11,Test_Cases!$E$7:$E$338,"&lt;&gt;OUT_OF_SCOPE")</x:f>
        <x:v>5</x:v>
      </x:c>
      <x:c r="G24" s="9" t="n">
        <x:f>COUNTIFS(Test_Cases!$B$7:$B$338,$A24,Test_Cases!$F$7:$F$338,G$11,Test_Cases!$E$7:$E$338,"&lt;&gt;OUT_OF_SCOPE")</x:f>
        <x:v>0</x:v>
      </x:c>
      <x:c r="H24" s="9" t="n">
        <x:f>COUNTIFS(Test_Cases!$B$7:$B$338,$A24,Test_Cases!$F$7:$F$338,H$11,Test_Cases!$E$7:$E$338,"&lt;&gt;OUT_OF_SCOPE")</x:f>
        <x:v>0</x:v>
      </x:c>
      <x:c r="I24" s="9" t="n">
        <x:f>COUNTIFS(Test_Cases!$B$7:$B$338,$A24,Test_Cases!$F$7:$F$338,I$11,Test_Cases!$E$7:$E$338,"&lt;&gt;OUT_OF_SCOPE")</x:f>
        <x:v>0</x:v>
      </x:c>
      <x:c r="J24" s="9" t="n">
        <x:f>COUNTIFS(Test_Cases!$B$7:$B$338,$A24,Test_Cases!$F$7:$F$338,J$11,Test_Cases!$E$7:$E$338,"&lt;&gt;OUT_OF_SCOPE")</x:f>
        <x:v>0</x:v>
      </x:c>
    </x:row>
    <x:row r="25" ht="25" customHeight="1">
      <x:c r="A25" s="10" t="str">
        <x:v>PERF</x:v>
      </x:c>
      <x:c r="B25" s="10" t="n">
        <x:f>COUNTIFS(Test_Cases!$B$7:$B$338,$A25)</x:f>
        <x:v>3</x:v>
      </x:c>
      <x:c r="C25" s="10" t="n">
        <x:f>COUNTIFS(Test_Cases!$B$7:$B$338,$A25,Test_Cases!$E$7:$E$338,C$11)</x:f>
        <x:v>0</x:v>
      </x:c>
      <x:c r="D25" s="10" t="n">
        <x:f>COUNTIFS(Test_Cases!$B$7:$B$338,$A25,Test_Cases!$E$7:$E$338,D$11)</x:f>
        <x:v>3</x:v>
      </x:c>
      <x:c r="E25" s="10" t="n">
        <x:f>COUNTIFS(Test_Cases!$B$7:$B$338,$A25,Test_Cases!$E$7:$E$338,E$11)</x:f>
        <x:v>0</x:v>
      </x:c>
      <x:c r="F25" s="10" t="n">
        <x:f>COUNTIFS(Test_Cases!$B$7:$B$338,$A25,Test_Cases!$F$7:$F$338,F$11,Test_Cases!$E$7:$E$338,"&lt;&gt;OUT_OF_SCOPE")</x:f>
        <x:v>3</x:v>
      </x:c>
      <x:c r="G25" s="10" t="n">
        <x:f>COUNTIFS(Test_Cases!$B$7:$B$338,$A25,Test_Cases!$F$7:$F$338,G$11,Test_Cases!$E$7:$E$338,"&lt;&gt;OUT_OF_SCOPE")</x:f>
        <x:v>0</x:v>
      </x:c>
      <x:c r="H25" s="10" t="n">
        <x:f>COUNTIFS(Test_Cases!$B$7:$B$338,$A25,Test_Cases!$F$7:$F$338,H$11,Test_Cases!$E$7:$E$338,"&lt;&gt;OUT_OF_SCOPE")</x:f>
        <x:v>0</x:v>
      </x:c>
      <x:c r="I25" s="10" t="n">
        <x:f>COUNTIFS(Test_Cases!$B$7:$B$338,$A25,Test_Cases!$F$7:$F$338,I$11,Test_Cases!$E$7:$E$338,"&lt;&gt;OUT_OF_SCOPE")</x:f>
        <x:v>0</x:v>
      </x:c>
      <x:c r="J25" s="10" t="n">
        <x:f>COUNTIFS(Test_Cases!$B$7:$B$338,$A25,Test_Cases!$F$7:$F$338,J$11,Test_Cases!$E$7:$E$338,"&lt;&gt;OUT_OF_SCOPE")</x:f>
        <x:v>0</x:v>
      </x:c>
    </x:row>
    <x:row r="26" ht="25" customHeight="1">
      <x:c r="A26" s="9" t="str">
        <x:v>SCOPE</x:v>
      </x:c>
      <x:c r="B26" s="9" t="n">
        <x:f>COUNTIFS(Test_Cases!$B$7:$B$338,$A26)</x:f>
        <x:v>4</x:v>
      </x:c>
      <x:c r="C26" s="9" t="n">
        <x:f>COUNTIFS(Test_Cases!$B$7:$B$338,$A26,Test_Cases!$E$7:$E$338,C$11)</x:f>
        <x:v>0</x:v>
      </x:c>
      <x:c r="D26" s="9" t="n">
        <x:f>COUNTIFS(Test_Cases!$B$7:$B$338,$A26,Test_Cases!$E$7:$E$338,D$11)</x:f>
        <x:v>0</x:v>
      </x:c>
      <x:c r="E26" s="9" t="n">
        <x:f>COUNTIFS(Test_Cases!$B$7:$B$338,$A26,Test_Cases!$E$7:$E$338,E$11)</x:f>
        <x:v>4</x:v>
      </x:c>
      <x:c r="F26" s="9" t="n">
        <x:f>COUNTIFS(Test_Cases!$B$7:$B$338,$A26,Test_Cases!$F$7:$F$338,F$11,Test_Cases!$E$7:$E$338,"&lt;&gt;OUT_OF_SCOPE")</x:f>
        <x:v>0</x:v>
      </x:c>
      <x:c r="G26" s="9" t="n">
        <x:f>COUNTIFS(Test_Cases!$B$7:$B$338,$A26,Test_Cases!$F$7:$F$338,G$11,Test_Cases!$E$7:$E$338,"&lt;&gt;OUT_OF_SCOPE")</x:f>
        <x:v>0</x:v>
      </x:c>
      <x:c r="H26" s="9" t="n">
        <x:f>COUNTIFS(Test_Cases!$B$7:$B$338,$A26,Test_Cases!$F$7:$F$338,H$11,Test_Cases!$E$7:$E$338,"&lt;&gt;OUT_OF_SCOPE")</x:f>
        <x:v>0</x:v>
      </x:c>
      <x:c r="I26" s="9" t="n">
        <x:f>COUNTIFS(Test_Cases!$B$7:$B$338,$A26,Test_Cases!$F$7:$F$338,I$11,Test_Cases!$E$7:$E$338,"&lt;&gt;OUT_OF_SCOPE")</x:f>
        <x:v>0</x:v>
      </x:c>
      <x:c r="J26" s="9" t="n">
        <x:f>COUNTIFS(Test_Cases!$B$7:$B$338,$A26,Test_Cases!$F$7:$F$338,J$11,Test_Cases!$E$7:$E$338,"&lt;&gt;OUT_OF_SCOPE")</x:f>
        <x:v>0</x:v>
      </x:c>
    </x:row>
    <x:row r="27" ht="25" customHeight="1">
      <x:c r="A27" s="10" t="str">
        <x:v>API</x:v>
      </x:c>
      <x:c r="B27" s="10" t="n">
        <x:f>COUNTIFS(Test_Cases!$B$7:$B$338,$A27)</x:f>
        <x:v>74</x:v>
      </x:c>
      <x:c r="C27" s="10" t="n">
        <x:f>COUNTIFS(Test_Cases!$B$7:$B$338,$A27,Test_Cases!$E$7:$E$338,C$11)</x:f>
        <x:v>64</x:v>
      </x:c>
      <x:c r="D27" s="10" t="n">
        <x:f>COUNTIFS(Test_Cases!$B$7:$B$338,$A27,Test_Cases!$E$7:$E$338,D$11)</x:f>
        <x:v>10</x:v>
      </x:c>
      <x:c r="E27" s="10" t="n">
        <x:f>COUNTIFS(Test_Cases!$B$7:$B$338,$A27,Test_Cases!$E$7:$E$338,E$11)</x:f>
        <x:v>0</x:v>
      </x:c>
      <x:c r="F27" s="10" t="n">
        <x:f>COUNTIFS(Test_Cases!$B$7:$B$338,$A27,Test_Cases!$F$7:$F$338,F$11,Test_Cases!$E$7:$E$338,"&lt;&gt;OUT_OF_SCOPE")</x:f>
        <x:v>74</x:v>
      </x:c>
      <x:c r="G27" s="10" t="n">
        <x:f>COUNTIFS(Test_Cases!$B$7:$B$338,$A27,Test_Cases!$F$7:$F$338,G$11,Test_Cases!$E$7:$E$338,"&lt;&gt;OUT_OF_SCOPE")</x:f>
        <x:v>0</x:v>
      </x:c>
      <x:c r="H27" s="10" t="n">
        <x:f>COUNTIFS(Test_Cases!$B$7:$B$338,$A27,Test_Cases!$F$7:$F$338,H$11,Test_Cases!$E$7:$E$338,"&lt;&gt;OUT_OF_SCOPE")</x:f>
        <x:v>0</x:v>
      </x:c>
      <x:c r="I27" s="10" t="n">
        <x:f>COUNTIFS(Test_Cases!$B$7:$B$338,$A27,Test_Cases!$F$7:$F$338,I$11,Test_Cases!$E$7:$E$338,"&lt;&gt;OUT_OF_SCOPE")</x:f>
        <x:v>0</x:v>
      </x:c>
      <x:c r="J27" s="10" t="n">
        <x:f>COUNTIFS(Test_Cases!$B$7:$B$338,$A27,Test_Cases!$F$7:$F$338,J$11,Test_Cases!$E$7:$E$338,"&lt;&gt;OUT_OF_SCOPE")</x:f>
        <x:v>0</x:v>
      </x:c>
    </x:row>
    <x:row r="28">
      <x:c r="A28" s="15" t="str">
        <x:v>TỔNG</x:v>
      </x:c>
      <x:c r="B28" s="15" t="n">
        <x:f>SUM(B12:B27)</x:f>
        <x:v>332</x:v>
      </x:c>
      <x:c r="C28" s="15" t="n">
        <x:f>SUM(C12:C27)</x:f>
        <x:v>260</x:v>
      </x:c>
      <x:c r="D28" s="15" t="n">
        <x:f>SUM(D12:D27)</x:f>
        <x:v>68</x:v>
      </x:c>
      <x:c r="E28" s="15" t="n">
        <x:f>SUM(E12:E27)</x:f>
        <x:v>4</x:v>
      </x:c>
      <x:c r="F28" s="15" t="n">
        <x:f>SUM(F12:F27)</x:f>
        <x:v>328</x:v>
      </x:c>
      <x:c r="G28" s="15" t="n">
        <x:f>SUM(G12:G27)</x:f>
        <x:v>0</x:v>
      </x:c>
      <x:c r="H28" s="15" t="n">
        <x:f>SUM(H12:H27)</x:f>
        <x:v>0</x:v>
      </x:c>
      <x:c r="I28" s="15" t="n">
        <x:f>SUM(I12:I27)</x:f>
        <x:v>0</x:v>
      </x:c>
      <x:c r="J28" s="15" t="n">
        <x:f>SUM(J12:J27)</x:f>
        <x:v>0</x:v>
      </x:c>
    </x:row>
    <x:row r="30">
      <x:c r="A30" t="str">
        <x:v>Thứ tự chạy: hạ tầng/xác thực → hồ sơ/xe → Booking/Trip → Payment/Rating → lỗi phân tán/tải.</x:v>
      </x:c>
    </x:row>
    <x:row r="31">
      <x:c r="A31" t="str">
        <x:v>P0: mất tiền, phân công trùng, mất dữ liệu/quyền. P1: nghiệp vụ/contract. P2: ngoài MVP.</x:v>
      </x:c>
    </x:row>
    <x:row r="33">
      <x:c r="A33" t="str">
        <x:v>Cần quyết định</x:v>
      </x:c>
      <x:c r="B33" t="n">
        <x:f>COUNTIFS(Quyet_dinh!E7:E22,"OPEN")</x:f>
        <x:v>16</x:v>
      </x:c>
    </x:row>
    <x:row r="34">
      <x:c r="A34" s="16" t="str">
        <x:v>Ca đã ghi PASS/FAIL nhưng thiếu kết quả, bằng chứng, người hoặc ngày chạy</x:v>
      </x:c>
      <x:c r="H34" t="n">
        <x:f>SUMPRODUCT((Test_Cases!$F$7:$F$338="PASS")*((Test_Cases!$S$7:$S$338="")+(Test_Cases!$T$7:$T$338="")+(Test_Cases!$V$7:$V$338="")+(Test_Cases!$W$7:$W$338="")&gt;0))+SUMPRODUCT((Test_Cases!$F$7:$F$338="FAIL")*((Test_Cases!$S$7:$S$338="")+(Test_Cases!$T$7:$T$338="")+(Test_Cases!$V$7:$V$338="")+(Test_Cases!$W$7:$W$338="")&gt;0))</x:f>
        <x:v>0</x:v>
      </x:c>
    </x:row>
  </x:sheetData>
  <x:pageMargins left="0.7" right="0.7" top="0.75" bottom="0.75" header="0.3" footer="0.3"/>
  <x:tableParts count="1">
    <x:tablePart xmlns:r="http://schemas.openxmlformats.org/officeDocument/2006/relationships" r:id="Rfd8cbc70baad4b10"/>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3" hidden="0" customWidth="1"/>
    <x:col min="2" max="2" width="12" hidden="0" customWidth="1"/>
    <x:col min="3" max="3" width="43" hidden="0" customWidth="1"/>
    <x:col min="4" max="4" width="10" hidden="0" customWidth="1"/>
    <x:col min="5" max="5" width="20" hidden="0" customWidth="1"/>
    <x:col min="6" max="6" width="16" hidden="0" customWidth="1"/>
    <x:col min="7" max="7" width="20" hidden="0" customWidth="1"/>
    <x:col min="8" max="8" width="17" hidden="0" customWidth="1"/>
    <x:col min="9" max="9" width="44" hidden="0" customWidth="1"/>
    <x:col min="10" max="10" width="53" hidden="0" customWidth="1"/>
    <x:col min="11" max="11" width="65" hidden="0" customWidth="1"/>
    <x:col min="12" max="12" width="68" hidden="0" customWidth="1"/>
    <x:col min="13" max="13" width="83" hidden="0" customWidth="1"/>
    <x:col min="14" max="14" width="57" hidden="0" customWidth="1"/>
    <x:col min="15" max="15" width="36" hidden="0" customWidth="1"/>
    <x:col min="16" max="16" width="43" hidden="0" customWidth="1"/>
    <x:col min="17" max="17" width="17" hidden="0" customWidth="1"/>
    <x:col min="18" max="18" width="48" hidden="0" customWidth="1"/>
    <x:col min="19" max="19" width="65" hidden="0" customWidth="1"/>
    <x:col min="20" max="20" width="38" hidden="0" customWidth="1"/>
    <x:col min="21" max="21" width="20" hidden="0" customWidth="1"/>
    <x:col min="22" max="22" width="22" hidden="0" customWidth="1"/>
    <x:col min="23" max="23" width="16" hidden="0" customWidth="1"/>
    <x:col min="24" max="24" width="48" hidden="0" customWidth="1"/>
  </x:cols>
  <x:sheetData>
    <x:row r="2">
      <x:c r="A2" s="1" t="str">
        <x:v>CAB System — Test cases 1.3</x:v>
      </x:c>
    </x:row>
    <x:row r="4">
      <x:c r="A4" t="str">
        <x:v>Lọc theo Nhóm / Ưu tiên / Thiết kế / Thực thi. Cột S:W dành cho kết quả chạy thực tế.</x:v>
      </x:c>
    </x:row>
    <x:row r="6" ht="32" customHeight="1">
      <x:c r="A6" s="8" t="str">
        <x:v>Test ID</x:v>
      </x:c>
      <x:c r="B6" s="8" t="str">
        <x:v>Nhóm</x:v>
      </x:c>
      <x:c r="C6" s="8" t="str">
        <x:v>Tên ca kiểm thử</x:v>
      </x:c>
      <x:c r="D6" s="8" t="str">
        <x:v>Ưu tiên</x:v>
      </x:c>
      <x:c r="E6" s="8" t="str">
        <x:v>Thiết kế</x:v>
      </x:c>
      <x:c r="F6" s="8" t="str">
        <x:v>Thực thi</x:v>
      </x:c>
      <x:c r="G6" s="8" t="str">
        <x:v>Quyết định mở</x:v>
      </x:c>
      <x:c r="H6" s="8" t="str">
        <x:v>Loại test</x:v>
      </x:c>
      <x:c r="I6" s="8" t="str">
        <x:v>Endpoint / phạm vi</x:v>
      </x:c>
      <x:c r="J6" s="8" t="str">
        <x:v>Tiền điều kiện</x:v>
      </x:c>
      <x:c r="K6" s="8" t="str">
        <x:v>Dữ liệu kiểm thử</x:v>
      </x:c>
      <x:c r="L6" s="8" t="str">
        <x:v>Các bước thực hiện</x:v>
      </x:c>
      <x:c r="M6" s="8" t="str">
        <x:v>Kết quả mong đợi</x:v>
      </x:c>
      <x:c r="N6" s="8" t="str">
        <x:v>Bằng chứng cần có</x:v>
      </x:c>
      <x:c r="O6" s="8" t="str">
        <x:v>FR / NFR</x:v>
      </x:c>
      <x:c r="P6" s="8" t="str">
        <x:v>UC / AC</x:v>
      </x:c>
      <x:c r="Q6" s="8" t="str">
        <x:v>Rubric</x:v>
      </x:c>
      <x:c r="R6" s="8" t="str">
        <x:v>Khôi phục sau ca</x:v>
      </x:c>
      <x:c r="S6" s="8" t="str">
        <x:v>Kết quả thực tế</x:v>
      </x:c>
      <x:c r="T6" s="8" t="str">
        <x:v>Link bằng chứng</x:v>
      </x:c>
      <x:c r="U6" s="8" t="str">
        <x:v>Defect ID</x:v>
      </x:c>
      <x:c r="V6" s="8" t="str">
        <x:v>Người chạy</x:v>
      </x:c>
      <x:c r="W6" s="8" t="str">
        <x:v>Ngày chạy</x:v>
      </x:c>
      <x:c r="X6" s="8" t="str">
        <x:v>Nguồn / vị trí</x:v>
      </x:c>
    </x:row>
    <x:row r="7" ht="52" customHeight="1">
      <x:c r="A7" s="9" t="str">
        <x:v>TC13-AUTH-001</x:v>
      </x:c>
      <x:c r="B7" s="9" t="str">
        <x:v>AUTH</x:v>
      </x:c>
      <x:c r="C7" s="9" t="str">
        <x:v>Chuẩn hóa định danh đăng ký</x:v>
      </x:c>
      <x:c r="D7" s="9" t="str">
        <x:v>P1</x:v>
      </x:c>
      <x:c r="E7" s="9" t="str">
        <x:v>DEFINED</x:v>
      </x:c>
      <x:c r="F7" s="9" t="str">
        <x:v>NOT_RUN</x:v>
      </x:c>
      <x:c r="G7" s="9" t="str"/>
      <x:c r="H7" s="9" t="str">
        <x:v>FUNCTIONAL</x:v>
      </x:c>
      <x:c r="I7" s="9" t="str">
        <x:v>API01 /auth/*; /accounts/me; /customers/{customerId}</x:v>
      </x:c>
      <x:c r="J7" s="9" t="str">
        <x:v>BASE; C_A/C_B và O_A theo Du_lieu. Dùng tài khoản mới khi đăng ký.</x:v>
      </x:c>
      <x:c r="K7" s="9" t="str">
        <x:v>fullName="  An  "; email="  An@Example.com  "; phone E.164 mới</x:v>
      </x:c>
      <x:c r="L7" s="9" t="str">
        <x:v>1. POST register với key/token phục hồi mới; GET kết quả</x:v>
      </x:c>
      <x:c r="M7" s="9" t="str">
        <x:v>201 khi đủ Account CUSTOMER ACTIVE và Customer liên kết; fullName/email chuẩn hóa; không tự cấp Session.</x:v>
      </x:c>
      <x:c r="N7" s="9" t="str">
        <x:v>HTTP request/response đã che token; bản ghi trước/sau tại DB sở hữu; correlationId và log/audit liên quan.</x:v>
      </x:c>
      <x:c r="O7" s="9" t="str">
        <x:v>FR01; FR28; NFR03; NFR04</x:v>
      </x:c>
      <x:c r="P7" s="9" t="str">
        <x:v>UC01; UC22; AC01; AC21</x:v>
      </x:c>
      <x:c r="Q7" s="9" t="str">
        <x:v>9</x:v>
      </x:c>
      <x:c r="R7" s="9" t="str">
        <x:v>Khôi phục dependency/fault injection nếu có; dùng bộ ID mới cho ca kế tiếp. Không xóa lịch sử/audit bằng API nghiệp vụ.</x:v>
      </x:c>
      <x:c r="S7" s="11" t="str"/>
      <x:c r="T7" s="11" t="str"/>
      <x:c r="U7" s="11" t="str"/>
      <x:c r="V7" s="11" t="str"/>
      <x:c r="W7" s="12"/>
      <x:c r="X7" s="9" t="str">
        <x:v>API01; SRS B7 FR01, FR26; MSD 6.2</x:v>
      </x:c>
    </x:row>
    <x:row r="8" ht="52" customHeight="1">
      <x:c r="A8" s="10" t="str">
        <x:v>TC13-AUTH-002</x:v>
      </x:c>
      <x:c r="B8" s="10" t="str">
        <x:v>AUTH</x:v>
      </x:c>
      <x:c r="C8" s="10" t="str">
        <x:v>Trùng email khác hoa thường</x:v>
      </x:c>
      <x:c r="D8" s="10" t="str">
        <x:v>P1</x:v>
      </x:c>
      <x:c r="E8" s="10" t="str">
        <x:v>DEFINED</x:v>
      </x:c>
      <x:c r="F8" s="10" t="str">
        <x:v>NOT_RUN</x:v>
      </x:c>
      <x:c r="G8" s="10" t="str"/>
      <x:c r="H8" s="10" t="str">
        <x:v>FUNCTIONAL</x:v>
      </x:c>
      <x:c r="I8" s="10" t="str">
        <x:v>API01 /auth/*; /accounts/me; /customers/{customerId}</x:v>
      </x:c>
      <x:c r="J8" s="10" t="str">
        <x:v>BASE; C_A/C_B và O_A theo Du_lieu. Dùng tài khoản mới khi đăng ký.</x:v>
      </x:c>
      <x:c r="K8" s="10" t="str">
        <x:v>Hai request cùng email sau trim/lowercase, phone khác</x:v>
      </x:c>
      <x:c r="L8" s="10" t="str">
        <x:v>1. Gửi đăng ký lần lượt với hai key khác nhau</x:v>
      </x:c>
      <x:c r="M8" s="10" t="str">
        <x:v>Request sau 409 CONTACT_CONFLICT; không có hai Account cùng lookup email.</x:v>
      </x:c>
      <x:c r="N8" s="10" t="str">
        <x:v>HTTP request/response đã che token; bản ghi trước/sau tại DB sở hữu; correlationId và log/audit liên quan.</x:v>
      </x:c>
      <x:c r="O8" s="10" t="str">
        <x:v>FR01; FR28; NFR03; NFR04</x:v>
      </x:c>
      <x:c r="P8" s="10" t="str">
        <x:v>UC01; UC22; AC01; AC21</x:v>
      </x:c>
      <x:c r="Q8" s="10" t="str">
        <x:v>9</x:v>
      </x:c>
      <x:c r="R8" s="10" t="str">
        <x:v>Khôi phục dependency/fault injection nếu có; dùng bộ ID mới cho ca kế tiếp. Không xóa lịch sử/audit bằng API nghiệp vụ.</x:v>
      </x:c>
      <x:c r="S8" s="11" t="str"/>
      <x:c r="T8" s="11" t="str"/>
      <x:c r="U8" s="11" t="str"/>
      <x:c r="V8" s="11" t="str"/>
      <x:c r="W8" s="12"/>
      <x:c r="X8" s="10" t="str">
        <x:v>API01; SRS B7 FR01, FR26; MSD 6.2</x:v>
      </x:c>
    </x:row>
    <x:row r="9" ht="52" customHeight="1">
      <x:c r="A9" s="9" t="str">
        <x:v>TC13-AUTH-003</x:v>
      </x:c>
      <x:c r="B9" s="9" t="str">
        <x:v>AUTH</x:v>
      </x:c>
      <x:c r="C9" s="9" t="str">
        <x:v>Trùng phone giữa hai vai trò</x:v>
      </x:c>
      <x:c r="D9" s="9" t="str">
        <x:v>P1</x:v>
      </x:c>
      <x:c r="E9" s="9" t="str">
        <x:v>DEFINED</x:v>
      </x:c>
      <x:c r="F9" s="9" t="str">
        <x:v>NOT_RUN</x:v>
      </x:c>
      <x:c r="G9" s="9" t="str"/>
      <x:c r="H9" s="9" t="str">
        <x:v>FUNCTIONAL</x:v>
      </x:c>
      <x:c r="I9" s="9" t="str">
        <x:v>API01 /auth/*; /accounts/me; /customers/{customerId}</x:v>
      </x:c>
      <x:c r="J9" s="9" t="str">
        <x:v>BASE; C_A/C_B và O_A theo Du_lieu. Dùng tài khoản mới khi đăng ký.</x:v>
      </x:c>
      <x:c r="K9" s="9" t="str">
        <x:v>Phone của D_A; email mới</x:v>
      </x:c>
      <x:c r="L9" s="9" t="str">
        <x:v>1. Đăng ký Customer dùng phone đã thuộc Driver</x:v>
      </x:c>
      <x:c r="M9" s="9" t="str">
        <x:v>409 CONTACT_CONFLICT; tính duy nhất toàn Account, không riêng role.</x:v>
      </x:c>
      <x:c r="N9" s="9" t="str">
        <x:v>HTTP request/response đã che token; bản ghi trước/sau tại DB sở hữu; correlationId và log/audit liên quan.</x:v>
      </x:c>
      <x:c r="O9" s="9" t="str">
        <x:v>FR01; FR28; NFR03; NFR04</x:v>
      </x:c>
      <x:c r="P9" s="9" t="str">
        <x:v>UC01; UC22; AC01; AC21</x:v>
      </x:c>
      <x:c r="Q9" s="9" t="str">
        <x:v>9</x:v>
      </x:c>
      <x:c r="R9" s="9" t="str">
        <x:v>Khôi phục dependency/fault injection nếu có; dùng bộ ID mới cho ca kế tiếp. Không xóa lịch sử/audit bằng API nghiệp vụ.</x:v>
      </x:c>
      <x:c r="S9" s="11" t="str"/>
      <x:c r="T9" s="11" t="str"/>
      <x:c r="U9" s="11" t="str"/>
      <x:c r="V9" s="11" t="str"/>
      <x:c r="W9" s="12"/>
      <x:c r="X9" s="9" t="str">
        <x:v>API01; SRS B7 FR01, FR26; MSD 6.2</x:v>
      </x:c>
    </x:row>
    <x:row r="10" ht="52" customHeight="1">
      <x:c r="A10" s="10" t="str">
        <x:v>TC13-AUTH-004</x:v>
      </x:c>
      <x:c r="B10" s="10" t="str">
        <x:v>AUTH</x:v>
      </x:c>
      <x:c r="C10" s="10" t="str">
        <x:v>Không tự cấp OPERATOR</x:v>
      </x:c>
      <x:c r="D10" s="10" t="str">
        <x:v>P1</x:v>
      </x:c>
      <x:c r="E10" s="10" t="str">
        <x:v>DEFINED</x:v>
      </x:c>
      <x:c r="F10" s="10" t="str">
        <x:v>NOT_RUN</x:v>
      </x:c>
      <x:c r="G10" s="10" t="str"/>
      <x:c r="H10" s="10" t="str">
        <x:v>FUNCTIONAL</x:v>
      </x:c>
      <x:c r="I10" s="10" t="str">
        <x:v>API01 /auth/*; /accounts/me; /customers/{customerId}</x:v>
      </x:c>
      <x:c r="J10" s="10" t="str">
        <x:v>BASE; C_A/C_B và O_A theo Du_lieu. Dùng tài khoản mới khi đăng ký.</x:v>
      </x:c>
      <x:c r="K10" s="10" t="str">
        <x:v>Body register thêm role=OPERATOR hoặc accountStatus=ACTIVE</x:v>
      </x:c>
      <x:c r="L10" s="10" t="str">
        <x:v>1. Gửi từng biến thể riêng</x:v>
      </x:c>
      <x:c r="M10" s="10" t="str">
        <x:v>400; không tạo Account/Profile/Session hoặc giữ key thành kết quả thành công.</x:v>
      </x:c>
      <x:c r="N10" s="10" t="str">
        <x:v>HTTP request/response đã che token; bản ghi trước/sau tại DB sở hữu; correlationId và log/audit liên quan.</x:v>
      </x:c>
      <x:c r="O10" s="10" t="str">
        <x:v>FR01; FR28; NFR03; NFR04</x:v>
      </x:c>
      <x:c r="P10" s="10" t="str">
        <x:v>UC01; UC22; AC01; AC21</x:v>
      </x:c>
      <x:c r="Q10" s="10" t="str">
        <x:v>9</x:v>
      </x:c>
      <x:c r="R10" s="10" t="str">
        <x:v>Khôi phục dependency/fault injection nếu có; dùng bộ ID mới cho ca kế tiếp. Không xóa lịch sử/audit bằng API nghiệp vụ.</x:v>
      </x:c>
      <x:c r="S10" s="11" t="str"/>
      <x:c r="T10" s="11" t="str"/>
      <x:c r="U10" s="11" t="str"/>
      <x:c r="V10" s="11" t="str"/>
      <x:c r="W10" s="12"/>
      <x:c r="X10" s="10" t="str">
        <x:v>API01; SRS B7 FR01, FR26; MSD 6.2</x:v>
      </x:c>
    </x:row>
    <x:row r="11" ht="52" customHeight="1">
      <x:c r="A11" s="9" t="str">
        <x:v>TC13-AUTH-005</x:v>
      </x:c>
      <x:c r="B11" s="9" t="str">
        <x:v>AUTH</x:v>
      </x:c>
      <x:c r="C11" s="9" t="str">
        <x:v>Mật khẩu không trim</x:v>
      </x:c>
      <x:c r="D11" s="9" t="str">
        <x:v>P1</x:v>
      </x:c>
      <x:c r="E11" s="9" t="str">
        <x:v>DEFINED</x:v>
      </x:c>
      <x:c r="F11" s="9" t="str">
        <x:v>NOT_RUN</x:v>
      </x:c>
      <x:c r="G11" s="9" t="str"/>
      <x:c r="H11" s="9" t="str">
        <x:v>FUNCTIONAL</x:v>
      </x:c>
      <x:c r="I11" s="9" t="str">
        <x:v>API01 /auth/*; /accounts/me; /customers/{customerId}</x:v>
      </x:c>
      <x:c r="J11" s="9" t="str">
        <x:v>BASE; C_A/C_B và O_A theo Du_lieu. Dùng tài khoản mới khi đăng ký.</x:v>
      </x:c>
      <x:c r="K11" s="9" t="str">
        <x:v>Mật khẩu hợp lệ có khoảng trắng đầu/cuối</x:v>
      </x:c>
      <x:c r="L11" s="9" t="str">
        <x:v>1. Đăng ký; login bằng nguyên văn rồi bằng bản đã trim</x:v>
      </x:c>
      <x:c r="M11" s="9" t="str">
        <x:v>Bản nguyên văn đăng nhập được; bản trim sai trả 401. Không lộ mật khẩu trong log.</x:v>
      </x:c>
      <x:c r="N11" s="9" t="str">
        <x:v>HTTP request/response đã che token; bản ghi trước/sau tại DB sở hữu; correlationId và log/audit liên quan.</x:v>
      </x:c>
      <x:c r="O11" s="9" t="str">
        <x:v>FR01; FR28; NFR03; NFR04</x:v>
      </x:c>
      <x:c r="P11" s="9" t="str">
        <x:v>UC01; UC22; AC01; AC21</x:v>
      </x:c>
      <x:c r="Q11" s="9" t="str">
        <x:v>9</x:v>
      </x:c>
      <x:c r="R11" s="9" t="str">
        <x:v>Khôi phục dependency/fault injection nếu có; dùng bộ ID mới cho ca kế tiếp. Không xóa lịch sử/audit bằng API nghiệp vụ.</x:v>
      </x:c>
      <x:c r="S11" s="11" t="str"/>
      <x:c r="T11" s="11" t="str"/>
      <x:c r="U11" s="11" t="str"/>
      <x:c r="V11" s="11" t="str"/>
      <x:c r="W11" s="12"/>
      <x:c r="X11" s="9" t="str">
        <x:v>API01; SRS B7 FR01, FR26; MSD 6.2</x:v>
      </x:c>
    </x:row>
    <x:row r="12" ht="52" customHeight="1">
      <x:c r="A12" s="10" t="str">
        <x:v>TC13-AUTH-006</x:v>
      </x:c>
      <x:c r="B12" s="10" t="str">
        <x:v>AUTH</x:v>
      </x:c>
      <x:c r="C12" s="10" t="str">
        <x:v>Đăng ký replay giữ cùng kết quả</x:v>
      </x:c>
      <x:c r="D12" s="10" t="str">
        <x:v>P1</x:v>
      </x:c>
      <x:c r="E12" s="10" t="str">
        <x:v>DEFINED</x:v>
      </x:c>
      <x:c r="F12" s="10" t="str">
        <x:v>NOT_RUN</x:v>
      </x:c>
      <x:c r="G12" s="10" t="str"/>
      <x:c r="H12" s="10" t="str">
        <x:v>FUNCTIONAL</x:v>
      </x:c>
      <x:c r="I12" s="10" t="str">
        <x:v>API01 /auth/*; /accounts/me; /customers/{customerId}</x:v>
      </x:c>
      <x:c r="J12" s="10" t="str">
        <x:v>BASE; C_A/C_B và O_A theo Du_lieu. Dùng tài khoản mới khi đăng ký.</x:v>
      </x:c>
      <x:c r="K12" s="10" t="str">
        <x:v>Cùng key, recovery token và body</x:v>
      </x:c>
      <x:c r="L12" s="10" t="str">
        <x:v>1. Đăng ký thành công; gửi lại request</x:v>
      </x:c>
      <x:c r="M12" s="10" t="str">
        <x:v>Cùng 201/body đã lưu; đúng một Account, Customer và operation; không cấp phiên.</x:v>
      </x:c>
      <x:c r="N12" s="10" t="str">
        <x:v>HTTP request/response đã che token; bản ghi trước/sau tại DB sở hữu; correlationId và log/audit liên quan.</x:v>
      </x:c>
      <x:c r="O12" s="10" t="str">
        <x:v>FR01; FR28; NFR03; NFR04</x:v>
      </x:c>
      <x:c r="P12" s="10" t="str">
        <x:v>UC01; UC22; AC01; AC21</x:v>
      </x:c>
      <x:c r="Q12" s="10" t="str">
        <x:v>9</x:v>
      </x:c>
      <x:c r="R12" s="10" t="str">
        <x:v>Khôi phục dependency/fault injection nếu có; dùng bộ ID mới cho ca kế tiếp. Không xóa lịch sử/audit bằng API nghiệp vụ.</x:v>
      </x:c>
      <x:c r="S12" s="11" t="str"/>
      <x:c r="T12" s="11" t="str"/>
      <x:c r="U12" s="11" t="str"/>
      <x:c r="V12" s="11" t="str"/>
      <x:c r="W12" s="12"/>
      <x:c r="X12" s="10" t="str">
        <x:v>API01; SRS B7 FR01, FR26; MSD 6.2</x:v>
      </x:c>
    </x:row>
    <x:row r="13" ht="52" customHeight="1">
      <x:c r="A13" s="9" t="str">
        <x:v>TC13-AUTH-007</x:v>
      </x:c>
      <x:c r="B13" s="9" t="str">
        <x:v>AUTH</x:v>
      </x:c>
      <x:c r="C13" s="9" t="str">
        <x:v>Key đăng ký khác nội dung</x:v>
      </x:c>
      <x:c r="D13" s="9" t="str">
        <x:v>P1</x:v>
      </x:c>
      <x:c r="E13" s="9" t="str">
        <x:v>DEFINED</x:v>
      </x:c>
      <x:c r="F13" s="9" t="str">
        <x:v>NOT_RUN</x:v>
      </x:c>
      <x:c r="G13" s="9" t="str"/>
      <x:c r="H13" s="9" t="str">
        <x:v>FUNCTIONAL</x:v>
      </x:c>
      <x:c r="I13" s="9" t="str">
        <x:v>API01 /auth/*; /accounts/me; /customers/{customerId}</x:v>
      </x:c>
      <x:c r="J13" s="9" t="str">
        <x:v>BASE; C_A/C_B và O_A theo Du_lieu. Dùng tài khoản mới khi đăng ký.</x:v>
      </x:c>
      <x:c r="K13" s="9" t="str">
        <x:v>Cùng key/token nhưng đổi fullName</x:v>
      </x:c>
      <x:c r="L13" s="9" t="str">
        <x:v>1. Gửi lại sau tiếp nhận</x:v>
      </x:c>
      <x:c r="M13" s="9" t="str">
        <x:v>409 IDEMPOTENCY_CONFLICT; không sửa hồ sơ ban đầu.</x:v>
      </x:c>
      <x:c r="N13" s="9" t="str">
        <x:v>HTTP request/response đã che token; bản ghi trước/sau tại DB sở hữu; correlationId và log/audit liên quan.</x:v>
      </x:c>
      <x:c r="O13" s="9" t="str">
        <x:v>FR01; FR28; NFR03; NFR04</x:v>
      </x:c>
      <x:c r="P13" s="9" t="str">
        <x:v>UC01; UC22; AC01; AC21</x:v>
      </x:c>
      <x:c r="Q13" s="9" t="str">
        <x:v>9</x:v>
      </x:c>
      <x:c r="R13" s="9" t="str">
        <x:v>Khôi phục dependency/fault injection nếu có; dùng bộ ID mới cho ca kế tiếp. Không xóa lịch sử/audit bằng API nghiệp vụ.</x:v>
      </x:c>
      <x:c r="S13" s="11" t="str"/>
      <x:c r="T13" s="11" t="str"/>
      <x:c r="U13" s="11" t="str"/>
      <x:c r="V13" s="11" t="str"/>
      <x:c r="W13" s="12"/>
      <x:c r="X13" s="9" t="str">
        <x:v>API01; SRS B7 FR01, FR26; MSD 6.2</x:v>
      </x:c>
    </x:row>
    <x:row r="14" ht="52" customHeight="1">
      <x:c r="A14" s="10" t="str">
        <x:v>TC13-AUTH-008</x:v>
      </x:c>
      <x:c r="B14" s="10" t="str">
        <x:v>AUTH</x:v>
      </x:c>
      <x:c r="C14" s="10" t="str">
        <x:v>Sai bí mật phục hồi</x:v>
      </x:c>
      <x:c r="D14" s="10" t="str">
        <x:v>P1</x:v>
      </x:c>
      <x:c r="E14" s="10" t="str">
        <x:v>DEFINED</x:v>
      </x:c>
      <x:c r="F14" s="10" t="str">
        <x:v>NOT_RUN</x:v>
      </x:c>
      <x:c r="G14" s="10" t="str"/>
      <x:c r="H14" s="10" t="str">
        <x:v>FUNCTIONAL</x:v>
      </x:c>
      <x:c r="I14" s="10" t="str">
        <x:v>API01 /auth/*; /accounts/me; /customers/{customerId}</x:v>
      </x:c>
      <x:c r="J14" s="10" t="str">
        <x:v>BASE; C_A/C_B và O_A theo Du_lieu. Dùng tài khoản mới khi đăng ký.</x:v>
      </x:c>
      <x:c r="K14" s="10" t="str">
        <x:v>Key hợp lệ nhưng recovery token khác</x:v>
      </x:c>
      <x:c r="L14" s="10" t="str">
        <x:v>1. Replay POST và GET operation</x:v>
      </x:c>
      <x:c r="M14" s="10" t="str">
        <x:v>POST 401 REGISTRATION_RECOVERY_INVALID; GET sai proof 404; không lộ Account hay trạng thái.</x:v>
      </x:c>
      <x:c r="N14" s="10" t="str">
        <x:v>HTTP request/response đã che token; bản ghi trước/sau tại DB sở hữu; correlationId và log/audit liên quan.</x:v>
      </x:c>
      <x:c r="O14" s="10" t="str">
        <x:v>FR01; FR28; NFR03; NFR04</x:v>
      </x:c>
      <x:c r="P14" s="10" t="str">
        <x:v>UC01; UC22; AC01; AC21</x:v>
      </x:c>
      <x:c r="Q14" s="10" t="str">
        <x:v>9</x:v>
      </x:c>
      <x:c r="R14" s="10" t="str">
        <x:v>Khôi phục dependency/fault injection nếu có; dùng bộ ID mới cho ca kế tiếp. Không xóa lịch sử/audit bằng API nghiệp vụ.</x:v>
      </x:c>
      <x:c r="S14" s="11" t="str"/>
      <x:c r="T14" s="11" t="str"/>
      <x:c r="U14" s="11" t="str"/>
      <x:c r="V14" s="11" t="str"/>
      <x:c r="W14" s="12"/>
      <x:c r="X14" s="10" t="str">
        <x:v>API01; SRS B7 FR01, FR26; MSD 6.2</x:v>
      </x:c>
    </x:row>
    <x:row r="15" ht="52" customHeight="1">
      <x:c r="A15" s="9" t="str">
        <x:v>TC13-AUTH-009</x:v>
      </x:c>
      <x:c r="B15" s="9" t="str">
        <x:v>AUTH</x:v>
      </x:c>
      <x:c r="C15" s="9" t="str">
        <x:v>Đăng ký Customer còn xử lý</x:v>
      </x:c>
      <x:c r="D15" s="9" t="str">
        <x:v>P1</x:v>
      </x:c>
      <x:c r="E15" s="9" t="str">
        <x:v>NEEDS_DECISION</x:v>
      </x:c>
      <x:c r="F15" s="9" t="str">
        <x:v>NOT_RUN</x:v>
      </x:c>
      <x:c r="G15" s="9" t="str">
        <x:v>D04,D05</x:v>
      </x:c>
      <x:c r="H15" s="9" t="str">
        <x:v>FUNCTIONAL</x:v>
      </x:c>
      <x:c r="I15" s="9" t="str">
        <x:v>API01 /auth/*; /accounts/me; /customers/{customerId}</x:v>
      </x:c>
      <x:c r="J15" s="9" t="str">
        <x:v>BASE; C_A/C_B và O_A theo Du_lieu. Dùng tài khoản mới khi đăng ký.</x:v>
      </x:c>
      <x:c r="K15" s="9" t="str">
        <x:v>Chặn Customer RPC sau khi Identity ghi operation</x:v>
      </x:c>
      <x:c r="L15" s="9" t="str">
        <x:v>1. POST register; GET operation; khôi phục Customer; GET lại</x:v>
      </x:c>
      <x:c r="M15" s="9" t="str">
        <x:v>202 PROCESSING không có Account một phần; sau phục hồi SUCCEEDED cùng operation, đúng một profile; login chỉ sau hoàn tất.</x:v>
      </x:c>
      <x:c r="N15" s="9" t="str">
        <x:v>HTTP request/response đã che token; bản ghi trước/sau tại DB sở hữu; correlationId và log/audit liên quan.</x:v>
      </x:c>
      <x:c r="O15" s="9" t="str">
        <x:v>FR01; FR28; NFR03; NFR04</x:v>
      </x:c>
      <x:c r="P15" s="9" t="str">
        <x:v>UC01; UC22; AC01; AC21</x:v>
      </x:c>
      <x:c r="Q15" s="9" t="str">
        <x:v>9</x:v>
      </x:c>
      <x:c r="R15" s="9" t="str">
        <x:v>Khôi phục dependency/fault injection nếu có; dùng bộ ID mới cho ca kế tiếp. Không xóa lịch sử/audit bằng API nghiệp vụ.</x:v>
      </x:c>
      <x:c r="S15" s="11" t="str"/>
      <x:c r="T15" s="11" t="str"/>
      <x:c r="U15" s="11" t="str"/>
      <x:c r="V15" s="11" t="str"/>
      <x:c r="W15" s="12"/>
      <x:c r="X15" s="9" t="str">
        <x:v>API01; SRS B7 FR01, FR26; MSD 6.2</x:v>
      </x:c>
    </x:row>
    <x:row r="16" ht="52" customHeight="1">
      <x:c r="A16" s="10" t="str">
        <x:v>TC13-AUTH-010</x:v>
      </x:c>
      <x:c r="B16" s="10" t="str">
        <x:v>AUTH</x:v>
      </x:c>
      <x:c r="C16" s="10" t="str">
        <x:v>Mất response đăng ký</x:v>
      </x:c>
      <x:c r="D16" s="10" t="str">
        <x:v>P1</x:v>
      </x:c>
      <x:c r="E16" s="10" t="str">
        <x:v>NEEDS_DECISION</x:v>
      </x:c>
      <x:c r="F16" s="10" t="str">
        <x:v>NOT_RUN</x:v>
      </x:c>
      <x:c r="G16" s="10" t="str">
        <x:v>D05</x:v>
      </x:c>
      <x:c r="H16" s="10" t="str">
        <x:v>FUNCTIONAL</x:v>
      </x:c>
      <x:c r="I16" s="10" t="str">
        <x:v>API01 /auth/*; /accounts/me; /customers/{customerId}</x:v>
      </x:c>
      <x:c r="J16" s="10" t="str">
        <x:v>BASE; C_A/C_B và O_A theo Du_lieu. Dùng tài khoản mới khi đăng ký.</x:v>
      </x:c>
      <x:c r="K16" s="10" t="str">
        <x:v>Cắt response sau commit hoàn tất</x:v>
      </x:c>
      <x:c r="L16" s="10" t="str">
        <x:v>1. Retry cùng key/token/payload</x:v>
      </x:c>
      <x:c r="M16" s="10" t="str">
        <x:v>201 snapshot ban đầu; không tạo Account hay Customer lần hai.</x:v>
      </x:c>
      <x:c r="N16" s="10" t="str">
        <x:v>HTTP request/response đã che token; bản ghi trước/sau tại DB sở hữu; correlationId và log/audit liên quan.</x:v>
      </x:c>
      <x:c r="O16" s="10" t="str">
        <x:v>FR01; FR28; NFR03; NFR04</x:v>
      </x:c>
      <x:c r="P16" s="10" t="str">
        <x:v>UC01; UC22; AC01; AC21</x:v>
      </x:c>
      <x:c r="Q16" s="10" t="str">
        <x:v>9</x:v>
      </x:c>
      <x:c r="R16" s="10" t="str">
        <x:v>Khôi phục dependency/fault injection nếu có; dùng bộ ID mới cho ca kế tiếp. Không xóa lịch sử/audit bằng API nghiệp vụ.</x:v>
      </x:c>
      <x:c r="S16" s="11" t="str"/>
      <x:c r="T16" s="11" t="str"/>
      <x:c r="U16" s="11" t="str"/>
      <x:c r="V16" s="11" t="str"/>
      <x:c r="W16" s="12"/>
      <x:c r="X16" s="10" t="str">
        <x:v>API01; SRS B7 FR01, FR26; MSD 6.2</x:v>
      </x:c>
    </x:row>
    <x:row r="17" ht="52" customHeight="1">
      <x:c r="A17" s="9" t="str">
        <x:v>TC13-AUTH-011</x:v>
      </x:c>
      <x:c r="B17" s="9" t="str">
        <x:v>AUTH</x:v>
      </x:c>
      <x:c r="C17" s="9" t="str">
        <x:v>Tra cứu đăng ký thiếu token</x:v>
      </x:c>
      <x:c r="D17" s="9" t="str">
        <x:v>P1</x:v>
      </x:c>
      <x:c r="E17" s="9" t="str">
        <x:v>NEEDS_DECISION</x:v>
      </x:c>
      <x:c r="F17" s="9" t="str">
        <x:v>NOT_RUN</x:v>
      </x:c>
      <x:c r="G17" s="9" t="str">
        <x:v>D05</x:v>
      </x:c>
      <x:c r="H17" s="9" t="str">
        <x:v>FUNCTIONAL</x:v>
      </x:c>
      <x:c r="I17" s="9" t="str">
        <x:v>API01 /auth/*; /accounts/me; /customers/{customerId}</x:v>
      </x:c>
      <x:c r="J17" s="9" t="str">
        <x:v>BASE; C_A/C_B và O_A theo Du_lieu. Dùng tài khoản mới khi đăng ký.</x:v>
      </x:c>
      <x:c r="K17" s="9" t="str">
        <x:v>operationId đã tồn tại</x:v>
      </x:c>
      <x:c r="L17" s="9" t="str">
        <x:v>1. GET customer-registrations không header phục hồi</x:v>
      </x:c>
      <x:c r="M17" s="9" t="str">
        <x:v>401; bearer token không thay thế recovery proof.</x:v>
      </x:c>
      <x:c r="N17" s="9" t="str">
        <x:v>HTTP request/response đã che token; bản ghi trước/sau tại DB sở hữu; correlationId và log/audit liên quan.</x:v>
      </x:c>
      <x:c r="O17" s="9" t="str">
        <x:v>FR01; FR28; NFR03; NFR04</x:v>
      </x:c>
      <x:c r="P17" s="9" t="str">
        <x:v>UC01; UC22; AC01; AC21</x:v>
      </x:c>
      <x:c r="Q17" s="9" t="str">
        <x:v>9</x:v>
      </x:c>
      <x:c r="R17" s="9" t="str">
        <x:v>Khôi phục dependency/fault injection nếu có; dùng bộ ID mới cho ca kế tiếp. Không xóa lịch sử/audit bằng API nghiệp vụ.</x:v>
      </x:c>
      <x:c r="S17" s="11" t="str"/>
      <x:c r="T17" s="11" t="str"/>
      <x:c r="U17" s="11" t="str"/>
      <x:c r="V17" s="11" t="str"/>
      <x:c r="W17" s="12"/>
      <x:c r="X17" s="9" t="str">
        <x:v>API01; SRS B7 FR01, FR26; MSD 6.2</x:v>
      </x:c>
    </x:row>
    <x:row r="18" ht="52" customHeight="1">
      <x:c r="A18" s="10" t="str">
        <x:v>TC13-AUTH-012</x:v>
      </x:c>
      <x:c r="B18" s="10" t="str">
        <x:v>AUTH</x:v>
      </x:c>
      <x:c r="C18" s="10" t="str">
        <x:v>Hết cửa sổ phục hồi</x:v>
      </x:c>
      <x:c r="D18" s="10" t="str">
        <x:v>P1</x:v>
      </x:c>
      <x:c r="E18" s="10" t="str">
        <x:v>NEEDS_DECISION</x:v>
      </x:c>
      <x:c r="F18" s="10" t="str">
        <x:v>NOT_RUN</x:v>
      </x:c>
      <x:c r="G18" s="10" t="str">
        <x:v>D05,D08</x:v>
      </x:c>
      <x:c r="H18" s="10" t="str">
        <x:v>FUNCTIONAL</x:v>
      </x:c>
      <x:c r="I18" s="10" t="str">
        <x:v>API01 /auth/*; /accounts/me; /customers/{customerId}</x:v>
      </x:c>
      <x:c r="J18" s="10" t="str">
        <x:v>BASE; C_A/C_B và O_A theo Du_lieu. Dùng tài khoản mới khi đăng ký.</x:v>
      </x:c>
      <x:c r="K18" s="10" t="str">
        <x:v>Operation đã có kết quả cuối trên 7 ngày theo cấu hình đề xuất</x:v>
      </x:c>
      <x:c r="L18" s="10" t="str">
        <x:v>1. GET và replay đúng proof sau retention</x:v>
      </x:c>
      <x:c r="M18" s="10" t="str">
        <x:v>GET 404; replay 409 IDEMPOTENCY_KEY_EXPIRED; tombstone ngăn tái tạo. Mốc dọn phải được duyệt.</x:v>
      </x:c>
      <x:c r="N18" s="10" t="str">
        <x:v>HTTP request/response đã che token; bản ghi trước/sau tại DB sở hữu; correlationId và log/audit liên quan.</x:v>
      </x:c>
      <x:c r="O18" s="10" t="str">
        <x:v>FR01; FR28; NFR03; NFR04</x:v>
      </x:c>
      <x:c r="P18" s="10" t="str">
        <x:v>UC01; UC22; AC01; AC21</x:v>
      </x:c>
      <x:c r="Q18" s="10" t="str">
        <x:v>9</x:v>
      </x:c>
      <x:c r="R18" s="10" t="str">
        <x:v>Khôi phục dependency/fault injection nếu có; dùng bộ ID mới cho ca kế tiếp. Không xóa lịch sử/audit bằng API nghiệp vụ.</x:v>
      </x:c>
      <x:c r="S18" s="11" t="str"/>
      <x:c r="T18" s="11" t="str"/>
      <x:c r="U18" s="11" t="str"/>
      <x:c r="V18" s="11" t="str"/>
      <x:c r="W18" s="12"/>
      <x:c r="X18" s="10" t="str">
        <x:v>API01; SRS B7 FR01, FR26; MSD 6.2</x:v>
      </x:c>
    </x:row>
    <x:row r="19" ht="52" customHeight="1">
      <x:c r="A19" s="9" t="str">
        <x:v>TC13-AUTH-013</x:v>
      </x:c>
      <x:c r="B19" s="9" t="str">
        <x:v>AUTH</x:v>
      </x:c>
      <x:c r="C19" s="9" t="str">
        <x:v>Login không tiết lộ tài khoản</x:v>
      </x:c>
      <x:c r="D19" s="9" t="str">
        <x:v>P1</x:v>
      </x:c>
      <x:c r="E19" s="9" t="str">
        <x:v>DEFINED</x:v>
      </x:c>
      <x:c r="F19" s="9" t="str">
        <x:v>NOT_RUN</x:v>
      </x:c>
      <x:c r="G19" s="9" t="str"/>
      <x:c r="H19" s="9" t="str">
        <x:v>FUNCTIONAL</x:v>
      </x:c>
      <x:c r="I19" s="9" t="str">
        <x:v>API01 /auth/*; /accounts/me; /customers/{customerId}</x:v>
      </x:c>
      <x:c r="J19" s="9" t="str">
        <x:v>BASE; C_A/C_B và O_A theo Du_lieu. Dùng tài khoản mới khi đăng ký.</x:v>
      </x:c>
      <x:c r="K19" s="9" t="str">
        <x:v>Email không tồn tại và email tồn tại/mật khẩu sai</x:v>
      </x:c>
      <x:c r="L19" s="9" t="str">
        <x:v>1. Thực hiện hai request login</x:v>
      </x:c>
      <x:c r="M19" s="9" t="str">
        <x:v>Cùng 401 INVALID_CREDENTIALS và thông báo chung; không phân biệt Account tồn tại.</x:v>
      </x:c>
      <x:c r="N19" s="9" t="str">
        <x:v>HTTP request/response đã che token; bản ghi trước/sau tại DB sở hữu; correlationId và log/audit liên quan.</x:v>
      </x:c>
      <x:c r="O19" s="9" t="str">
        <x:v>FR01; NFR04</x:v>
      </x:c>
      <x:c r="P19" s="9" t="str">
        <x:v>UC01; AC01</x:v>
      </x:c>
      <x:c r="Q19" s="9" t="str">
        <x:v>10</x:v>
      </x:c>
      <x:c r="R19" s="9" t="str">
        <x:v>Khôi phục dependency/fault injection nếu có; dùng bộ ID mới cho ca kế tiếp. Không xóa lịch sử/audit bằng API nghiệp vụ.</x:v>
      </x:c>
      <x:c r="S19" s="11" t="str"/>
      <x:c r="T19" s="11" t="str"/>
      <x:c r="U19" s="11" t="str"/>
      <x:c r="V19" s="11" t="str"/>
      <x:c r="W19" s="12"/>
      <x:c r="X19" s="9" t="str">
        <x:v>API01; SRS B7 FR01, FR26; MSD 6.2</x:v>
      </x:c>
    </x:row>
    <x:row r="20" ht="52" customHeight="1">
      <x:c r="A20" s="10" t="str">
        <x:v>TC13-AUTH-014</x:v>
      </x:c>
      <x:c r="B20" s="10" t="str">
        <x:v>AUTH</x:v>
      </x:c>
      <x:c r="C20" s="10" t="str">
        <x:v>Account không ACTIVE</x:v>
      </x:c>
      <x:c r="D20" s="10" t="str">
        <x:v>P1</x:v>
      </x:c>
      <x:c r="E20" s="10" t="str">
        <x:v>DEFINED</x:v>
      </x:c>
      <x:c r="F20" s="10" t="str">
        <x:v>NOT_RUN</x:v>
      </x:c>
      <x:c r="G20" s="10" t="str"/>
      <x:c r="H20" s="10" t="str">
        <x:v>FUNCTIONAL</x:v>
      </x:c>
      <x:c r="I20" s="10" t="str">
        <x:v>API01 /auth/*; /accounts/me; /customers/{customerId}</x:v>
      </x:c>
      <x:c r="J20" s="10" t="str">
        <x:v>BASE; C_A/C_B và O_A theo Du_lieu. Dùng tài khoản mới khi đăng ký.</x:v>
      </x:c>
      <x:c r="K20" s="10" t="str">
        <x:v>C_A lần lượt INACTIVE, SUSPENDED; password đúng</x:v>
      </x:c>
      <x:c r="L20" s="10" t="str">
        <x:v>1. Login từng trạng thái</x:v>
      </x:c>
      <x:c r="M20" s="10" t="str">
        <x:v>403 ACCOUNT_NOT_ACTIVE theo API; không tạo Session mới.</x:v>
      </x:c>
      <x:c r="N20" s="10" t="str">
        <x:v>HTTP request/response đã che token; bản ghi trước/sau tại DB sở hữu; correlationId và log/audit liên quan.</x:v>
      </x:c>
      <x:c r="O20" s="10" t="str">
        <x:v>FR01; NFR04</x:v>
      </x:c>
      <x:c r="P20" s="10" t="str">
        <x:v>UC01; AC01</x:v>
      </x:c>
      <x:c r="Q20" s="10" t="str">
        <x:v>10</x:v>
      </x:c>
      <x:c r="R20" s="10" t="str">
        <x:v>Khôi phục dependency/fault injection nếu có; dùng bộ ID mới cho ca kế tiếp. Không xóa lịch sử/audit bằng API nghiệp vụ.</x:v>
      </x:c>
      <x:c r="S20" s="11" t="str"/>
      <x:c r="T20" s="11" t="str"/>
      <x:c r="U20" s="11" t="str"/>
      <x:c r="V20" s="11" t="str"/>
      <x:c r="W20" s="12"/>
      <x:c r="X20" s="10" t="str">
        <x:v>API01; SRS B7 FR01, FR26; MSD 6.2</x:v>
      </x:c>
    </x:row>
    <x:row r="21" ht="52" customHeight="1">
      <x:c r="A21" s="9" t="str">
        <x:v>TC13-AUTH-015</x:v>
      </x:c>
      <x:c r="B21" s="9" t="str">
        <x:v>AUTH</x:v>
      </x:c>
      <x:c r="C21" s="9" t="str">
        <x:v>Driver chưa duyệt được login</x:v>
      </x:c>
      <x:c r="D21" s="9" t="str">
        <x:v>P1</x:v>
      </x:c>
      <x:c r="E21" s="9" t="str">
        <x:v>DEFINED</x:v>
      </x:c>
      <x:c r="F21" s="9" t="str">
        <x:v>NOT_RUN</x:v>
      </x:c>
      <x:c r="G21" s="9" t="str"/>
      <x:c r="H21" s="9" t="str">
        <x:v>FUNCTIONAL</x:v>
      </x:c>
      <x:c r="I21" s="9" t="str">
        <x:v>API01 /auth/*; /accounts/me; /customers/{customerId}</x:v>
      </x:c>
      <x:c r="J21" s="9" t="str">
        <x:v>BASE; C_A/C_B và O_A theo Du_lieu. Dùng tài khoản mới khi đăng ký.</x:v>
      </x:c>
      <x:c r="K21" s="9" t="str">
        <x:v>D_PENDING và D_REJECTED có Account ACTIVE</x:v>
      </x:c>
      <x:c r="L21" s="9" t="str">
        <x:v>1. Login mỗi tài khoản; đọc accounts/me</x:v>
      </x:c>
      <x:c r="M21" s="9" t="str">
        <x:v>200 và đúng driverId; chưa cấp quyền AVAILABLE/accept chỉ nhờ JWT DRIVER.</x:v>
      </x:c>
      <x:c r="N21" s="9" t="str">
        <x:v>HTTP request/response đã che token; bản ghi trước/sau tại DB sở hữu; correlationId và log/audit liên quan.</x:v>
      </x:c>
      <x:c r="O21" s="9" t="str">
        <x:v>FR01; NFR04</x:v>
      </x:c>
      <x:c r="P21" s="9" t="str">
        <x:v>UC01; AC01</x:v>
      </x:c>
      <x:c r="Q21" s="9" t="str">
        <x:v>10</x:v>
      </x:c>
      <x:c r="R21" s="9" t="str">
        <x:v>Khôi phục dependency/fault injection nếu có; dùng bộ ID mới cho ca kế tiếp. Không xóa lịch sử/audit bằng API nghiệp vụ.</x:v>
      </x:c>
      <x:c r="S21" s="11" t="str"/>
      <x:c r="T21" s="11" t="str"/>
      <x:c r="U21" s="11" t="str"/>
      <x:c r="V21" s="11" t="str"/>
      <x:c r="W21" s="12"/>
      <x:c r="X21" s="9" t="str">
        <x:v>API01; SRS B7 FR01, FR26; MSD 6.2</x:v>
      </x:c>
    </x:row>
    <x:row r="22" ht="52" customHeight="1">
      <x:c r="A22" s="10" t="str">
        <x:v>TC13-AUTH-016</x:v>
      </x:c>
      <x:c r="B22" s="10" t="str">
        <x:v>AUTH</x:v>
      </x:c>
      <x:c r="C22" s="10" t="str">
        <x:v>Login khi cấp phát chưa xong</x:v>
      </x:c>
      <x:c r="D22" s="10" t="str">
        <x:v>P1</x:v>
      </x:c>
      <x:c r="E22" s="10" t="str">
        <x:v>DEFINED</x:v>
      </x:c>
      <x:c r="F22" s="10" t="str">
        <x:v>NOT_RUN</x:v>
      </x:c>
      <x:c r="G22" s="10" t="str"/>
      <x:c r="H22" s="10" t="str">
        <x:v>FUNCTIONAL</x:v>
      </x:c>
      <x:c r="I22" s="10" t="str">
        <x:v>API01 /auth/*; /accounts/me; /customers/{customerId}</x:v>
      </x:c>
      <x:c r="J22" s="10" t="str">
        <x:v>BASE; C_A/C_B và O_A theo Du_lieu. Dùng tài khoản mới khi đăng ký.</x:v>
      </x:c>
      <x:c r="K22" s="10" t="str">
        <x:v>Password đúng; RegistrationOperation PROCESSING</x:v>
      </x:c>
      <x:c r="L22" s="10" t="str">
        <x:v>1. POST login</x:v>
      </x:c>
      <x:c r="M22" s="10" t="str">
        <x:v>409 REGISTRATION_IN_PROGRESS; không cấp access/refresh token.</x:v>
      </x:c>
      <x:c r="N22" s="10" t="str">
        <x:v>HTTP request/response đã che token; bản ghi trước/sau tại DB sở hữu; correlationId và log/audit liên quan.</x:v>
      </x:c>
      <x:c r="O22" s="10" t="str">
        <x:v>FR01; NFR04</x:v>
      </x:c>
      <x:c r="P22" s="10" t="str">
        <x:v>UC01; AC01</x:v>
      </x:c>
      <x:c r="Q22" s="10" t="str">
        <x:v>10</x:v>
      </x:c>
      <x:c r="R22" s="10" t="str">
        <x:v>Khôi phục dependency/fault injection nếu có; dùng bộ ID mới cho ca kế tiếp. Không xóa lịch sử/audit bằng API nghiệp vụ.</x:v>
      </x:c>
      <x:c r="S22" s="11" t="str"/>
      <x:c r="T22" s="11" t="str"/>
      <x:c r="U22" s="11" t="str"/>
      <x:c r="V22" s="11" t="str"/>
      <x:c r="W22" s="12"/>
      <x:c r="X22" s="10" t="str">
        <x:v>API01; SRS B7 FR01, FR26; MSD 6.2</x:v>
      </x:c>
    </x:row>
    <x:row r="23" ht="52" customHeight="1">
      <x:c r="A23" s="9" t="str">
        <x:v>TC13-AUTH-017</x:v>
      </x:c>
      <x:c r="B23" s="9" t="str">
        <x:v>AUTH</x:v>
      </x:c>
      <x:c r="C23" s="9" t="str">
        <x:v>Refresh luân chuyển token</x:v>
      </x:c>
      <x:c r="D23" s="9" t="str">
        <x:v>P1</x:v>
      </x:c>
      <x:c r="E23" s="9" t="str">
        <x:v>DEFINED</x:v>
      </x:c>
      <x:c r="F23" s="9" t="str">
        <x:v>NOT_RUN</x:v>
      </x:c>
      <x:c r="G23" s="9" t="str"/>
      <x:c r="H23" s="9" t="str">
        <x:v>FUNCTIONAL</x:v>
      </x:c>
      <x:c r="I23" s="9" t="str">
        <x:v>API01 /auth/*; /accounts/me; /customers/{customerId}</x:v>
      </x:c>
      <x:c r="J23" s="9" t="str">
        <x:v>BASE; C_A/C_B và O_A theo Du_lieu. Dùng tài khoản mới khi đăng ký.</x:v>
      </x:c>
      <x:c r="K23" s="9" t="str">
        <x:v>Session hợp lệ; refresh R1</x:v>
      </x:c>
      <x:c r="L23" s="9" t="str">
        <x:v>1. Refresh R1 lấy R2; dùng lại R1</x:v>
      </x:c>
      <x:c r="M23" s="9" t="str">
        <x:v>Một refresh thành công; R1 sau rotation bị từ chối 401; expiresAt tuyệt đối không kéo dài quá 7 ngày.</x:v>
      </x:c>
      <x:c r="N23" s="9" t="str">
        <x:v>HTTP request/response đã che token; bản ghi trước/sau tại DB sở hữu; correlationId và log/audit liên quan.</x:v>
      </x:c>
      <x:c r="O23" s="9" t="str">
        <x:v>FR01; NFR04</x:v>
      </x:c>
      <x:c r="P23" s="9" t="str">
        <x:v>UC01; AC01</x:v>
      </x:c>
      <x:c r="Q23" s="9" t="str">
        <x:v>10</x:v>
      </x:c>
      <x:c r="R23" s="9" t="str">
        <x:v>Khôi phục dependency/fault injection nếu có; dùng bộ ID mới cho ca kế tiếp. Không xóa lịch sử/audit bằng API nghiệp vụ.</x:v>
      </x:c>
      <x:c r="S23" s="11" t="str"/>
      <x:c r="T23" s="11" t="str"/>
      <x:c r="U23" s="11" t="str"/>
      <x:c r="V23" s="11" t="str"/>
      <x:c r="W23" s="12"/>
      <x:c r="X23" s="9" t="str">
        <x:v>API01; SRS B7 FR01, FR26; MSD 6.2</x:v>
      </x:c>
    </x:row>
    <x:row r="24" ht="52" customHeight="1">
      <x:c r="A24" s="10" t="str">
        <x:v>TC13-AUTH-018</x:v>
      </x:c>
      <x:c r="B24" s="10" t="str">
        <x:v>AUTH</x:v>
      </x:c>
      <x:c r="C24" s="10" t="str">
        <x:v>Hai refresh đồng thời</x:v>
      </x:c>
      <x:c r="D24" s="10" t="str">
        <x:v>P1</x:v>
      </x:c>
      <x:c r="E24" s="10" t="str">
        <x:v>DEFINED</x:v>
      </x:c>
      <x:c r="F24" s="10" t="str">
        <x:v>NOT_RUN</x:v>
      </x:c>
      <x:c r="G24" s="10" t="str"/>
      <x:c r="H24" s="10" t="str">
        <x:v>FUNCTIONAL</x:v>
      </x:c>
      <x:c r="I24" s="10" t="str">
        <x:v>API01 /auth/*; /accounts/me; /customers/{customerId}</x:v>
      </x:c>
      <x:c r="J24" s="10" t="str">
        <x:v>BASE; C_A/C_B và O_A theo Du_lieu. Dùng tài khoản mới khi đăng ký.</x:v>
      </x:c>
      <x:c r="K24" s="10" t="str">
        <x:v>Hai request cùng R1</x:v>
      </x:c>
      <x:c r="L24" s="10" t="str">
        <x:v>1. Dùng barrier gửi đồng thời</x:v>
      </x:c>
      <x:c r="M24" s="10" t="str">
        <x:v>Tối đa một thành công; không có hai refresh token hiện hành cùng Session.</x:v>
      </x:c>
      <x:c r="N24" s="10" t="str">
        <x:v>HTTP request/response đã che token; bản ghi trước/sau tại DB sở hữu; correlationId và log/audit liên quan.</x:v>
      </x:c>
      <x:c r="O24" s="10" t="str">
        <x:v>FR01; NFR04</x:v>
      </x:c>
      <x:c r="P24" s="10" t="str">
        <x:v>UC01; AC01</x:v>
      </x:c>
      <x:c r="Q24" s="10" t="str">
        <x:v>10</x:v>
      </x:c>
      <x:c r="R24" s="10" t="str">
        <x:v>Khôi phục dependency/fault injection nếu có; dùng bộ ID mới cho ca kế tiếp. Không xóa lịch sử/audit bằng API nghiệp vụ.</x:v>
      </x:c>
      <x:c r="S24" s="11" t="str"/>
      <x:c r="T24" s="11" t="str"/>
      <x:c r="U24" s="11" t="str"/>
      <x:c r="V24" s="11" t="str"/>
      <x:c r="W24" s="12"/>
      <x:c r="X24" s="10" t="str">
        <x:v>API01; SRS B7 FR01, FR26; MSD 6.2</x:v>
      </x:c>
    </x:row>
    <x:row r="25" ht="52" customHeight="1">
      <x:c r="A25" s="9" t="str">
        <x:v>TC13-AUTH-019</x:v>
      </x:c>
      <x:c r="B25" s="9" t="str">
        <x:v>AUTH</x:v>
      </x:c>
      <x:c r="C25" s="9" t="str">
        <x:v>Access token gần hết phiên</x:v>
      </x:c>
      <x:c r="D25" s="9" t="str">
        <x:v>P1</x:v>
      </x:c>
      <x:c r="E25" s="9" t="str">
        <x:v>DEFINED</x:v>
      </x:c>
      <x:c r="F25" s="9" t="str">
        <x:v>NOT_RUN</x:v>
      </x:c>
      <x:c r="G25" s="9" t="str"/>
      <x:c r="H25" s="9" t="str">
        <x:v>FUNCTIONAL</x:v>
      </x:c>
      <x:c r="I25" s="9" t="str">
        <x:v>API01 /auth/*; /accounts/me; /customers/{customerId}</x:v>
      </x:c>
      <x:c r="J25" s="9" t="str">
        <x:v>BASE; C_A/C_B và O_A theo Du_lieu. Dùng tài khoản mới khi đăng ký.</x:v>
      </x:c>
      <x:c r="K25" s="9" t="str">
        <x:v>Session còn 60 giây</x:v>
      </x:c>
      <x:c r="L25" s="9" t="str">
        <x:v>1. Refresh và kiểm tra exp của access token</x:v>
      </x:c>
      <x:c r="M25" s="9" t="str">
        <x:v>Access token mới không hết hạn sau Session; expiresIn không vượt 900 giây.</x:v>
      </x:c>
      <x:c r="N25" s="9" t="str">
        <x:v>HTTP request/response đã che token; bản ghi trước/sau tại DB sở hữu; correlationId và log/audit liên quan.</x:v>
      </x:c>
      <x:c r="O25" s="9" t="str">
        <x:v>FR01; NFR04</x:v>
      </x:c>
      <x:c r="P25" s="9" t="str">
        <x:v>UC01; AC01</x:v>
      </x:c>
      <x:c r="Q25" s="9" t="str">
        <x:v>10</x:v>
      </x:c>
      <x:c r="R25" s="9" t="str">
        <x:v>Khôi phục dependency/fault injection nếu có; dùng bộ ID mới cho ca kế tiếp. Không xóa lịch sử/audit bằng API nghiệp vụ.</x:v>
      </x:c>
      <x:c r="S25" s="11" t="str"/>
      <x:c r="T25" s="11" t="str"/>
      <x:c r="U25" s="11" t="str"/>
      <x:c r="V25" s="11" t="str"/>
      <x:c r="W25" s="12"/>
      <x:c r="X25" s="9" t="str">
        <x:v>API01; SRS B7 FR01, FR26; MSD 6.2</x:v>
      </x:c>
    </x:row>
    <x:row r="26" ht="52" customHeight="1">
      <x:c r="A26" s="10" t="str">
        <x:v>TC13-AUTH-020</x:v>
      </x:c>
      <x:c r="B26" s="10" t="str">
        <x:v>AUTH</x:v>
      </x:c>
      <x:c r="C26" s="10" t="str">
        <x:v>Logout chỉ phiên hiện tại</x:v>
      </x:c>
      <x:c r="D26" s="10" t="str">
        <x:v>P1</x:v>
      </x:c>
      <x:c r="E26" s="10" t="str">
        <x:v>DEFINED</x:v>
      </x:c>
      <x:c r="F26" s="10" t="str">
        <x:v>NOT_RUN</x:v>
      </x:c>
      <x:c r="G26" s="10" t="str"/>
      <x:c r="H26" s="10" t="str">
        <x:v>FUNCTIONAL</x:v>
      </x:c>
      <x:c r="I26" s="10" t="str">
        <x:v>API01 /auth/*; /accounts/me; /customers/{customerId}</x:v>
      </x:c>
      <x:c r="J26" s="10" t="str">
        <x:v>BASE; C_A/C_B và O_A theo Du_lieu. Dùng tài khoản mới khi đăng ký.</x:v>
      </x:c>
      <x:c r="K26" s="10" t="str">
        <x:v>C_A có S1 và S2</x:v>
      </x:c>
      <x:c r="L26" s="10" t="str">
        <x:v>1. Logout S1; dùng cả hai token đọc hồ sơ</x:v>
      </x:c>
      <x:c r="M26" s="10" t="str">
        <x:v>S1 mất quyền; S2 còn hoạt động; không thu hồi nhầm phiên khác.</x:v>
      </x:c>
      <x:c r="N26" s="10" t="str">
        <x:v>HTTP request/response đã che token; bản ghi trước/sau tại DB sở hữu; correlationId và log/audit liên quan.</x:v>
      </x:c>
      <x:c r="O26" s="10" t="str">
        <x:v>FR01; NFR04</x:v>
      </x:c>
      <x:c r="P26" s="10" t="str">
        <x:v>UC01; AC01</x:v>
      </x:c>
      <x:c r="Q26" s="10" t="str">
        <x:v>10</x:v>
      </x:c>
      <x:c r="R26" s="10" t="str">
        <x:v>Khôi phục dependency/fault injection nếu có; dùng bộ ID mới cho ca kế tiếp. Không xóa lịch sử/audit bằng API nghiệp vụ.</x:v>
      </x:c>
      <x:c r="S26" s="11" t="str"/>
      <x:c r="T26" s="11" t="str"/>
      <x:c r="U26" s="11" t="str"/>
      <x:c r="V26" s="11" t="str"/>
      <x:c r="W26" s="12"/>
      <x:c r="X26" s="10" t="str">
        <x:v>API01; SRS B7 FR01, FR26; MSD 6.2</x:v>
      </x:c>
    </x:row>
    <x:row r="27" ht="52" customHeight="1">
      <x:c r="A27" s="9" t="str">
        <x:v>TC13-AUTH-021</x:v>
      </x:c>
      <x:c r="B27" s="9" t="str">
        <x:v>AUTH</x:v>
      </x:c>
      <x:c r="C27" s="9" t="str">
        <x:v>Đổi mật khẩu thu hồi mọi phiên</x:v>
      </x:c>
      <x:c r="D27" s="9" t="str">
        <x:v>P1</x:v>
      </x:c>
      <x:c r="E27" s="9" t="str">
        <x:v>DEFINED</x:v>
      </x:c>
      <x:c r="F27" s="9" t="str">
        <x:v>NOT_RUN</x:v>
      </x:c>
      <x:c r="G27" s="9" t="str"/>
      <x:c r="H27" s="9" t="str">
        <x:v>FUNCTIONAL</x:v>
      </x:c>
      <x:c r="I27" s="9" t="str">
        <x:v>API01 /auth/*; /accounts/me; /customers/{customerId}</x:v>
      </x:c>
      <x:c r="J27" s="9" t="str">
        <x:v>BASE; C_A/C_B và O_A theo Du_lieu. Dùng tài khoản mới khi đăng ký.</x:v>
      </x:c>
      <x:c r="K27" s="9" t="str">
        <x:v>C_A có ít nhất hai Session</x:v>
      </x:c>
      <x:c r="L27" s="9" t="str">
        <x:v>1. Đổi password đúng; thử tất cả token cũ; login password mới</x:v>
      </x:c>
      <x:c r="M27" s="9" t="str">
        <x:v>204 sau commit; mọi phiên cũ mất quyền; password cũ không đăng nhập được.</x:v>
      </x:c>
      <x:c r="N27" s="9" t="str">
        <x:v>HTTP request/response đã che token; bản ghi trước/sau tại DB sở hữu; correlationId và log/audit liên quan.</x:v>
      </x:c>
      <x:c r="O27" s="9" t="str">
        <x:v>FR01; NFR04</x:v>
      </x:c>
      <x:c r="P27" s="9" t="str">
        <x:v>UC01; AC01</x:v>
      </x:c>
      <x:c r="Q27" s="9" t="str">
        <x:v>10</x:v>
      </x:c>
      <x:c r="R27" s="9" t="str">
        <x:v>Khôi phục dependency/fault injection nếu có; dùng bộ ID mới cho ca kế tiếp. Không xóa lịch sử/audit bằng API nghiệp vụ.</x:v>
      </x:c>
      <x:c r="S27" s="11" t="str"/>
      <x:c r="T27" s="11" t="str"/>
      <x:c r="U27" s="11" t="str"/>
      <x:c r="V27" s="11" t="str"/>
      <x:c r="W27" s="12"/>
      <x:c r="X27" s="9" t="str">
        <x:v>API01; SRS B7 FR01, FR26; MSD 6.2</x:v>
      </x:c>
    </x:row>
    <x:row r="28" ht="52" customHeight="1">
      <x:c r="A28" s="10" t="str">
        <x:v>TC13-AUTH-022</x:v>
      </x:c>
      <x:c r="B28" s="10" t="str">
        <x:v>AUTH</x:v>
      </x:c>
      <x:c r="C28" s="10" t="str">
        <x:v>Đổi mật khẩu sai xác minh</x:v>
      </x:c>
      <x:c r="D28" s="10" t="str">
        <x:v>P1</x:v>
      </x:c>
      <x:c r="E28" s="10" t="str">
        <x:v>DEFINED</x:v>
      </x:c>
      <x:c r="F28" s="10" t="str">
        <x:v>NOT_RUN</x:v>
      </x:c>
      <x:c r="G28" s="10" t="str"/>
      <x:c r="H28" s="10" t="str">
        <x:v>FUNCTIONAL</x:v>
      </x:c>
      <x:c r="I28" s="10" t="str">
        <x:v>API01 /auth/*; /accounts/me; /customers/{customerId}</x:v>
      </x:c>
      <x:c r="J28" s="10" t="str">
        <x:v>BASE; C_A/C_B và O_A theo Du_lieu. Dùng tài khoản mới khi đăng ký.</x:v>
      </x:c>
      <x:c r="K28" s="10" t="str">
        <x:v>currentPassword sai</x:v>
      </x:c>
      <x:c r="L28" s="10" t="str">
        <x:v>1. POST change-password</x:v>
      </x:c>
      <x:c r="M28" s="10" t="str">
        <x:v>400 CURRENT_PASSWORD_INVALID; password và Session chưa thay đổi.</x:v>
      </x:c>
      <x:c r="N28" s="10" t="str">
        <x:v>HTTP request/response đã che token; bản ghi trước/sau tại DB sở hữu; correlationId và log/audit liên quan.</x:v>
      </x:c>
      <x:c r="O28" s="10" t="str">
        <x:v>FR01; NFR04</x:v>
      </x:c>
      <x:c r="P28" s="10" t="str">
        <x:v>UC01; AC01</x:v>
      </x:c>
      <x:c r="Q28" s="10" t="str">
        <x:v>10</x:v>
      </x:c>
      <x:c r="R28" s="10" t="str">
        <x:v>Khôi phục dependency/fault injection nếu có; dùng bộ ID mới cho ca kế tiếp. Không xóa lịch sử/audit bằng API nghiệp vụ.</x:v>
      </x:c>
      <x:c r="S28" s="11" t="str"/>
      <x:c r="T28" s="11" t="str"/>
      <x:c r="U28" s="11" t="str"/>
      <x:c r="V28" s="11" t="str"/>
      <x:c r="W28" s="12"/>
      <x:c r="X28" s="10" t="str">
        <x:v>API01; SRS B7 FR01, FR26; MSD 6.2</x:v>
      </x:c>
    </x:row>
    <x:row r="29" ht="52" customHeight="1">
      <x:c r="A29" s="9" t="str">
        <x:v>TC13-AUTH-023</x:v>
      </x:c>
      <x:c r="B29" s="9" t="str">
        <x:v>AUTH</x:v>
      </x:c>
      <x:c r="C29" s="9" t="str">
        <x:v>Cập nhật liên hệ cần password</x:v>
      </x:c>
      <x:c r="D29" s="9" t="str">
        <x:v>P1</x:v>
      </x:c>
      <x:c r="E29" s="9" t="str">
        <x:v>DEFINED</x:v>
      </x:c>
      <x:c r="F29" s="9" t="str">
        <x:v>NOT_RUN</x:v>
      </x:c>
      <x:c r="G29" s="9" t="str"/>
      <x:c r="H29" s="9" t="str">
        <x:v>FUNCTIONAL</x:v>
      </x:c>
      <x:c r="I29" s="9" t="str">
        <x:v>API01 /auth/*; /accounts/me; /customers/{customerId}</x:v>
      </x:c>
      <x:c r="J29" s="9" t="str">
        <x:v>BASE; C_A/C_B và O_A theo Du_lieu. Dùng tài khoản mới khi đăng ký.</x:v>
      </x:c>
      <x:c r="K29" s="9" t="str">
        <x:v>PATCH accounts/me có email hoặc phone, thiếu/sai currentPassword</x:v>
      </x:c>
      <x:c r="L29" s="9" t="str">
        <x:v>1. Gửi từng biến thể</x:v>
      </x:c>
      <x:c r="M29" s="9" t="str">
        <x:v>Từ chối theo 400; không cập nhật một phần; fullName cùng request cũng giữ nguyên khi liên hệ lỗi.</x:v>
      </x:c>
      <x:c r="N29" s="9" t="str">
        <x:v>HTTP request/response đã che token; bản ghi trước/sau tại DB sở hữu; correlationId và log/audit liên quan.</x:v>
      </x:c>
      <x:c r="O29" s="9" t="str">
        <x:v>FR01; NFR04</x:v>
      </x:c>
      <x:c r="P29" s="9" t="str">
        <x:v>UC01; AC01; AC20</x:v>
      </x:c>
      <x:c r="Q29" s="9" t="str">
        <x:v>28</x:v>
      </x:c>
      <x:c r="R29" s="9" t="str">
        <x:v>Khôi phục dependency/fault injection nếu có; dùng bộ ID mới cho ca kế tiếp. Không xóa lịch sử/audit bằng API nghiệp vụ.</x:v>
      </x:c>
      <x:c r="S29" s="11" t="str"/>
      <x:c r="T29" s="11" t="str"/>
      <x:c r="U29" s="11" t="str"/>
      <x:c r="V29" s="11" t="str"/>
      <x:c r="W29" s="12"/>
      <x:c r="X29" s="9" t="str">
        <x:v>API01; SRS B7 FR01, FR26; MSD 6.2</x:v>
      </x:c>
    </x:row>
    <x:row r="30" ht="52" customHeight="1">
      <x:c r="A30" s="10" t="str">
        <x:v>TC13-AUTH-024</x:v>
      </x:c>
      <x:c r="B30" s="10" t="str">
        <x:v>AUTH</x:v>
      </x:c>
      <x:c r="C30" s="10" t="str">
        <x:v>Không sửa quyền qua hồ sơ</x:v>
      </x:c>
      <x:c r="D30" s="10" t="str">
        <x:v>P1</x:v>
      </x:c>
      <x:c r="E30" s="10" t="str">
        <x:v>DEFINED</x:v>
      </x:c>
      <x:c r="F30" s="10" t="str">
        <x:v>NOT_RUN</x:v>
      </x:c>
      <x:c r="G30" s="10" t="str"/>
      <x:c r="H30" s="10" t="str">
        <x:v>FUNCTIONAL</x:v>
      </x:c>
      <x:c r="I30" s="10" t="str">
        <x:v>API01 /auth/*; /accounts/me; /customers/{customerId}</x:v>
      </x:c>
      <x:c r="J30" s="10" t="str">
        <x:v>BASE; C_A/C_B và O_A theo Du_lieu. Dùng tài khoản mới khi đăng ký.</x:v>
      </x:c>
      <x:c r="K30" s="10" t="str">
        <x:v>PATCH thêm role, accountStatus, driverId</x:v>
      </x:c>
      <x:c r="L30" s="10" t="str">
        <x:v>1. Gửi từng trường ngoài schema</x:v>
      </x:c>
      <x:c r="M30" s="10" t="str">
        <x:v>400; không đổi quyền/định danh.</x:v>
      </x:c>
      <x:c r="N30" s="10" t="str">
        <x:v>HTTP request/response đã che token; bản ghi trước/sau tại DB sở hữu; correlationId và log/audit liên quan.</x:v>
      </x:c>
      <x:c r="O30" s="10" t="str">
        <x:v>FR01; NFR04</x:v>
      </x:c>
      <x:c r="P30" s="10" t="str">
        <x:v>UC01; AC01; AC20</x:v>
      </x:c>
      <x:c r="Q30" s="10" t="str">
        <x:v>28</x:v>
      </x:c>
      <x:c r="R30" s="10" t="str">
        <x:v>Khôi phục dependency/fault injection nếu có; dùng bộ ID mới cho ca kế tiếp. Không xóa lịch sử/audit bằng API nghiệp vụ.</x:v>
      </x:c>
      <x:c r="S30" s="11" t="str"/>
      <x:c r="T30" s="11" t="str"/>
      <x:c r="U30" s="11" t="str"/>
      <x:c r="V30" s="11" t="str"/>
      <x:c r="W30" s="12"/>
      <x:c r="X30" s="10" t="str">
        <x:v>API01; SRS B7 FR01, FR26; MSD 6.2</x:v>
      </x:c>
    </x:row>
    <x:row r="31" ht="52" customHeight="1">
      <x:c r="A31" s="9" t="str">
        <x:v>TC13-AUTH-025</x:v>
      </x:c>
      <x:c r="B31" s="9" t="str">
        <x:v>AUTH</x:v>
      </x:c>
      <x:c r="C31" s="9" t="str">
        <x:v>Customer chỉ đọc chính mình</x:v>
      </x:c>
      <x:c r="D31" s="9" t="str">
        <x:v>P1</x:v>
      </x:c>
      <x:c r="E31" s="9" t="str">
        <x:v>DEFINED</x:v>
      </x:c>
      <x:c r="F31" s="9" t="str">
        <x:v>NOT_RUN</x:v>
      </x:c>
      <x:c r="G31" s="9" t="str"/>
      <x:c r="H31" s="9" t="str">
        <x:v>FUNCTIONAL</x:v>
      </x:c>
      <x:c r="I31" s="9" t="str">
        <x:v>API01 /auth/*; /accounts/me; /customers/{customerId}</x:v>
      </x:c>
      <x:c r="J31" s="9" t="str">
        <x:v>BASE; C_A/C_B và O_A theo Du_lieu. Dùng tài khoản mới khi đăng ký.</x:v>
      </x:c>
      <x:c r="K31" s="9" t="str">
        <x:v>Token C_A; customerId C_B và ID không tồn tại</x:v>
      </x:c>
      <x:c r="L31" s="9" t="str">
        <x:v>1. GET customers với từng ID</x:v>
      </x:c>
      <x:c r="M31" s="9" t="str">
        <x:v>404 cùng cấu trúc; O_A có quyền xem được C_B; DRIVER gọi trả 403.</x:v>
      </x:c>
      <x:c r="N31" s="9" t="str">
        <x:v>HTTP request/response đã che token; bản ghi trước/sau tại DB sở hữu; correlationId và log/audit liên quan.</x:v>
      </x:c>
      <x:c r="O31" s="9" t="str">
        <x:v>FR26; NFR04</x:v>
      </x:c>
      <x:c r="P31" s="9" t="str">
        <x:v>UC20; AC18</x:v>
      </x:c>
      <x:c r="Q31" s="9" t="str">
        <x:v>11</x:v>
      </x:c>
      <x:c r="R31" s="9" t="str">
        <x:v>Khôi phục dependency/fault injection nếu có; dùng bộ ID mới cho ca kế tiếp. Không xóa lịch sử/audit bằng API nghiệp vụ.</x:v>
      </x:c>
      <x:c r="S31" s="11" t="str"/>
      <x:c r="T31" s="11" t="str"/>
      <x:c r="U31" s="11" t="str"/>
      <x:c r="V31" s="11" t="str"/>
      <x:c r="W31" s="12"/>
      <x:c r="X31" s="9" t="str">
        <x:v>API01; SRS B7 FR01, FR26; MSD 6.2</x:v>
      </x:c>
    </x:row>
    <x:row r="32" ht="52" customHeight="1">
      <x:c r="A32" s="10" t="str">
        <x:v>TC13-AUTH-026</x:v>
      </x:c>
      <x:c r="B32" s="10" t="str">
        <x:v>AUTH</x:v>
      </x:c>
      <x:c r="C32" s="10" t="str">
        <x:v>Identity lỗi khi tổng hợp Customer</x:v>
      </x:c>
      <x:c r="D32" s="10" t="str">
        <x:v>P1</x:v>
      </x:c>
      <x:c r="E32" s="10" t="str">
        <x:v>DEFINED</x:v>
      </x:c>
      <x:c r="F32" s="10" t="str">
        <x:v>NOT_RUN</x:v>
      </x:c>
      <x:c r="G32" s="10" t="str"/>
      <x:c r="H32" s="10" t="str">
        <x:v>FUNCTIONAL</x:v>
      </x:c>
      <x:c r="I32" s="10" t="str">
        <x:v>API01 /auth/*; /accounts/me; /customers/{customerId}</x:v>
      </x:c>
      <x:c r="J32" s="10" t="str">
        <x:v>BASE; C_A/C_B và O_A theo Du_lieu. Dùng tài khoản mới khi đăng ký.</x:v>
      </x:c>
      <x:c r="K32" s="10" t="str">
        <x:v>Customer tồn tại; ngắt RPC dữ liệu Account</x:v>
      </x:c>
      <x:c r="L32" s="10" t="str">
        <x:v>1. GET customers bằng caller hợp lệ</x:v>
      </x:c>
      <x:c r="M32" s="10" t="str">
        <x:v>503; không trả 200 thiếu fullName/email/phone hoặc dùng bản sao tự sửa.</x:v>
      </x:c>
      <x:c r="N32" s="10" t="str">
        <x:v>HTTP request/response đã che token; bản ghi trước/sau tại DB sở hữu; correlationId và log/audit liên quan.</x:v>
      </x:c>
      <x:c r="O32" s="10" t="str">
        <x:v>FR26; NFR04</x:v>
      </x:c>
      <x:c r="P32" s="10" t="str">
        <x:v>UC20; AC18</x:v>
      </x:c>
      <x:c r="Q32" s="10" t="str">
        <x:v>11</x:v>
      </x:c>
      <x:c r="R32" s="10" t="str">
        <x:v>Khôi phục dependency/fault injection nếu có; dùng bộ ID mới cho ca kế tiếp. Không xóa lịch sử/audit bằng API nghiệp vụ.</x:v>
      </x:c>
      <x:c r="S32" s="11" t="str"/>
      <x:c r="T32" s="11" t="str"/>
      <x:c r="U32" s="11" t="str"/>
      <x:c r="V32" s="11" t="str"/>
      <x:c r="W32" s="12"/>
      <x:c r="X32" s="10" t="str">
        <x:v>API01; SRS B7 FR01, FR26; MSD 6.2</x:v>
      </x:c>
    </x:row>
    <x:row r="33" ht="52" customHeight="1">
      <x:c r="A33" s="9" t="str">
        <x:v>TC13-AUTH-027</x:v>
      </x:c>
      <x:c r="B33" s="9" t="str">
        <x:v>AUTH</x:v>
      </x:c>
      <x:c r="C33" s="9" t="str">
        <x:v>Secret không xuất hiện trong hồ sơ</x:v>
      </x:c>
      <x:c r="D33" s="9" t="str">
        <x:v>P1</x:v>
      </x:c>
      <x:c r="E33" s="9" t="str">
        <x:v>DEFINED</x:v>
      </x:c>
      <x:c r="F33" s="9" t="str">
        <x:v>NOT_RUN</x:v>
      </x:c>
      <x:c r="G33" s="9" t="str"/>
      <x:c r="H33" s="9" t="str">
        <x:v>FUNCTIONAL</x:v>
      </x:c>
      <x:c r="I33" s="9" t="str">
        <x:v>API01 /auth/*; /accounts/me; /customers/{customerId}</x:v>
      </x:c>
      <x:c r="J33" s="9" t="str">
        <x:v>BASE; C_A/C_B và O_A theo Du_lieu. Dùng tài khoản mới khi đăng ký.</x:v>
      </x:c>
      <x:c r="K33" s="9" t="str">
        <x:v>C_A/O_A đọc Account/Customer</x:v>
      </x:c>
      <x:c r="L33" s="9" t="str">
        <x:v>1. Đối chiếu schema và log</x:v>
      </x:c>
      <x:c r="M33" s="9" t="str">
        <x:v>Không có passwordHash, token digest, ciphertext, lookupHash, OTP hoặc khóa.</x:v>
      </x:c>
      <x:c r="N33" s="9" t="str">
        <x:v>HTTP request/response đã che token; bản ghi trước/sau tại DB sở hữu; correlationId và log/audit liên quan.</x:v>
      </x:c>
      <x:c r="O33" s="9" t="str">
        <x:v>FR01; FR26; NFR05</x:v>
      </x:c>
      <x:c r="P33" s="9" t="str">
        <x:v>UC01; UC20; AC18; AC20</x:v>
      </x:c>
      <x:c r="Q33" s="9" t="str">
        <x:v>24</x:v>
      </x:c>
      <x:c r="R33" s="9" t="str">
        <x:v>Khôi phục dependency/fault injection nếu có; dùng bộ ID mới cho ca kế tiếp. Không xóa lịch sử/audit bằng API nghiệp vụ.</x:v>
      </x:c>
      <x:c r="S33" s="11" t="str"/>
      <x:c r="T33" s="11" t="str"/>
      <x:c r="U33" s="11" t="str"/>
      <x:c r="V33" s="11" t="str"/>
      <x:c r="W33" s="12"/>
      <x:c r="X33" s="9" t="str">
        <x:v>API01; SRS B7 FR01, FR26; MSD 6.2</x:v>
      </x:c>
    </x:row>
    <x:row r="34" ht="52" customHeight="1">
      <x:c r="A34" s="10" t="str">
        <x:v>TC13-AUTH-028</x:v>
      </x:c>
      <x:c r="B34" s="10" t="str">
        <x:v>AUTH</x:v>
      </x:c>
      <x:c r="C34" s="10" t="str">
        <x:v>Biên độ dài mật khẩu mới</x:v>
      </x:c>
      <x:c r="D34" s="10" t="str">
        <x:v>P1</x:v>
      </x:c>
      <x:c r="E34" s="10" t="str">
        <x:v>DEFINED</x:v>
      </x:c>
      <x:c r="F34" s="10" t="str">
        <x:v>NOT_RUN</x:v>
      </x:c>
      <x:c r="G34" s="10" t="str"/>
      <x:c r="H34" s="10" t="str">
        <x:v>FUNCTIONAL</x:v>
      </x:c>
      <x:c r="I34" s="10" t="str">
        <x:v>API01 /auth/*; /accounts/me; /customers/{customerId}</x:v>
      </x:c>
      <x:c r="J34" s="10" t="str">
        <x:v>BASE; C_A/C_B và O_A theo Du_lieu. Dùng tài khoản mới khi đăng ký.</x:v>
      </x:c>
      <x:c r="K34" s="10" t="str">
        <x:v>7 ký tự; 8 ký tự; chuỗi toàn khoảng trắng</x:v>
      </x:c>
      <x:c r="L34" s="10" t="str">
        <x:v>1. Đăng ký từng biến thể với định danh mới</x:v>
      </x:c>
      <x:c r="M34" s="10" t="str">
        <x:v>7 và toàn khoảng trắng bị 400; 8 ký tự không trắng được tiếp nhận nếu các điều kiện khác hợp lệ.</x:v>
      </x:c>
      <x:c r="N34" s="10" t="str">
        <x:v>HTTP request/response đã che token; bản ghi trước/sau tại DB sở hữu; correlationId và log/audit liên quan.</x:v>
      </x:c>
      <x:c r="O34" s="10" t="str">
        <x:v>FR01</x:v>
      </x:c>
      <x:c r="P34" s="10" t="str">
        <x:v>UC01; AC01</x:v>
      </x:c>
      <x:c r="Q34" s="10" t="str">
        <x:v>9</x:v>
      </x:c>
      <x:c r="R34" s="10" t="str">
        <x:v>Khôi phục dependency/fault injection nếu có; dùng bộ ID mới cho ca kế tiếp. Không xóa lịch sử/audit bằng API nghiệp vụ.</x:v>
      </x:c>
      <x:c r="S34" s="11" t="str"/>
      <x:c r="T34" s="11" t="str"/>
      <x:c r="U34" s="11" t="str"/>
      <x:c r="V34" s="11" t="str"/>
      <x:c r="W34" s="12"/>
      <x:c r="X34" s="10" t="str">
        <x:v>API01; SRS B7 FR01, FR26; MSD 6.2</x:v>
      </x:c>
    </x:row>
    <x:row r="35" ht="52" customHeight="1">
      <x:c r="A35" s="9" t="str">
        <x:v>TC13-AUTH-029</x:v>
      </x:c>
      <x:c r="B35" s="9" t="str">
        <x:v>AUTH</x:v>
      </x:c>
      <x:c r="C35" s="9" t="str">
        <x:v>Điện thoại sai chuẩn</x:v>
      </x:c>
      <x:c r="D35" s="9" t="str">
        <x:v>P1</x:v>
      </x:c>
      <x:c r="E35" s="9" t="str">
        <x:v>DEFINED</x:v>
      </x:c>
      <x:c r="F35" s="9" t="str">
        <x:v>NOT_RUN</x:v>
      </x:c>
      <x:c r="G35" s="9" t="str"/>
      <x:c r="H35" s="9" t="str">
        <x:v>FUNCTIONAL</x:v>
      </x:c>
      <x:c r="I35" s="9" t="str">
        <x:v>API01 /auth/*; /accounts/me; /customers/{customerId}</x:v>
      </x:c>
      <x:c r="J35" s="9" t="str">
        <x:v>BASE; C_A/C_B và O_A theo Du_lieu. Dùng tài khoản mới khi đăng ký.</x:v>
      </x:c>
      <x:c r="K35" s="9" t="str">
        <x:v>0901234567; +84901234567; chuỗi có khoảng trắng</x:v>
      </x:c>
      <x:c r="L35" s="9" t="str">
        <x:v>1. Gửi đăng ký từng giá trị độc lập</x:v>
      </x:c>
      <x:c r="M35" s="9" t="str">
        <x:v>Chỉ E.164 hợp lệ được chấp nhận; định dạng đúng không tự chứng minh đã OTP.</x:v>
      </x:c>
      <x:c r="N35" s="9" t="str">
        <x:v>HTTP request/response đã che token; bản ghi trước/sau tại DB sở hữu; correlationId và log/audit liên quan.</x:v>
      </x:c>
      <x:c r="O35" s="9" t="str">
        <x:v>FR01</x:v>
      </x:c>
      <x:c r="P35" s="9" t="str">
        <x:v>UC01; AC01</x:v>
      </x:c>
      <x:c r="Q35" s="9" t="str">
        <x:v>9</x:v>
      </x:c>
      <x:c r="R35" s="9" t="str">
        <x:v>Khôi phục dependency/fault injection nếu có; dùng bộ ID mới cho ca kế tiếp. Không xóa lịch sử/audit bằng API nghiệp vụ.</x:v>
      </x:c>
      <x:c r="S35" s="11" t="str"/>
      <x:c r="T35" s="11" t="str"/>
      <x:c r="U35" s="11" t="str"/>
      <x:c r="V35" s="11" t="str"/>
      <x:c r="W35" s="12"/>
      <x:c r="X35" s="9" t="str">
        <x:v>API01; SRS B7 FR01, FR26; MSD 6.2</x:v>
      </x:c>
    </x:row>
    <x:row r="36" ht="52" customHeight="1">
      <x:c r="A36" s="10" t="str">
        <x:v>TC13-AUTH-030</x:v>
      </x:c>
      <x:c r="B36" s="10" t="str">
        <x:v>AUTH</x:v>
      </x:c>
      <x:c r="C36" s="10" t="str">
        <x:v>Replay sau Account bị khóa</x:v>
      </x:c>
      <x:c r="D36" s="10" t="str">
        <x:v>P1</x:v>
      </x:c>
      <x:c r="E36" s="10" t="str">
        <x:v>DEFINED</x:v>
      </x:c>
      <x:c r="F36" s="10" t="str">
        <x:v>NOT_RUN</x:v>
      </x:c>
      <x:c r="G36" s="10" t="str"/>
      <x:c r="H36" s="10" t="str">
        <x:v>FUNCTIONAL</x:v>
      </x:c>
      <x:c r="I36" s="10" t="str">
        <x:v>API01 /auth/*; /accounts/me; /customers/{customerId}</x:v>
      </x:c>
      <x:c r="J36" s="10" t="str">
        <x:v>BASE; C_A/C_B và O_A theo Du_lieu. Dùng tài khoản mới khi đăng ký.</x:v>
      </x:c>
      <x:c r="K36" s="10" t="str">
        <x:v>Kết quả API bảo vệ đã lưu; sau đó khóa Account</x:v>
      </x:c>
      <x:c r="L36" s="10" t="str">
        <x:v>1. Gửi lại request cùng key bằng phiên bị thu hồi</x:v>
      </x:c>
      <x:c r="M36" s="10" t="str">
        <x:v>Không phát kết quả riêng tư khi mất quyền; idempotency không bỏ kiểm tra Account/Session.</x:v>
      </x:c>
      <x:c r="N36" s="10" t="str">
        <x:v>HTTP request/response đã che token; bản ghi trước/sau tại DB sở hữu; correlationId và log/audit liên quan.</x:v>
      </x:c>
      <x:c r="O36" s="10" t="str">
        <x:v>FR01; NFR04</x:v>
      </x:c>
      <x:c r="P36" s="10" t="str">
        <x:v>UC01; AC01; AC20</x:v>
      </x:c>
      <x:c r="Q36" s="10" t="str">
        <x:v>28</x:v>
      </x:c>
      <x:c r="R36" s="10" t="str">
        <x:v>Khôi phục dependency/fault injection nếu có; dùng bộ ID mới cho ca kế tiếp. Không xóa lịch sử/audit bằng API nghiệp vụ.</x:v>
      </x:c>
      <x:c r="S36" s="11" t="str"/>
      <x:c r="T36" s="11" t="str"/>
      <x:c r="U36" s="11" t="str"/>
      <x:c r="V36" s="11" t="str"/>
      <x:c r="W36" s="12"/>
      <x:c r="X36" s="10" t="str">
        <x:v>API01; SRS B7 FR01, FR26; MSD 6.2</x:v>
      </x:c>
    </x:row>
    <x:row r="37" ht="52" customHeight="1">
      <x:c r="A37" s="9" t="str">
        <x:v>TC13-OTP-001</x:v>
      </x:c>
      <x:c r="B37" s="9" t="str">
        <x:v>OTP</x:v>
      </x:c>
      <x:c r="C37" s="9" t="str">
        <x:v>Tiếp nhận OTP bền vững</x:v>
      </x:c>
      <x:c r="D37" s="9" t="str">
        <x:v>P1</x:v>
      </x:c>
      <x:c r="E37" s="9" t="str">
        <x:v>DEFINED</x:v>
      </x:c>
      <x:c r="F37" s="9" t="str">
        <x:v>NOT_RUN</x:v>
      </x:c>
      <x:c r="G37" s="9" t="str"/>
      <x:c r="H37" s="9" t="str">
        <x:v>FUNCTIONAL</x:v>
      </x:c>
      <x:c r="I37" s="9" t="str">
        <x:v>API01 /auth/driver-registration/otp và /verify</x:v>
      </x:c>
      <x:c r="J37" s="9" t="str">
        <x:v>BASE; phone mới P_NEW; đồng hồ server kiểm soát trong test. Không dùng OTP cố định trong triển khai.</x:v>
      </x:c>
      <x:c r="K37" s="9" t="str">
        <x:v>Phone P_NEW hợp lệ</x:v>
      </x:c>
      <x:c r="L37" s="9" t="str">
        <x:v>1. Yêu cầu OTP; kiểm tra challenge/job</x:v>
      </x:c>
      <x:c r="M37" s="9" t="str">
        <x:v>202 ACCEPTED với expiresAt/resendAvailableAt; chưa có Account/Driver/Session; response không chứa OTP.</x:v>
      </x:c>
      <x:c r="N37" s="9" t="str">
        <x:v>HTTP request/response đã che token; bản ghi trước/sau tại DB sở hữu; correlationId và log/audit liên quan.</x:v>
      </x:c>
      <x:c r="O37" s="9" t="str">
        <x:v>FR23; NFR04; NFR17</x:v>
      </x:c>
      <x:c r="P37" s="9" t="str">
        <x:v>UC17; AC15; AC20</x:v>
      </x:c>
      <x:c r="Q37" s="9" t="str">
        <x:v>21</x:v>
      </x:c>
      <x:c r="R37" s="9" t="str">
        <x:v>Khôi phục dependency/fault injection nếu có; dùng bộ ID mới cho ca kế tiếp. Không xóa lịch sử/audit bằng API nghiệp vụ.</x:v>
      </x:c>
      <x:c r="S37" s="11" t="str"/>
      <x:c r="T37" s="11" t="str"/>
      <x:c r="U37" s="11" t="str"/>
      <x:c r="V37" s="11" t="str"/>
      <x:c r="W37" s="12"/>
      <x:c r="X37" s="9" t="str">
        <x:v>API01 OTP; SRS 4.5, BRu23</x:v>
      </x:c>
    </x:row>
    <x:row r="38" ht="52" customHeight="1">
      <x:c r="A38" s="10" t="str">
        <x:v>TC13-OTP-002</x:v>
      </x:c>
      <x:c r="B38" s="10" t="str">
        <x:v>OTP</x:v>
      </x:c>
      <x:c r="C38" s="10" t="str">
        <x:v>SMS sandbox thực</x:v>
      </x:c>
      <x:c r="D38" s="10" t="str">
        <x:v>P1</x:v>
      </x:c>
      <x:c r="E38" s="10" t="str">
        <x:v>NEEDS_DECISION</x:v>
      </x:c>
      <x:c r="F38" s="10" t="str">
        <x:v>NOT_RUN</x:v>
      </x:c>
      <x:c r="G38" s="10" t="str">
        <x:v>D01</x:v>
      </x:c>
      <x:c r="H38" s="10" t="str">
        <x:v>FUNCTIONAL</x:v>
      </x:c>
      <x:c r="I38" s="10" t="str">
        <x:v>API01 /auth/driver-registration/otp và /verify</x:v>
      </x:c>
      <x:c r="J38" s="10" t="str">
        <x:v>BASE; phone mới P_NEW; đồng hồ server kiểm soát trong test. Không dùng OTP cố định trong triển khai.</x:v>
      </x:c>
      <x:c r="K38" s="10" t="str">
        <x:v>Provider và tài khoản test đã chọn</x:v>
      </x:c>
      <x:c r="L38" s="10" t="str">
        <x:v>1. Yêu cầu OTP; kiểm tra log provider và nhận mã; verify</x:v>
      </x:c>
      <x:c r="M38" s="10" t="str">
        <x:v>OTP do provider gửi được xác minh. Có provider message ID; mock không được tính bằng chứng SMS thật.</x:v>
      </x:c>
      <x:c r="N38" s="10" t="str">
        <x:v>HTTP request/response đã che token; bản ghi trước/sau tại DB sở hữu; correlationId và log/audit liên quan.</x:v>
      </x:c>
      <x:c r="O38" s="10" t="str">
        <x:v>FR23; NFR04; NFR17</x:v>
      </x:c>
      <x:c r="P38" s="10" t="str">
        <x:v>UC17; AC15; AC20</x:v>
      </x:c>
      <x:c r="Q38" s="10" t="str">
        <x:v>21</x:v>
      </x:c>
      <x:c r="R38" s="10" t="str">
        <x:v>Khôi phục dependency/fault injection nếu có; dùng bộ ID mới cho ca kế tiếp. Không xóa lịch sử/audit bằng API nghiệp vụ.</x:v>
      </x:c>
      <x:c r="S38" s="11" t="str"/>
      <x:c r="T38" s="11" t="str"/>
      <x:c r="U38" s="11" t="str"/>
      <x:c r="V38" s="11" t="str"/>
      <x:c r="W38" s="12"/>
      <x:c r="X38" s="10" t="str">
        <x:v>API01 OTP; SRS 4.5, BRu23</x:v>
      </x:c>
    </x:row>
    <x:row r="39" ht="52" customHeight="1">
      <x:c r="A39" s="9" t="str">
        <x:v>TC13-OTP-003</x:v>
      </x:c>
      <x:c r="B39" s="9" t="str">
        <x:v>OTP</x:v>
      </x:c>
      <x:c r="C39" s="9" t="str">
        <x:v>Giới hạn gửi lại</x:v>
      </x:c>
      <x:c r="D39" s="9" t="str">
        <x:v>P1</x:v>
      </x:c>
      <x:c r="E39" s="9" t="str">
        <x:v>NEEDS_DECISION</x:v>
      </x:c>
      <x:c r="F39" s="9" t="str">
        <x:v>NOT_RUN</x:v>
      </x:c>
      <x:c r="G39" s="9" t="str">
        <x:v>D10</x:v>
      </x:c>
      <x:c r="H39" s="9" t="str">
        <x:v>FUNCTIONAL</x:v>
      </x:c>
      <x:c r="I39" s="9" t="str">
        <x:v>API01 /auth/driver-registration/otp và /verify</x:v>
      </x:c>
      <x:c r="J39" s="9" t="str">
        <x:v>BASE; phone mới P_NEW; đồng hồ server kiểm soát trong test. Không dùng OTP cố định trong triển khai.</x:v>
      </x:c>
      <x:c r="K39" s="9" t="str">
        <x:v>Cùng phone tại giây 59 và 60</x:v>
      </x:c>
      <x:c r="L39" s="9" t="str">
        <x:v>1. Yêu cầu mã mới tại hai mốc theo cấu hình</x:v>
      </x:c>
      <x:c r="M39" s="9" t="str">
        <x:v>Trước 60 giây trả 429 và Retry-After; tại 60 giây có thể tiếp nhận nếu limiter khác cho phép.</x:v>
      </x:c>
      <x:c r="N39" s="9" t="str">
        <x:v>HTTP request/response đã che token; bản ghi trước/sau tại DB sở hữu; correlationId và log/audit liên quan.</x:v>
      </x:c>
      <x:c r="O39" s="9" t="str">
        <x:v>FR23; NFR04; NFR17</x:v>
      </x:c>
      <x:c r="P39" s="9" t="str">
        <x:v>UC17; AC15; AC20</x:v>
      </x:c>
      <x:c r="Q39" s="9" t="str">
        <x:v>21</x:v>
      </x:c>
      <x:c r="R39" s="9" t="str">
        <x:v>Khôi phục dependency/fault injection nếu có; dùng bộ ID mới cho ca kế tiếp. Không xóa lịch sử/audit bằng API nghiệp vụ.</x:v>
      </x:c>
      <x:c r="S39" s="11" t="str"/>
      <x:c r="T39" s="11" t="str"/>
      <x:c r="U39" s="11" t="str"/>
      <x:c r="V39" s="11" t="str"/>
      <x:c r="W39" s="12"/>
      <x:c r="X39" s="9" t="str">
        <x:v>API01 OTP; SRS 4.5, BRu23</x:v>
      </x:c>
    </x:row>
    <x:row r="40" ht="52" customHeight="1">
      <x:c r="A40" s="10" t="str">
        <x:v>TC13-OTP-004</x:v>
      </x:c>
      <x:c r="B40" s="10" t="str">
        <x:v>OTP</x:v>
      </x:c>
      <x:c r="C40" s="10" t="str">
        <x:v>Mã mới vô hiệu mã cũ</x:v>
      </x:c>
      <x:c r="D40" s="10" t="str">
        <x:v>P1</x:v>
      </x:c>
      <x:c r="E40" s="10" t="str">
        <x:v>DEFINED</x:v>
      </x:c>
      <x:c r="F40" s="10" t="str">
        <x:v>NOT_RUN</x:v>
      </x:c>
      <x:c r="G40" s="10" t="str"/>
      <x:c r="H40" s="10" t="str">
        <x:v>FUNCTIONAL</x:v>
      </x:c>
      <x:c r="I40" s="10" t="str">
        <x:v>API01 /auth/driver-registration/otp và /verify</x:v>
      </x:c>
      <x:c r="J40" s="10" t="str">
        <x:v>BASE; phone mới P_NEW; đồng hồ server kiểm soát trong test. Không dùng OTP cố định trong triển khai.</x:v>
      </x:c>
      <x:c r="K40" s="10" t="str">
        <x:v>Challenge A rồi B sau thời gian chờ</x:v>
      </x:c>
      <x:c r="L40" s="10" t="str">
        <x:v>1. Verify OTP A; verify OTP B</x:v>
      </x:c>
      <x:c r="M40" s="10" t="str">
        <x:v>A không dùng được; B hợp lệ. Verification chưa tiêu thụ từ A cũng bị vô hiệu.</x:v>
      </x:c>
      <x:c r="N40" s="10" t="str">
        <x:v>HTTP request/response đã che token; bản ghi trước/sau tại DB sở hữu; correlationId và log/audit liên quan.</x:v>
      </x:c>
      <x:c r="O40" s="10" t="str">
        <x:v>FR23; NFR04; NFR17</x:v>
      </x:c>
      <x:c r="P40" s="10" t="str">
        <x:v>UC17; AC15; AC20</x:v>
      </x:c>
      <x:c r="Q40" s="10" t="str">
        <x:v>21</x:v>
      </x:c>
      <x:c r="R40" s="10" t="str">
        <x:v>Khôi phục dependency/fault injection nếu có; dùng bộ ID mới cho ca kế tiếp. Không xóa lịch sử/audit bằng API nghiệp vụ.</x:v>
      </x:c>
      <x:c r="S40" s="11" t="str"/>
      <x:c r="T40" s="11" t="str"/>
      <x:c r="U40" s="11" t="str"/>
      <x:c r="V40" s="11" t="str"/>
      <x:c r="W40" s="12"/>
      <x:c r="X40" s="10" t="str">
        <x:v>API01 OTP; SRS 4.5, BRu23</x:v>
      </x:c>
    </x:row>
    <x:row r="41" ht="52" customHeight="1">
      <x:c r="A41" s="9" t="str">
        <x:v>TC13-OTP-005</x:v>
      </x:c>
      <x:c r="B41" s="9" t="str">
        <x:v>OTP</x:v>
      </x:c>
      <x:c r="C41" s="9" t="str">
        <x:v>OTP bắt đầu bằng số 0</x:v>
      </x:c>
      <x:c r="D41" s="9" t="str">
        <x:v>P1</x:v>
      </x:c>
      <x:c r="E41" s="9" t="str">
        <x:v>DEFINED</x:v>
      </x:c>
      <x:c r="F41" s="9" t="str">
        <x:v>NOT_RUN</x:v>
      </x:c>
      <x:c r="G41" s="9" t="str"/>
      <x:c r="H41" s="9" t="str">
        <x:v>FUNCTIONAL</x:v>
      </x:c>
      <x:c r="I41" s="9" t="str">
        <x:v>API01 /auth/driver-registration/otp và /verify</x:v>
      </x:c>
      <x:c r="J41" s="9" t="str">
        <x:v>BASE; phone mới P_NEW; đồng hồ server kiểm soát trong test. Không dùng OTP cố định trong triển khai.</x:v>
      </x:c>
      <x:c r="K41" s="9" t="str">
        <x:v>OTP test được tạo an toàn có dạng 0xxxxx</x:v>
      </x:c>
      <x:c r="L41" s="9" t="str">
        <x:v>1. Gửi dưới dạng string sáu chữ số</x:v>
      </x:c>
      <x:c r="M41" s="9" t="str">
        <x:v>Giữ số 0 đầu và xác minh đúng; number hoặc sai sáu chữ số bị 400.</x:v>
      </x:c>
      <x:c r="N41" s="9" t="str">
        <x:v>HTTP request/response đã che token; bản ghi trước/sau tại DB sở hữu; correlationId và log/audit liên quan.</x:v>
      </x:c>
      <x:c r="O41" s="9" t="str">
        <x:v>FR23; NFR04; NFR17</x:v>
      </x:c>
      <x:c r="P41" s="9" t="str">
        <x:v>UC17; AC15; AC20</x:v>
      </x:c>
      <x:c r="Q41" s="9" t="str">
        <x:v>21</x:v>
      </x:c>
      <x:c r="R41" s="9" t="str">
        <x:v>Khôi phục dependency/fault injection nếu có; dùng bộ ID mới cho ca kế tiếp. Không xóa lịch sử/audit bằng API nghiệp vụ.</x:v>
      </x:c>
      <x:c r="S41" s="11" t="str"/>
      <x:c r="T41" s="11" t="str"/>
      <x:c r="U41" s="11" t="str"/>
      <x:c r="V41" s="11" t="str"/>
      <x:c r="W41" s="12"/>
      <x:c r="X41" s="9" t="str">
        <x:v>API01 OTP; SRS 4.5, BRu23</x:v>
      </x:c>
    </x:row>
    <x:row r="42" ht="52" customHeight="1">
      <x:c r="A42" s="10" t="str">
        <x:v>TC13-OTP-006</x:v>
      </x:c>
      <x:c r="B42" s="10" t="str">
        <x:v>OTP</x:v>
      </x:c>
      <x:c r="C42" s="10" t="str">
        <x:v>Biên hết hạn OTP</x:v>
      </x:c>
      <x:c r="D42" s="10" t="str">
        <x:v>P1</x:v>
      </x:c>
      <x:c r="E42" s="10" t="str">
        <x:v>DEFINED</x:v>
      </x:c>
      <x:c r="F42" s="10" t="str">
        <x:v>NOT_RUN</x:v>
      </x:c>
      <x:c r="G42" s="10" t="str"/>
      <x:c r="H42" s="10" t="str">
        <x:v>FUNCTIONAL</x:v>
      </x:c>
      <x:c r="I42" s="10" t="str">
        <x:v>API01 /auth/driver-registration/otp và /verify</x:v>
      </x:c>
      <x:c r="J42" s="10" t="str">
        <x:v>BASE; phone mới P_NEW; đồng hồ server kiểm soát trong test. Không dùng OTP cố định trong triển khai.</x:v>
      </x:c>
      <x:c r="K42" s="10" t="str">
        <x:v>Thời gian bằng expiresAt và trước expiresAt</x:v>
      </x:c>
      <x:c r="L42" s="10" t="str">
        <x:v>1. Verify hai challenge độc lập tại mỗi mốc</x:v>
      </x:c>
      <x:c r="M42" s="10" t="str">
        <x:v>Tại/hết expiresAt bị OTP_INVALID_OR_EXPIRED; trước mốc vẫn xét đúng mã.</x:v>
      </x:c>
      <x:c r="N42" s="10" t="str">
        <x:v>HTTP request/response đã che token; bản ghi trước/sau tại DB sở hữu; correlationId và log/audit liên quan.</x:v>
      </x:c>
      <x:c r="O42" s="10" t="str">
        <x:v>FR23; NFR04; NFR17</x:v>
      </x:c>
      <x:c r="P42" s="10" t="str">
        <x:v>UC17; AC15; AC20</x:v>
      </x:c>
      <x:c r="Q42" s="10" t="str">
        <x:v>21</x:v>
      </x:c>
      <x:c r="R42" s="10" t="str">
        <x:v>Khôi phục dependency/fault injection nếu có; dùng bộ ID mới cho ca kế tiếp. Không xóa lịch sử/audit bằng API nghiệp vụ.</x:v>
      </x:c>
      <x:c r="S42" s="11" t="str"/>
      <x:c r="T42" s="11" t="str"/>
      <x:c r="U42" s="11" t="str"/>
      <x:c r="V42" s="11" t="str"/>
      <x:c r="W42" s="12"/>
      <x:c r="X42" s="10" t="str">
        <x:v>API01 OTP; SRS 4.5, BRu23</x:v>
      </x:c>
    </x:row>
    <x:row r="43" ht="52" customHeight="1">
      <x:c r="A43" s="9" t="str">
        <x:v>TC13-OTP-007</x:v>
      </x:c>
      <x:c r="B43" s="9" t="str">
        <x:v>OTP</x:v>
      </x:c>
      <x:c r="C43" s="9" t="str">
        <x:v>Năm lần nhập sai</x:v>
      </x:c>
      <x:c r="D43" s="9" t="str">
        <x:v>P1</x:v>
      </x:c>
      <x:c r="E43" s="9" t="str">
        <x:v>DEFINED</x:v>
      </x:c>
      <x:c r="F43" s="9" t="str">
        <x:v>NOT_RUN</x:v>
      </x:c>
      <x:c r="G43" s="9" t="str"/>
      <x:c r="H43" s="9" t="str">
        <x:v>FUNCTIONAL</x:v>
      </x:c>
      <x:c r="I43" s="9" t="str">
        <x:v>API01 /auth/driver-registration/otp và /verify</x:v>
      </x:c>
      <x:c r="J43" s="9" t="str">
        <x:v>BASE; phone mới P_NEW; đồng hồ server kiểm soát trong test. Không dùng OTP cố định trong triển khai.</x:v>
      </x:c>
      <x:c r="K43" s="9" t="str">
        <x:v>Một challenge; năm mã sai</x:v>
      </x:c>
      <x:c r="L43" s="9" t="str">
        <x:v>1. Verify năm lần; sau đó gửi đúng OTP</x:v>
      </x:c>
      <x:c r="M43" s="9" t="str">
        <x:v>failedAttempts tăng nguyên tử; lần sai thứ năm vô hiệu challenge; mã đúng sau đó không cấp token.</x:v>
      </x:c>
      <x:c r="N43" s="9" t="str">
        <x:v>HTTP request/response đã che token; bản ghi trước/sau tại DB sở hữu; correlationId và log/audit liên quan.</x:v>
      </x:c>
      <x:c r="O43" s="9" t="str">
        <x:v>FR23; NFR04; NFR17</x:v>
      </x:c>
      <x:c r="P43" s="9" t="str">
        <x:v>UC17; AC15; AC20</x:v>
      </x:c>
      <x:c r="Q43" s="9" t="str">
        <x:v>21</x:v>
      </x:c>
      <x:c r="R43" s="9" t="str">
        <x:v>Khôi phục dependency/fault injection nếu có; dùng bộ ID mới cho ca kế tiếp. Không xóa lịch sử/audit bằng API nghiệp vụ.</x:v>
      </x:c>
      <x:c r="S43" s="11" t="str"/>
      <x:c r="T43" s="11" t="str"/>
      <x:c r="U43" s="11" t="str"/>
      <x:c r="V43" s="11" t="str"/>
      <x:c r="W43" s="12"/>
      <x:c r="X43" s="9" t="str">
        <x:v>API01 OTP; SRS 4.5, BRu23</x:v>
      </x:c>
    </x:row>
    <x:row r="44" ht="52" customHeight="1">
      <x:c r="A44" s="10" t="str">
        <x:v>TC13-OTP-008</x:v>
      </x:c>
      <x:c r="B44" s="10" t="str">
        <x:v>OTP</x:v>
      </x:c>
      <x:c r="C44" s="10" t="str">
        <x:v>Thử OTP đồng thời</x:v>
      </x:c>
      <x:c r="D44" s="10" t="str">
        <x:v>P1</x:v>
      </x:c>
      <x:c r="E44" s="10" t="str">
        <x:v>DEFINED</x:v>
      </x:c>
      <x:c r="F44" s="10" t="str">
        <x:v>NOT_RUN</x:v>
      </x:c>
      <x:c r="G44" s="10" t="str"/>
      <x:c r="H44" s="10" t="str">
        <x:v>FUNCTIONAL</x:v>
      </x:c>
      <x:c r="I44" s="10" t="str">
        <x:v>API01 /auth/driver-registration/otp và /verify</x:v>
      </x:c>
      <x:c r="J44" s="10" t="str">
        <x:v>BASE; phone mới P_NEW; đồng hồ server kiểm soát trong test. Không dùng OTP cố định trong triển khai.</x:v>
      </x:c>
      <x:c r="K44" s="10" t="str">
        <x:v>Nhiều request sai vượt ngưỡng cùng challenge</x:v>
      </x:c>
      <x:c r="L44" s="10" t="str">
        <x:v>1. Gửi đồng thời rồi kiểm tra challenge</x:v>
      </x:c>
      <x:c r="M44" s="10" t="str">
        <x:v>Không vượt hàng rào thử sai; không thể lấy verification token sau challenge bị vô hiệu.</x:v>
      </x:c>
      <x:c r="N44" s="10" t="str">
        <x:v>HTTP request/response đã che token; bản ghi trước/sau tại DB sở hữu; correlationId và log/audit liên quan.</x:v>
      </x:c>
      <x:c r="O44" s="10" t="str">
        <x:v>FR23; NFR04; NFR17</x:v>
      </x:c>
      <x:c r="P44" s="10" t="str">
        <x:v>UC17; AC15; AC20</x:v>
      </x:c>
      <x:c r="Q44" s="10" t="str">
        <x:v>21</x:v>
      </x:c>
      <x:c r="R44" s="10" t="str">
        <x:v>Khôi phục dependency/fault injection nếu có; dùng bộ ID mới cho ca kế tiếp. Không xóa lịch sử/audit bằng API nghiệp vụ.</x:v>
      </x:c>
      <x:c r="S44" s="11" t="str"/>
      <x:c r="T44" s="11" t="str"/>
      <x:c r="U44" s="11" t="str"/>
      <x:c r="V44" s="11" t="str"/>
      <x:c r="W44" s="12"/>
      <x:c r="X44" s="10" t="str">
        <x:v>API01 OTP; SRS 4.5, BRu23</x:v>
      </x:c>
    </x:row>
    <x:row r="45" ht="52" customHeight="1">
      <x:c r="A45" s="9" t="str">
        <x:v>TC13-OTP-009</x:v>
      </x:c>
      <x:c r="B45" s="9" t="str">
        <x:v>OTP</x:v>
      </x:c>
      <x:c r="C45" s="9" t="str">
        <x:v>Verify thành công một lần</x:v>
      </x:c>
      <x:c r="D45" s="9" t="str">
        <x:v>P1</x:v>
      </x:c>
      <x:c r="E45" s="9" t="str">
        <x:v>DEFINED</x:v>
      </x:c>
      <x:c r="F45" s="9" t="str">
        <x:v>NOT_RUN</x:v>
      </x:c>
      <x:c r="G45" s="9" t="str"/>
      <x:c r="H45" s="9" t="str">
        <x:v>FUNCTIONAL</x:v>
      </x:c>
      <x:c r="I45" s="9" t="str">
        <x:v>API01 /auth/driver-registration/otp và /verify</x:v>
      </x:c>
      <x:c r="J45" s="9" t="str">
        <x:v>BASE; phone mới P_NEW; đồng hồ server kiểm soát trong test. Không dùng OTP cố định trong triển khai.</x:v>
      </x:c>
      <x:c r="K45" s="9" t="str">
        <x:v>Challenge hợp lệ</x:v>
      </x:c>
      <x:c r="L45" s="9" t="str">
        <x:v>1. Verify đúng; verify lại</x:v>
      </x:c>
      <x:c r="M45" s="9" t="str">
        <x:v>Lần đầu cấp token một lần; lần sau 409 OTP_ALREADY_VERIFIED; không phát lại token.</x:v>
      </x:c>
      <x:c r="N45" s="9" t="str">
        <x:v>HTTP request/response đã che token; bản ghi trước/sau tại DB sở hữu; correlationId và log/audit liên quan.</x:v>
      </x:c>
      <x:c r="O45" s="9" t="str">
        <x:v>FR23; NFR04; NFR17</x:v>
      </x:c>
      <x:c r="P45" s="9" t="str">
        <x:v>UC17; AC15; AC20</x:v>
      </x:c>
      <x:c r="Q45" s="9" t="str">
        <x:v>21</x:v>
      </x:c>
      <x:c r="R45" s="9" t="str">
        <x:v>Khôi phục dependency/fault injection nếu có; dùng bộ ID mới cho ca kế tiếp. Không xóa lịch sử/audit bằng API nghiệp vụ.</x:v>
      </x:c>
      <x:c r="S45" s="11" t="str"/>
      <x:c r="T45" s="11" t="str"/>
      <x:c r="U45" s="11" t="str"/>
      <x:c r="V45" s="11" t="str"/>
      <x:c r="W45" s="12"/>
      <x:c r="X45" s="9" t="str">
        <x:v>API01 OTP; SRS 4.5, BRu23</x:v>
      </x:c>
    </x:row>
    <x:row r="46" ht="52" customHeight="1">
      <x:c r="A46" s="10" t="str">
        <x:v>TC13-OTP-010</x:v>
      </x:c>
      <x:c r="B46" s="10" t="str">
        <x:v>OTP</x:v>
      </x:c>
      <x:c r="C46" s="10" t="str">
        <x:v>Mất response verify</x:v>
      </x:c>
      <x:c r="D46" s="10" t="str">
        <x:v>P1</x:v>
      </x:c>
      <x:c r="E46" s="10" t="str">
        <x:v>DEFINED</x:v>
      </x:c>
      <x:c r="F46" s="10" t="str">
        <x:v>NOT_RUN</x:v>
      </x:c>
      <x:c r="G46" s="10" t="str"/>
      <x:c r="H46" s="10" t="str">
        <x:v>FUNCTIONAL</x:v>
      </x:c>
      <x:c r="I46" s="10" t="str">
        <x:v>API01 /auth/driver-registration/otp và /verify</x:v>
      </x:c>
      <x:c r="J46" s="10" t="str">
        <x:v>BASE; phone mới P_NEW; đồng hồ server kiểm soát trong test. Không dùng OTP cố định trong triển khai.</x:v>
      </x:c>
      <x:c r="K46" s="10" t="str">
        <x:v>Verify đã commit nhưng response bị cắt</x:v>
      </x:c>
      <x:c r="L46" s="10" t="str">
        <x:v>1. Gửi lại verify; yêu cầu OTP mới khi hết chờ</x:v>
      </x:c>
      <x:c r="M46" s="10" t="str">
        <x:v>409 OTP_ALREADY_VERIFIED; chỉ challenge mới tạo quyền mới; không tái phát bí mật cũ.</x:v>
      </x:c>
      <x:c r="N46" s="10" t="str">
        <x:v>HTTP request/response đã che token; bản ghi trước/sau tại DB sở hữu; correlationId và log/audit liên quan.</x:v>
      </x:c>
      <x:c r="O46" s="10" t="str">
        <x:v>FR23; NFR04; NFR17</x:v>
      </x:c>
      <x:c r="P46" s="10" t="str">
        <x:v>UC17; AC15; AC20</x:v>
      </x:c>
      <x:c r="Q46" s="10" t="str">
        <x:v>21</x:v>
      </x:c>
      <x:c r="R46" s="10" t="str">
        <x:v>Khôi phục dependency/fault injection nếu có; dùng bộ ID mới cho ca kế tiếp. Không xóa lịch sử/audit bằng API nghiệp vụ.</x:v>
      </x:c>
      <x:c r="S46" s="11" t="str"/>
      <x:c r="T46" s="11" t="str"/>
      <x:c r="U46" s="11" t="str"/>
      <x:c r="V46" s="11" t="str"/>
      <x:c r="W46" s="12"/>
      <x:c r="X46" s="10" t="str">
        <x:v>API01 OTP; SRS 4.5, BRu23</x:v>
      </x:c>
    </x:row>
    <x:row r="47" ht="52" customHeight="1">
      <x:c r="A47" s="9" t="str">
        <x:v>TC13-OTP-011</x:v>
      </x:c>
      <x:c r="B47" s="9" t="str">
        <x:v>OTP</x:v>
      </x:c>
      <x:c r="C47" s="9" t="str">
        <x:v>Verification token không là JWT</x:v>
      </x:c>
      <x:c r="D47" s="9" t="str">
        <x:v>P1</x:v>
      </x:c>
      <x:c r="E47" s="9" t="str">
        <x:v>DEFINED</x:v>
      </x:c>
      <x:c r="F47" s="9" t="str">
        <x:v>NOT_RUN</x:v>
      </x:c>
      <x:c r="G47" s="9" t="str"/>
      <x:c r="H47" s="9" t="str">
        <x:v>FUNCTIONAL</x:v>
      </x:c>
      <x:c r="I47" s="9" t="str">
        <x:v>API01 /auth/driver-registration/otp và /verify</x:v>
      </x:c>
      <x:c r="J47" s="9" t="str">
        <x:v>BASE; phone mới P_NEW; đồng hồ server kiểm soát trong test. Không dùng OTP cố định trong triển khai.</x:v>
      </x:c>
      <x:c r="K47" s="9" t="str">
        <x:v>Token OTP đã verify</x:v>
      </x:c>
      <x:c r="L47" s="9" t="str">
        <x:v>1. Dùng token này làm Bearer gọi accounts/me</x:v>
      </x:c>
      <x:c r="M47" s="9" t="str">
        <x:v>401; không đại diện role DRIVER và không cấp quyền tài khoản.</x:v>
      </x:c>
      <x:c r="N47" s="9" t="str">
        <x:v>HTTP request/response đã che token; bản ghi trước/sau tại DB sở hữu; correlationId và log/audit liên quan.</x:v>
      </x:c>
      <x:c r="O47" s="9" t="str">
        <x:v>FR23; NFR04; NFR17</x:v>
      </x:c>
      <x:c r="P47" s="9" t="str">
        <x:v>UC17; AC15; AC20</x:v>
      </x:c>
      <x:c r="Q47" s="9" t="str">
        <x:v>21</x:v>
      </x:c>
      <x:c r="R47" s="9" t="str">
        <x:v>Khôi phục dependency/fault injection nếu có; dùng bộ ID mới cho ca kế tiếp. Không xóa lịch sử/audit bằng API nghiệp vụ.</x:v>
      </x:c>
      <x:c r="S47" s="11" t="str"/>
      <x:c r="T47" s="11" t="str"/>
      <x:c r="U47" s="11" t="str"/>
      <x:c r="V47" s="11" t="str"/>
      <x:c r="W47" s="12"/>
      <x:c r="X47" s="9" t="str">
        <x:v>API01 OTP; SRS 4.5, BRu23</x:v>
      </x:c>
    </x:row>
    <x:row r="48" ht="52" customHeight="1">
      <x:c r="A48" s="10" t="str">
        <x:v>TC13-OTP-012</x:v>
      </x:c>
      <x:c r="B48" s="10" t="str">
        <x:v>OTP</x:v>
      </x:c>
      <x:c r="C48" s="10" t="str">
        <x:v>Worker gửi chậm quá hạn</x:v>
      </x:c>
      <x:c r="D48" s="10" t="str">
        <x:v>P1</x:v>
      </x:c>
      <x:c r="E48" s="10" t="str">
        <x:v>DEFINED</x:v>
      </x:c>
      <x:c r="F48" s="10" t="str">
        <x:v>NOT_RUN</x:v>
      </x:c>
      <x:c r="G48" s="10" t="str"/>
      <x:c r="H48" s="10" t="str">
        <x:v>FUNCTIONAL</x:v>
      </x:c>
      <x:c r="I48" s="10" t="str">
        <x:v>API01 /auth/driver-registration/otp và /verify</x:v>
      </x:c>
      <x:c r="J48" s="10" t="str">
        <x:v>BASE; phone mới P_NEW; đồng hồ server kiểm soát trong test. Không dùng OTP cố định trong triển khai.</x:v>
      </x:c>
      <x:c r="K48" s="10" t="str">
        <x:v>Dừng worker đến sau expiresAt</x:v>
      </x:c>
      <x:c r="L48" s="10" t="str">
        <x:v>1. Khởi động worker</x:v>
      </x:c>
      <x:c r="M48" s="10" t="str">
        <x:v>Không gửi mã đã hết hạn; không tự kéo dài thời hạn challenge.</x:v>
      </x:c>
      <x:c r="N48" s="10" t="str">
        <x:v>HTTP request/response đã che token; bản ghi trước/sau tại DB sở hữu; correlationId và log/audit liên quan.</x:v>
      </x:c>
      <x:c r="O48" s="10" t="str">
        <x:v>FR23; NFR04; NFR17</x:v>
      </x:c>
      <x:c r="P48" s="10" t="str">
        <x:v>UC17; AC15; AC20</x:v>
      </x:c>
      <x:c r="Q48" s="10" t="str">
        <x:v>21</x:v>
      </x:c>
      <x:c r="R48" s="10" t="str">
        <x:v>Khôi phục dependency/fault injection nếu có; dùng bộ ID mới cho ca kế tiếp. Không xóa lịch sử/audit bằng API nghiệp vụ.</x:v>
      </x:c>
      <x:c r="S48" s="11" t="str"/>
      <x:c r="T48" s="11" t="str"/>
      <x:c r="U48" s="11" t="str"/>
      <x:c r="V48" s="11" t="str"/>
      <x:c r="W48" s="12"/>
      <x:c r="X48" s="10" t="str">
        <x:v>API01 OTP; SRS 4.5, BRu23</x:v>
      </x:c>
    </x:row>
    <x:row r="49" ht="52" customHeight="1">
      <x:c r="A49" s="9" t="str">
        <x:v>TC13-OTP-013</x:v>
      </x:c>
      <x:c r="B49" s="9" t="str">
        <x:v>OTP</x:v>
      </x:c>
      <x:c r="C49" s="9" t="str">
        <x:v>Redis lỗi trên OTP</x:v>
      </x:c>
      <x:c r="D49" s="9" t="str">
        <x:v>P1</x:v>
      </x:c>
      <x:c r="E49" s="9" t="str">
        <x:v>DEFINED</x:v>
      </x:c>
      <x:c r="F49" s="9" t="str">
        <x:v>NOT_RUN</x:v>
      </x:c>
      <x:c r="G49" s="9" t="str"/>
      <x:c r="H49" s="9" t="str">
        <x:v>FUNCTIONAL</x:v>
      </x:c>
      <x:c r="I49" s="9" t="str">
        <x:v>API01 /auth/driver-registration/otp và /verify</x:v>
      </x:c>
      <x:c r="J49" s="9" t="str">
        <x:v>BASE; phone mới P_NEW; đồng hồ server kiểm soát trong test. Không dùng OTP cố định trong triển khai.</x:v>
      </x:c>
      <x:c r="K49" s="9" t="str">
        <x:v>Ngắt Redis kiểm soát rate limit</x:v>
      </x:c>
      <x:c r="L49" s="9" t="str">
        <x:v>1. Yêu cầu OTP</x:v>
      </x:c>
      <x:c r="M49" s="9" t="str">
        <x:v>503; không bỏ limiter, không tạo job SMS không giới hạn.</x:v>
      </x:c>
      <x:c r="N49" s="9" t="str">
        <x:v>HTTP request/response đã che token; bản ghi trước/sau tại DB sở hữu; correlationId và log/audit liên quan.</x:v>
      </x:c>
      <x:c r="O49" s="9" t="str">
        <x:v>FR23; NFR04; NFR17</x:v>
      </x:c>
      <x:c r="P49" s="9" t="str">
        <x:v>UC17; AC15; AC20</x:v>
      </x:c>
      <x:c r="Q49" s="9" t="str">
        <x:v>21</x:v>
      </x:c>
      <x:c r="R49" s="9" t="str">
        <x:v>Khôi phục dependency/fault injection nếu có; dùng bộ ID mới cho ca kế tiếp. Không xóa lịch sử/audit bằng API nghiệp vụ.</x:v>
      </x:c>
      <x:c r="S49" s="11" t="str"/>
      <x:c r="T49" s="11" t="str"/>
      <x:c r="U49" s="11" t="str"/>
      <x:c r="V49" s="11" t="str"/>
      <x:c r="W49" s="12"/>
      <x:c r="X49" s="9" t="str">
        <x:v>API01 OTP; SRS 4.5, BRu23</x:v>
      </x:c>
    </x:row>
    <x:row r="50" ht="52" customHeight="1">
      <x:c r="A50" s="10" t="str">
        <x:v>TC13-FLEET-001</x:v>
      </x:c>
      <x:c r="B50" s="10" t="str">
        <x:v>FLEET</x:v>
      </x:c>
      <x:c r="C50" s="10" t="str">
        <x:v>Đăng ký Driver hoàn tất</x:v>
      </x:c>
      <x:c r="D50" s="10" t="str">
        <x:v>P1</x:v>
      </x:c>
      <x:c r="E50" s="10" t="str">
        <x:v>DEFINED</x:v>
      </x:c>
      <x:c r="F50" s="10" t="str">
        <x:v>NOT_RUN</x:v>
      </x:c>
      <x:c r="G50" s="10" t="str"/>
      <x:c r="H50" s="10" t="str">
        <x:v>FUNCTIONAL</x:v>
      </x:c>
      <x:c r="I50" s="10" t="str">
        <x:v>API07 driver-applications; drivers; vehicles</x:v>
      </x:c>
      <x:c r="J50" s="10" t="str">
        <x:v>BASE; O_A, D_PENDING, D_A, V_FREE/V_ASSIGNED; version đọc mới từ API.</x:v>
      </x:c>
      <x:c r="K50" s="10" t="str">
        <x:v>Verification token mới, license/email chưa dùng, vehicle khai báo</x:v>
      </x:c>
      <x:c r="L50" s="10" t="str">
        <x:v>1. POST driver-applications</x:v>
      </x:c>
      <x:c r="M50" s="10" t="str">
        <x:v>201 chỉ sau đủ Account DRIVER ACTIVE, Driver PENDING_APPROVAL/OFFLINE, Application SUBMITTED; chưa có VehicleAssignment và Session.</x:v>
      </x:c>
      <x:c r="N50" s="10" t="str">
        <x:v>HTTP request/response đã che token; bản ghi trước/sau tại DB sở hữu; correlationId và log/audit liên quan.</x:v>
      </x:c>
      <x:c r="O50" s="10" t="str">
        <x:v>FR23; FR28; NFR03</x:v>
      </x:c>
      <x:c r="P50" s="10" t="str">
        <x:v>UC17; UC22; AC15; AC21</x:v>
      </x:c>
      <x:c r="Q50" s="10" t="str">
        <x:v>21</x:v>
      </x:c>
      <x:c r="R50" s="10" t="str">
        <x:v>Khôi phục dependency/fault injection nếu có; dùng bộ ID mới cho ca kế tiếp. Không xóa lịch sử/audit bằng API nghiệp vụ.</x:v>
      </x:c>
      <x:c r="S50" s="11" t="str"/>
      <x:c r="T50" s="11" t="str"/>
      <x:c r="U50" s="11" t="str"/>
      <x:c r="V50" s="11" t="str"/>
      <x:c r="W50" s="12"/>
      <x:c r="X50" s="10" t="str">
        <x:v>API07; MSD 5.3, 6.2, 6.7</x:v>
      </x:c>
    </x:row>
    <x:row r="51" ht="52" customHeight="1">
      <x:c r="A51" s="9" t="str">
        <x:v>TC13-FLEET-002</x:v>
      </x:c>
      <x:c r="B51" s="9" t="str">
        <x:v>FLEET</x:v>
      </x:c>
      <x:c r="C51" s="9" t="str">
        <x:v>Driver đăng ký chưa hoàn tất</x:v>
      </x:c>
      <x:c r="D51" s="9" t="str">
        <x:v>P1</x:v>
      </x:c>
      <x:c r="E51" s="9" t="str">
        <x:v>NEEDS_DECISION</x:v>
      </x:c>
      <x:c r="F51" s="9" t="str">
        <x:v>NOT_RUN</x:v>
      </x:c>
      <x:c r="G51" s="9" t="str">
        <x:v>D04,D05</x:v>
      </x:c>
      <x:c r="H51" s="9" t="str">
        <x:v>FUNCTIONAL</x:v>
      </x:c>
      <x:c r="I51" s="9" t="str">
        <x:v>API07 driver-applications; drivers; vehicles</x:v>
      </x:c>
      <x:c r="J51" s="9" t="str">
        <x:v>BASE; O_A, D_PENDING, D_A, V_FREE/V_ASSIGNED; version đọc mới từ API.</x:v>
      </x:c>
      <x:c r="K51" s="9" t="str">
        <x:v>Driver RPC timeout sau Identity commit</x:v>
      </x:c>
      <x:c r="L51" s="9" t="str">
        <x:v>1. Gửi hồ sơ; tra cứu operation bằng proof; khôi phục</x:v>
      </x:c>
      <x:c r="M51" s="9" t="str">
        <x:v>202 PROCESSING; đúng một Account/Driver/Application khi phục hồi; không tiêu thụ token lần hai.</x:v>
      </x:c>
      <x:c r="N51" s="9" t="str">
        <x:v>HTTP request/response đã che token; bản ghi trước/sau tại DB sở hữu; correlationId và log/audit liên quan.</x:v>
      </x:c>
      <x:c r="O51" s="9" t="str">
        <x:v>FR23; FR28; NFR03</x:v>
      </x:c>
      <x:c r="P51" s="9" t="str">
        <x:v>UC17; UC22; AC15; AC21</x:v>
      </x:c>
      <x:c r="Q51" s="9" t="str">
        <x:v>21</x:v>
      </x:c>
      <x:c r="R51" s="9" t="str">
        <x:v>Khôi phục dependency/fault injection nếu có; dùng bộ ID mới cho ca kế tiếp. Không xóa lịch sử/audit bằng API nghiệp vụ.</x:v>
      </x:c>
      <x:c r="S51" s="11" t="str"/>
      <x:c r="T51" s="11" t="str"/>
      <x:c r="U51" s="11" t="str"/>
      <x:c r="V51" s="11" t="str"/>
      <x:c r="W51" s="12"/>
      <x:c r="X51" s="9" t="str">
        <x:v>API07; MSD 5.3, 6.2, 6.7</x:v>
      </x:c>
    </x:row>
    <x:row r="52" ht="52" customHeight="1">
      <x:c r="A52" s="10" t="str">
        <x:v>TC13-FLEET-003</x:v>
      </x:c>
      <x:c r="B52" s="10" t="str">
        <x:v>FLEET</x:v>
      </x:c>
      <x:c r="C52" s="10" t="str">
        <x:v>Token đã dùng với key mới</x:v>
      </x:c>
      <x:c r="D52" s="10" t="str">
        <x:v>P1</x:v>
      </x:c>
      <x:c r="E52" s="10" t="str">
        <x:v>DEFINED</x:v>
      </x:c>
      <x:c r="F52" s="10" t="str">
        <x:v>NOT_RUN</x:v>
      </x:c>
      <x:c r="G52" s="10" t="str"/>
      <x:c r="H52" s="10" t="str">
        <x:v>FUNCTIONAL</x:v>
      </x:c>
      <x:c r="I52" s="10" t="str">
        <x:v>API07 driver-applications; drivers; vehicles</x:v>
      </x:c>
      <x:c r="J52" s="10" t="str">
        <x:v>BASE; O_A, D_PENDING, D_A, V_FREE/V_ASSIGNED; version đọc mới từ API.</x:v>
      </x:c>
      <x:c r="K52" s="10" t="str">
        <x:v>Đã đăng ký bằng token T/key K</x:v>
      </x:c>
      <x:c r="L52" s="10" t="str">
        <x:v>1. Gửi hồ sơ cùng T nhưng key mới</x:v>
      </x:c>
      <x:c r="M52" s="10" t="str">
        <x:v>409 VERIFICATION_TOKEN_USED; không tạo tài khoản khác.</x:v>
      </x:c>
      <x:c r="N52" s="10" t="str">
        <x:v>HTTP request/response đã che token; bản ghi trước/sau tại DB sở hữu; correlationId và log/audit liên quan.</x:v>
      </x:c>
      <x:c r="O52" s="10" t="str">
        <x:v>FR23; FR28; NFR03</x:v>
      </x:c>
      <x:c r="P52" s="10" t="str">
        <x:v>UC17; UC22; AC15; AC21</x:v>
      </x:c>
      <x:c r="Q52" s="10" t="str">
        <x:v>21</x:v>
      </x:c>
      <x:c r="R52" s="10" t="str">
        <x:v>Khôi phục dependency/fault injection nếu có; dùng bộ ID mới cho ca kế tiếp. Không xóa lịch sử/audit bằng API nghiệp vụ.</x:v>
      </x:c>
      <x:c r="S52" s="11" t="str"/>
      <x:c r="T52" s="11" t="str"/>
      <x:c r="U52" s="11" t="str"/>
      <x:c r="V52" s="11" t="str"/>
      <x:c r="W52" s="12"/>
      <x:c r="X52" s="10" t="str">
        <x:v>API07; MSD 5.3, 6.2, 6.7</x:v>
      </x:c>
    </x:row>
    <x:row r="53" ht="52" customHeight="1">
      <x:c r="A53" s="9" t="str">
        <x:v>TC13-FLEET-004</x:v>
      </x:c>
      <x:c r="B53" s="9" t="str">
        <x:v>FLEET</x:v>
      </x:c>
      <x:c r="C53" s="9" t="str">
        <x:v>Replay token hết hạn sau tiếp nhận</x:v>
      </x:c>
      <x:c r="D53" s="9" t="str">
        <x:v>P1</x:v>
      </x:c>
      <x:c r="E53" s="9" t="str">
        <x:v>NEEDS_DECISION</x:v>
      </x:c>
      <x:c r="F53" s="9" t="str">
        <x:v>NOT_RUN</x:v>
      </x:c>
      <x:c r="G53" s="9" t="str">
        <x:v>D05</x:v>
      </x:c>
      <x:c r="H53" s="9" t="str">
        <x:v>FUNCTIONAL</x:v>
      </x:c>
      <x:c r="I53" s="9" t="str">
        <x:v>API07 driver-applications; drivers; vehicles</x:v>
      </x:c>
      <x:c r="J53" s="9" t="str">
        <x:v>BASE; O_A, D_PENDING, D_A, V_FREE/V_ASSIGNED; version đọc mới từ API.</x:v>
      </x:c>
      <x:c r="K53" s="9" t="str">
        <x:v>Operation đã nhận trước token hết hạn</x:v>
      </x:c>
      <x:c r="L53" s="9" t="str">
        <x:v>1. Sau hết hạn retry cùng token/key/payload</x:v>
      </x:c>
      <x:c r="M53" s="9" t="str">
        <x:v>Trả operation/kết quả cũ; không từ chối chỉ vì thời hạn OTP cũ và không khởi tạo mới.</x:v>
      </x:c>
      <x:c r="N53" s="9" t="str">
        <x:v>HTTP request/response đã che token; bản ghi trước/sau tại DB sở hữu; correlationId và log/audit liên quan.</x:v>
      </x:c>
      <x:c r="O53" s="9" t="str">
        <x:v>FR23; FR28; NFR03</x:v>
      </x:c>
      <x:c r="P53" s="9" t="str">
        <x:v>UC17; UC22; AC15; AC21</x:v>
      </x:c>
      <x:c r="Q53" s="9" t="str">
        <x:v>21</x:v>
      </x:c>
      <x:c r="R53" s="9" t="str">
        <x:v>Khôi phục dependency/fault injection nếu có; dùng bộ ID mới cho ca kế tiếp. Không xóa lịch sử/audit bằng API nghiệp vụ.</x:v>
      </x:c>
      <x:c r="S53" s="11" t="str"/>
      <x:c r="T53" s="11" t="str"/>
      <x:c r="U53" s="11" t="str"/>
      <x:c r="V53" s="11" t="str"/>
      <x:c r="W53" s="12"/>
      <x:c r="X53" s="9" t="str">
        <x:v>API07; MSD 5.3, 6.2, 6.7</x:v>
      </x:c>
    </x:row>
    <x:row r="54" ht="52" customHeight="1">
      <x:c r="A54" s="10" t="str">
        <x:v>TC13-FLEET-005</x:v>
      </x:c>
      <x:c r="B54" s="10" t="str">
        <x:v>FLEET</x:v>
      </x:c>
      <x:c r="C54" s="10" t="str">
        <x:v>Đăng ký Driver trùng license</x:v>
      </x:c>
      <x:c r="D54" s="10" t="str">
        <x:v>P1</x:v>
      </x:c>
      <x:c r="E54" s="10" t="str">
        <x:v>DEFINED</x:v>
      </x:c>
      <x:c r="F54" s="10" t="str">
        <x:v>NOT_RUN</x:v>
      </x:c>
      <x:c r="G54" s="10" t="str"/>
      <x:c r="H54" s="10" t="str">
        <x:v>FUNCTIONAL</x:v>
      </x:c>
      <x:c r="I54" s="10" t="str">
        <x:v>API07 driver-applications; drivers; vehicles</x:v>
      </x:c>
      <x:c r="J54" s="10" t="str">
        <x:v>BASE; O_A, D_PENDING, D_A, V_FREE/V_ASSIGNED; version đọc mới từ API.</x:v>
      </x:c>
      <x:c r="K54" s="10" t="str">
        <x:v>Hai Account khác nhau; cùng license sau trim/uppercase</x:v>
      </x:c>
      <x:c r="L54" s="10" t="str">
        <x:v>1. Gửi hai hồ sơ</x:v>
      </x:c>
      <x:c r="M54" s="10" t="str">
        <x:v>Chỉ một Driver giữ license; ca còn lại lỗi LICENSE_ALREADY_EXISTS khi kết quả cuối đã rõ; dữ liệu tạm có phục hồi/bù.</x:v>
      </x:c>
      <x:c r="N54" s="10" t="str">
        <x:v>HTTP request/response đã che token; bản ghi trước/sau tại DB sở hữu; correlationId và log/audit liên quan.</x:v>
      </x:c>
      <x:c r="O54" s="10" t="str">
        <x:v>FR23; FR28; NFR03</x:v>
      </x:c>
      <x:c r="P54" s="10" t="str">
        <x:v>UC17; UC22; AC15; AC21</x:v>
      </x:c>
      <x:c r="Q54" s="10" t="str">
        <x:v>21</x:v>
      </x:c>
      <x:c r="R54" s="10" t="str">
        <x:v>Khôi phục dependency/fault injection nếu có; dùng bộ ID mới cho ca kế tiếp. Không xóa lịch sử/audit bằng API nghiệp vụ.</x:v>
      </x:c>
      <x:c r="S54" s="11" t="str"/>
      <x:c r="T54" s="11" t="str"/>
      <x:c r="U54" s="11" t="str"/>
      <x:c r="V54" s="11" t="str"/>
      <x:c r="W54" s="12"/>
      <x:c r="X54" s="10" t="str">
        <x:v>API07; MSD 5.3, 6.2, 6.7</x:v>
      </x:c>
    </x:row>
    <x:row r="55" ht="52" customHeight="1">
      <x:c r="A55" s="9" t="str">
        <x:v>TC13-FLEET-006</x:v>
      </x:c>
      <x:c r="B55" s="9" t="str">
        <x:v>FLEET</x:v>
      </x:c>
      <x:c r="C55" s="9" t="str">
        <x:v>Không nhận phone tự khai báo</x:v>
      </x:c>
      <x:c r="D55" s="9" t="str">
        <x:v>P1</x:v>
      </x:c>
      <x:c r="E55" s="9" t="str">
        <x:v>DEFINED</x:v>
      </x:c>
      <x:c r="F55" s="9" t="str">
        <x:v>NOT_RUN</x:v>
      </x:c>
      <x:c r="G55" s="9" t="str"/>
      <x:c r="H55" s="9" t="str">
        <x:v>FUNCTIONAL</x:v>
      </x:c>
      <x:c r="I55" s="9" t="str">
        <x:v>API07 driver-applications; drivers; vehicles</x:v>
      </x:c>
      <x:c r="J55" s="9" t="str">
        <x:v>BASE; O_A, D_PENDING, D_A, V_FREE/V_ASSIGNED; version đọc mới từ API.</x:v>
      </x:c>
      <x:c r="K55" s="9" t="str">
        <x:v>Body driver-applications thêm phone khác</x:v>
      </x:c>
      <x:c r="L55" s="9" t="str">
        <x:v>1. POST</x:v>
      </x:c>
      <x:c r="M55" s="9" t="str">
        <x:v>400; phone phải lấy từ verification token.</x:v>
      </x:c>
      <x:c r="N55" s="9" t="str">
        <x:v>HTTP request/response đã che token; bản ghi trước/sau tại DB sở hữu; correlationId và log/audit liên quan.</x:v>
      </x:c>
      <x:c r="O55" s="9" t="str">
        <x:v>FR23; FR28; NFR03</x:v>
      </x:c>
      <x:c r="P55" s="9" t="str">
        <x:v>UC17; UC22; AC15; AC21</x:v>
      </x:c>
      <x:c r="Q55" s="9" t="str">
        <x:v>21</x:v>
      </x:c>
      <x:c r="R55" s="9" t="str">
        <x:v>Khôi phục dependency/fault injection nếu có; dùng bộ ID mới cho ca kế tiếp. Không xóa lịch sử/audit bằng API nghiệp vụ.</x:v>
      </x:c>
      <x:c r="S55" s="11" t="str"/>
      <x:c r="T55" s="11" t="str"/>
      <x:c r="U55" s="11" t="str"/>
      <x:c r="V55" s="11" t="str"/>
      <x:c r="W55" s="12"/>
      <x:c r="X55" s="9" t="str">
        <x:v>API07; MSD 5.3, 6.2, 6.7</x:v>
      </x:c>
    </x:row>
    <x:row r="56" ht="52" customHeight="1">
      <x:c r="A56" s="10" t="str">
        <x:v>TC13-FLEET-007</x:v>
      </x:c>
      <x:c r="B56" s="10" t="str">
        <x:v>FLEET</x:v>
      </x:c>
      <x:c r="C56" s="10" t="str">
        <x:v>Duyệt tạo xe mới</x:v>
      </x:c>
      <x:c r="D56" s="10" t="str">
        <x:v>P1</x:v>
      </x:c>
      <x:c r="E56" s="10" t="str">
        <x:v>DEFINED</x:v>
      </x:c>
      <x:c r="F56" s="10" t="str">
        <x:v>NOT_RUN</x:v>
      </x:c>
      <x:c r="G56" s="10" t="str"/>
      <x:c r="H56" s="10" t="str">
        <x:v>FUNCTIONAL</x:v>
      </x:c>
      <x:c r="I56" s="10" t="str">
        <x:v>API07 driver-applications; drivers; vehicles</x:v>
      </x:c>
      <x:c r="J56" s="10" t="str">
        <x:v>BASE; O_A, D_PENDING, D_A, V_FREE/V_ASSIGNED; version đọc mới từ API.</x:v>
      </x:c>
      <x:c r="K56" s="10" t="str">
        <x:v>Application SUBMITTED; biển số chưa tồn tại</x:v>
      </x:c>
      <x:c r="L56" s="10" t="str">
        <x:v>1. O_A review APPROVED với version hiện tại</x:v>
      </x:c>
      <x:c r="M56" s="10" t="str">
        <x:v>Application và Driver APPROVED; Vehicle ACTIVE, Assignment duy nhất; Driver vẫn OFFLINE; audit/outbox cùng transaction.</x:v>
      </x:c>
      <x:c r="N56" s="10" t="str">
        <x:v>HTTP request/response đã che token; bản ghi trước/sau tại DB sở hữu; correlationId và log/audit liên quan.</x:v>
      </x:c>
      <x:c r="O56" s="10" t="str">
        <x:v>FR17; FR13; NFR03</x:v>
      </x:c>
      <x:c r="P56" s="10" t="str">
        <x:v>UC10; UC15; AC09; AC13; AC15</x:v>
      </x:c>
      <x:c r="Q56" s="10" t="str">
        <x:v>22</x:v>
      </x:c>
      <x:c r="R56" s="10" t="str">
        <x:v>Khôi phục dependency/fault injection nếu có; dùng bộ ID mới cho ca kế tiếp. Không xóa lịch sử/audit bằng API nghiệp vụ.</x:v>
      </x:c>
      <x:c r="S56" s="11" t="str"/>
      <x:c r="T56" s="11" t="str"/>
      <x:c r="U56" s="11" t="str"/>
      <x:c r="V56" s="11" t="str"/>
      <x:c r="W56" s="12"/>
      <x:c r="X56" s="10" t="str">
        <x:v>API07; MSD 5.3, 6.2, 6.7</x:v>
      </x:c>
    </x:row>
    <x:row r="57" ht="52" customHeight="1">
      <x:c r="A57" s="9" t="str">
        <x:v>TC13-FLEET-008</x:v>
      </x:c>
      <x:c r="B57" s="9" t="str">
        <x:v>FLEET</x:v>
      </x:c>
      <x:c r="C57" s="9" t="str">
        <x:v>Duyệt liên kết xe hiện có</x:v>
      </x:c>
      <x:c r="D57" s="9" t="str">
        <x:v>P1</x:v>
      </x:c>
      <x:c r="E57" s="9" t="str">
        <x:v>DEFINED</x:v>
      </x:c>
      <x:c r="F57" s="9" t="str">
        <x:v>NOT_RUN</x:v>
      </x:c>
      <x:c r="G57" s="9" t="str"/>
      <x:c r="H57" s="9" t="str">
        <x:v>FUNCTIONAL</x:v>
      </x:c>
      <x:c r="I57" s="9" t="str">
        <x:v>API07 driver-applications; drivers; vehicles</x:v>
      </x:c>
      <x:c r="J57" s="9" t="str">
        <x:v>BASE; O_A, D_PENDING, D_A, V_FREE/V_ASSIGNED; version đọc mới từ API.</x:v>
      </x:c>
      <x:c r="K57" s="9" t="str">
        <x:v>Xe ACTIVE chưa gán, đúng loại/biển số hồ sơ</x:v>
      </x:c>
      <x:c r="L57" s="9" t="str">
        <x:v>1. Review với vehicleId và expectedVehicleVersion</x:v>
      </x:c>
      <x:c r="M57" s="9" t="str">
        <x:v>Gắn đúng xe, không tạo Vehicle thứ hai; tăng các version theo hợp đồng.</x:v>
      </x:c>
      <x:c r="N57" s="9" t="str">
        <x:v>HTTP request/response đã che token; bản ghi trước/sau tại DB sở hữu; correlationId và log/audit liên quan.</x:v>
      </x:c>
      <x:c r="O57" s="9" t="str">
        <x:v>FR17; FR13; NFR03</x:v>
      </x:c>
      <x:c r="P57" s="9" t="str">
        <x:v>UC10; UC15; AC09; AC13; AC15</x:v>
      </x:c>
      <x:c r="Q57" s="9" t="str">
        <x:v>22</x:v>
      </x:c>
      <x:c r="R57" s="9" t="str">
        <x:v>Khôi phục dependency/fault injection nếu có; dùng bộ ID mới cho ca kế tiếp. Không xóa lịch sử/audit bằng API nghiệp vụ.</x:v>
      </x:c>
      <x:c r="S57" s="11" t="str"/>
      <x:c r="T57" s="11" t="str"/>
      <x:c r="U57" s="11" t="str"/>
      <x:c r="V57" s="11" t="str"/>
      <x:c r="W57" s="12"/>
      <x:c r="X57" s="9" t="str">
        <x:v>API07; MSD 5.3, 6.2, 6.7</x:v>
      </x:c>
    </x:row>
    <x:row r="58" ht="52" customHeight="1">
      <x:c r="A58" s="10" t="str">
        <x:v>TC13-FLEET-009</x:v>
      </x:c>
      <x:c r="B58" s="10" t="str">
        <x:v>FLEET</x:v>
      </x:c>
      <x:c r="C58" s="10" t="str">
        <x:v>Duyệt trùng biển số không tự chiếm xe</x:v>
      </x:c>
      <x:c r="D58" s="10" t="str">
        <x:v>P1</x:v>
      </x:c>
      <x:c r="E58" s="10" t="str">
        <x:v>DEFINED</x:v>
      </x:c>
      <x:c r="F58" s="10" t="str">
        <x:v>NOT_RUN</x:v>
      </x:c>
      <x:c r="G58" s="10" t="str"/>
      <x:c r="H58" s="10" t="str">
        <x:v>FUNCTIONAL</x:v>
      </x:c>
      <x:c r="I58" s="10" t="str">
        <x:v>API07 driver-applications; drivers; vehicles</x:v>
      </x:c>
      <x:c r="J58" s="10" t="str">
        <x:v>BASE; O_A, D_PENDING, D_A, V_FREE/V_ASSIGNED; version đọc mới từ API.</x:v>
      </x:c>
      <x:c r="K58" s="10" t="str">
        <x:v>Biển số đã có; review không truyền vehicleId</x:v>
      </x:c>
      <x:c r="L58" s="10" t="str">
        <x:v>1. Review APPROVED</x:v>
      </x:c>
      <x:c r="M58" s="10" t="str">
        <x:v>409 PLATE_ALREADY_EXISTS; không tự gán xe hiện có.</x:v>
      </x:c>
      <x:c r="N58" s="10" t="str">
        <x:v>HTTP request/response đã che token; bản ghi trước/sau tại DB sở hữu; correlationId và log/audit liên quan.</x:v>
      </x:c>
      <x:c r="O58" s="10" t="str">
        <x:v>FR17; FR13; NFR03</x:v>
      </x:c>
      <x:c r="P58" s="10" t="str">
        <x:v>UC10; UC15; AC09; AC13; AC15</x:v>
      </x:c>
      <x:c r="Q58" s="10" t="str">
        <x:v>22</x:v>
      </x:c>
      <x:c r="R58" s="10" t="str">
        <x:v>Khôi phục dependency/fault injection nếu có; dùng bộ ID mới cho ca kế tiếp. Không xóa lịch sử/audit bằng API nghiệp vụ.</x:v>
      </x:c>
      <x:c r="S58" s="11" t="str"/>
      <x:c r="T58" s="11" t="str"/>
      <x:c r="U58" s="11" t="str"/>
      <x:c r="V58" s="11" t="str"/>
      <x:c r="W58" s="12"/>
      <x:c r="X58" s="10" t="str">
        <x:v>API07; MSD 5.3, 6.2, 6.7</x:v>
      </x:c>
    </x:row>
    <x:row r="59" ht="52" customHeight="1">
      <x:c r="A59" s="9" t="str">
        <x:v>TC13-FLEET-010</x:v>
      </x:c>
      <x:c r="B59" s="9" t="str">
        <x:v>FLEET</x:v>
      </x:c>
      <x:c r="C59" s="9" t="str">
        <x:v>Duyệt xe sai loại hoặc biển số</x:v>
      </x:c>
      <x:c r="D59" s="9" t="str">
        <x:v>P1</x:v>
      </x:c>
      <x:c r="E59" s="9" t="str">
        <x:v>DEFINED</x:v>
      </x:c>
      <x:c r="F59" s="9" t="str">
        <x:v>NOT_RUN</x:v>
      </x:c>
      <x:c r="G59" s="9" t="str"/>
      <x:c r="H59" s="9" t="str">
        <x:v>FUNCTIONAL</x:v>
      </x:c>
      <x:c r="I59" s="9" t="str">
        <x:v>API07 driver-applications; drivers; vehicles</x:v>
      </x:c>
      <x:c r="J59" s="9" t="str">
        <x:v>BASE; O_A, D_PENDING, D_A, V_FREE/V_ASSIGNED; version đọc mới từ API.</x:v>
      </x:c>
      <x:c r="K59" s="9" t="str">
        <x:v>Xe chọn khác submittedVehicle</x:v>
      </x:c>
      <x:c r="L59" s="9" t="str">
        <x:v>1. Review APPROVED</x:v>
      </x:c>
      <x:c r="M59" s="9" t="str">
        <x:v>409 theo lỗi hợp đồng; không duyệt một phần hoặc tạo phân công sai.</x:v>
      </x:c>
      <x:c r="N59" s="9" t="str">
        <x:v>HTTP request/response đã che token; bản ghi trước/sau tại DB sở hữu; correlationId và log/audit liên quan.</x:v>
      </x:c>
      <x:c r="O59" s="9" t="str">
        <x:v>FR17; FR13; NFR03</x:v>
      </x:c>
      <x:c r="P59" s="9" t="str">
        <x:v>UC10; UC15; AC09; AC13; AC15</x:v>
      </x:c>
      <x:c r="Q59" s="9" t="str">
        <x:v>22</x:v>
      </x:c>
      <x:c r="R59" s="9" t="str">
        <x:v>Khôi phục dependency/fault injection nếu có; dùng bộ ID mới cho ca kế tiếp. Không xóa lịch sử/audit bằng API nghiệp vụ.</x:v>
      </x:c>
      <x:c r="S59" s="11" t="str"/>
      <x:c r="T59" s="11" t="str"/>
      <x:c r="U59" s="11" t="str"/>
      <x:c r="V59" s="11" t="str"/>
      <x:c r="W59" s="12"/>
      <x:c r="X59" s="9" t="str">
        <x:v>API07; MSD 5.3, 6.2, 6.7</x:v>
      </x:c>
    </x:row>
    <x:row r="60" ht="52" customHeight="1">
      <x:c r="A60" s="10" t="str">
        <x:v>TC13-FLEET-011</x:v>
      </x:c>
      <x:c r="B60" s="10" t="str">
        <x:v>FLEET</x:v>
      </x:c>
      <x:c r="C60" s="10" t="str">
        <x:v>Từ chối hồ sơ</x:v>
      </x:c>
      <x:c r="D60" s="10" t="str">
        <x:v>P1</x:v>
      </x:c>
      <x:c r="E60" s="10" t="str">
        <x:v>DEFINED</x:v>
      </x:c>
      <x:c r="F60" s="10" t="str">
        <x:v>NOT_RUN</x:v>
      </x:c>
      <x:c r="G60" s="10" t="str"/>
      <x:c r="H60" s="10" t="str">
        <x:v>FUNCTIONAL</x:v>
      </x:c>
      <x:c r="I60" s="10" t="str">
        <x:v>API07 driver-applications; drivers; vehicles</x:v>
      </x:c>
      <x:c r="J60" s="10" t="str">
        <x:v>BASE; O_A, D_PENDING, D_A, V_FREE/V_ASSIGNED; version đọc mới từ API.</x:v>
      </x:c>
      <x:c r="K60" s="10" t="str">
        <x:v>rejectionReason không trắng</x:v>
      </x:c>
      <x:c r="L60" s="10" t="str">
        <x:v>1. Review REJECTED</x:v>
      </x:c>
      <x:c r="M60" s="10" t="str">
        <x:v>Driver/Application REJECTED; Driver OFFLINE, không xe; Account không tự bị khóa; thông báo đúng người nhận.</x:v>
      </x:c>
      <x:c r="N60" s="10" t="str">
        <x:v>HTTP request/response đã che token; bản ghi trước/sau tại DB sở hữu; correlationId và log/audit liên quan.</x:v>
      </x:c>
      <x:c r="O60" s="10" t="str">
        <x:v>FR17; FR13; NFR03</x:v>
      </x:c>
      <x:c r="P60" s="10" t="str">
        <x:v>UC10; UC15; AC09; AC13; AC15</x:v>
      </x:c>
      <x:c r="Q60" s="10" t="str">
        <x:v>22</x:v>
      </x:c>
      <x:c r="R60" s="10" t="str">
        <x:v>Khôi phục dependency/fault injection nếu có; dùng bộ ID mới cho ca kế tiếp. Không xóa lịch sử/audit bằng API nghiệp vụ.</x:v>
      </x:c>
      <x:c r="S60" s="11" t="str"/>
      <x:c r="T60" s="11" t="str"/>
      <x:c r="U60" s="11" t="str"/>
      <x:c r="V60" s="11" t="str"/>
      <x:c r="W60" s="12"/>
      <x:c r="X60" s="10" t="str">
        <x:v>API07; MSD 5.3, 6.2, 6.7</x:v>
      </x:c>
    </x:row>
    <x:row r="61" ht="52" customHeight="1">
      <x:c r="A61" s="9" t="str">
        <x:v>TC13-FLEET-012</x:v>
      </x:c>
      <x:c r="B61" s="9" t="str">
        <x:v>FLEET</x:v>
      </x:c>
      <x:c r="C61" s="9" t="str">
        <x:v>Reject thiếu lý do</x:v>
      </x:c>
      <x:c r="D61" s="9" t="str">
        <x:v>P1</x:v>
      </x:c>
      <x:c r="E61" s="9" t="str">
        <x:v>DEFINED</x:v>
      </x:c>
      <x:c r="F61" s="9" t="str">
        <x:v>NOT_RUN</x:v>
      </x:c>
      <x:c r="G61" s="9" t="str"/>
      <x:c r="H61" s="9" t="str">
        <x:v>FUNCTIONAL</x:v>
      </x:c>
      <x:c r="I61" s="9" t="str">
        <x:v>API07 driver-applications; drivers; vehicles</x:v>
      </x:c>
      <x:c r="J61" s="9" t="str">
        <x:v>BASE; O_A, D_PENDING, D_A, V_FREE/V_ASSIGNED; version đọc mới từ API.</x:v>
      </x:c>
      <x:c r="K61" s="9" t="str">
        <x:v>rejectionReason rỗng hoặc khoảng trắng</x:v>
      </x:c>
      <x:c r="L61" s="9" t="str">
        <x:v>1. Review REJECTED</x:v>
      </x:c>
      <x:c r="M61" s="9" t="str">
        <x:v>400; chưa thay trạng thái/version.</x:v>
      </x:c>
      <x:c r="N61" s="9" t="str">
        <x:v>HTTP request/response đã che token; bản ghi trước/sau tại DB sở hữu; correlationId và log/audit liên quan.</x:v>
      </x:c>
      <x:c r="O61" s="9" t="str">
        <x:v>FR17; FR13; NFR03</x:v>
      </x:c>
      <x:c r="P61" s="9" t="str">
        <x:v>UC10; UC15; AC09; AC13; AC15</x:v>
      </x:c>
      <x:c r="Q61" s="9" t="str">
        <x:v>22</x:v>
      </x:c>
      <x:c r="R61" s="9" t="str">
        <x:v>Khôi phục dependency/fault injection nếu có; dùng bộ ID mới cho ca kế tiếp. Không xóa lịch sử/audit bằng API nghiệp vụ.</x:v>
      </x:c>
      <x:c r="S61" s="11" t="str"/>
      <x:c r="T61" s="11" t="str"/>
      <x:c r="U61" s="11" t="str"/>
      <x:c r="V61" s="11" t="str"/>
      <x:c r="W61" s="12"/>
      <x:c r="X61" s="9" t="str">
        <x:v>API07; MSD 5.3, 6.2, 6.7</x:v>
      </x:c>
    </x:row>
    <x:row r="62" ht="52" customHeight="1">
      <x:c r="A62" s="10" t="str">
        <x:v>TC13-FLEET-013</x:v>
      </x:c>
      <x:c r="B62" s="10" t="str">
        <x:v>FLEET</x:v>
      </x:c>
      <x:c r="C62" s="10" t="str">
        <x:v>Hai review đồng thời</x:v>
      </x:c>
      <x:c r="D62" s="10" t="str">
        <x:v>P1</x:v>
      </x:c>
      <x:c r="E62" s="10" t="str">
        <x:v>DEFINED</x:v>
      </x:c>
      <x:c r="F62" s="10" t="str">
        <x:v>NOT_RUN</x:v>
      </x:c>
      <x:c r="G62" s="10" t="str"/>
      <x:c r="H62" s="10" t="str">
        <x:v>FUNCTIONAL</x:v>
      </x:c>
      <x:c r="I62" s="10" t="str">
        <x:v>API07 driver-applications; drivers; vehicles</x:v>
      </x:c>
      <x:c r="J62" s="10" t="str">
        <x:v>BASE; O_A, D_PENDING, D_A, V_FREE/V_ASSIGNED; version đọc mới từ API.</x:v>
      </x:c>
      <x:c r="K62" s="10" t="str">
        <x:v>Cùng Application/Driver versions; một APPROVED một REJECTED</x:v>
      </x:c>
      <x:c r="L62" s="10" t="str">
        <x:v>1. Barrier gửi hai request</x:v>
      </x:c>
      <x:c r="M62" s="10" t="str">
        <x:v>Chỉ một quyết định thành công; request còn lại conflict; không có hồ sơ và Driver trái trạng thái.</x:v>
      </x:c>
      <x:c r="N62" s="10" t="str">
        <x:v>HTTP request/response đã che token; bản ghi trước/sau tại DB sở hữu; correlationId và log/audit liên quan.</x:v>
      </x:c>
      <x:c r="O62" s="10" t="str">
        <x:v>FR17; FR13; NFR03</x:v>
      </x:c>
      <x:c r="P62" s="10" t="str">
        <x:v>UC10; UC15; AC09; AC13; AC15</x:v>
      </x:c>
      <x:c r="Q62" s="10" t="str">
        <x:v>22</x:v>
      </x:c>
      <x:c r="R62" s="10" t="str">
        <x:v>Khôi phục dependency/fault injection nếu có; dùng bộ ID mới cho ca kế tiếp. Không xóa lịch sử/audit bằng API nghiệp vụ.</x:v>
      </x:c>
      <x:c r="S62" s="11" t="str"/>
      <x:c r="T62" s="11" t="str"/>
      <x:c r="U62" s="11" t="str"/>
      <x:c r="V62" s="11" t="str"/>
      <x:c r="W62" s="12"/>
      <x:c r="X62" s="10" t="str">
        <x:v>API07; MSD 5.3, 6.2, 6.7</x:v>
      </x:c>
    </x:row>
    <x:row r="63" ht="52" customHeight="1">
      <x:c r="A63" s="9" t="str">
        <x:v>TC13-FLEET-014</x:v>
      </x:c>
      <x:c r="B63" s="9" t="str">
        <x:v>FLEET</x:v>
      </x:c>
      <x:c r="C63" s="9" t="str">
        <x:v>Review version cũ</x:v>
      </x:c>
      <x:c r="D63" s="9" t="str">
        <x:v>P1</x:v>
      </x:c>
      <x:c r="E63" s="9" t="str">
        <x:v>DEFINED</x:v>
      </x:c>
      <x:c r="F63" s="9" t="str">
        <x:v>NOT_RUN</x:v>
      </x:c>
      <x:c r="G63" s="9" t="str"/>
      <x:c r="H63" s="9" t="str">
        <x:v>FUNCTIONAL</x:v>
      </x:c>
      <x:c r="I63" s="9" t="str">
        <x:v>API07 driver-applications; drivers; vehicles</x:v>
      </x:c>
      <x:c r="J63" s="9" t="str">
        <x:v>BASE; O_A, D_PENDING, D_A, V_FREE/V_ASSIGNED; version đọc mới từ API.</x:v>
      </x:c>
      <x:c r="K63" s="9" t="str">
        <x:v>expectedVersion hoặc expectedDriverVersion cũ</x:v>
      </x:c>
      <x:c r="L63" s="9" t="str">
        <x:v>1. Gửi review</x:v>
      </x:c>
      <x:c r="M63" s="9" t="str">
        <x:v>409 version conflict tương ứng; không ghi đè quyết định mới.</x:v>
      </x:c>
      <x:c r="N63" s="9" t="str">
        <x:v>HTTP request/response đã che token; bản ghi trước/sau tại DB sở hữu; correlationId và log/audit liên quan.</x:v>
      </x:c>
      <x:c r="O63" s="9" t="str">
        <x:v>FR17; FR13; NFR03</x:v>
      </x:c>
      <x:c r="P63" s="9" t="str">
        <x:v>UC10; UC15; AC09; AC13; AC15</x:v>
      </x:c>
      <x:c r="Q63" s="9" t="str">
        <x:v>22</x:v>
      </x:c>
      <x:c r="R63" s="9" t="str">
        <x:v>Khôi phục dependency/fault injection nếu có; dùng bộ ID mới cho ca kế tiếp. Không xóa lịch sử/audit bằng API nghiệp vụ.</x:v>
      </x:c>
      <x:c r="S63" s="11" t="str"/>
      <x:c r="T63" s="11" t="str"/>
      <x:c r="U63" s="11" t="str"/>
      <x:c r="V63" s="11" t="str"/>
      <x:c r="W63" s="12"/>
      <x:c r="X63" s="9" t="str">
        <x:v>API07; MSD 5.3, 6.2, 6.7</x:v>
      </x:c>
    </x:row>
    <x:row r="64" ht="52" customHeight="1">
      <x:c r="A64" s="10" t="str">
        <x:v>TC13-FLEET-015</x:v>
      </x:c>
      <x:c r="B64" s="10" t="str">
        <x:v>FLEET</x:v>
      </x:c>
      <x:c r="C64" s="10" t="str">
        <x:v>Không mở lại hồ sơ đã quyết định</x:v>
      </x:c>
      <x:c r="D64" s="10" t="str">
        <x:v>P1</x:v>
      </x:c>
      <x:c r="E64" s="10" t="str">
        <x:v>DEFINED</x:v>
      </x:c>
      <x:c r="F64" s="10" t="str">
        <x:v>NOT_RUN</x:v>
      </x:c>
      <x:c r="G64" s="10" t="str"/>
      <x:c r="H64" s="10" t="str">
        <x:v>FUNCTIONAL</x:v>
      </x:c>
      <x:c r="I64" s="10" t="str">
        <x:v>API07 driver-applications; drivers; vehicles</x:v>
      </x:c>
      <x:c r="J64" s="10" t="str">
        <x:v>BASE; O_A, D_PENDING, D_A, V_FREE/V_ASSIGNED; version đọc mới từ API.</x:v>
      </x:c>
      <x:c r="K64" s="10" t="str">
        <x:v>Application APPROVED/REJECTED</x:v>
      </x:c>
      <x:c r="L64" s="10" t="str">
        <x:v>1. Review với key mới</x:v>
      </x:c>
      <x:c r="M64" s="10" t="str">
        <x:v>409 APPLICATION_ALREADY_REVIEWED; nộp lại/tái xét duyệt ngoài MVP.</x:v>
      </x:c>
      <x:c r="N64" s="10" t="str">
        <x:v>HTTP request/response đã che token; bản ghi trước/sau tại DB sở hữu; correlationId và log/audit liên quan.</x:v>
      </x:c>
      <x:c r="O64" s="10" t="str">
        <x:v>FR17; FR13; NFR03</x:v>
      </x:c>
      <x:c r="P64" s="10" t="str">
        <x:v>UC10; UC15; AC09; AC13; AC15</x:v>
      </x:c>
      <x:c r="Q64" s="10" t="str">
        <x:v>22</x:v>
      </x:c>
      <x:c r="R64" s="10" t="str">
        <x:v>Khôi phục dependency/fault injection nếu có; dùng bộ ID mới cho ca kế tiếp. Không xóa lịch sử/audit bằng API nghiệp vụ.</x:v>
      </x:c>
      <x:c r="S64" s="11" t="str"/>
      <x:c r="T64" s="11" t="str"/>
      <x:c r="U64" s="11" t="str"/>
      <x:c r="V64" s="11" t="str"/>
      <x:c r="W64" s="12"/>
      <x:c r="X64" s="10" t="str">
        <x:v>API07; MSD 5.3, 6.2, 6.7</x:v>
      </x:c>
    </x:row>
    <x:row r="65" ht="52" customHeight="1">
      <x:c r="A65" s="9" t="str">
        <x:v>TC13-FLEET-016</x:v>
      </x:c>
      <x:c r="B65" s="9" t="str">
        <x:v>FLEET</x:v>
      </x:c>
      <x:c r="C65" s="9" t="str">
        <x:v>Review replay</x:v>
      </x:c>
      <x:c r="D65" s="9" t="str">
        <x:v>P1</x:v>
      </x:c>
      <x:c r="E65" s="9" t="str">
        <x:v>DEFINED</x:v>
      </x:c>
      <x:c r="F65" s="9" t="str">
        <x:v>NOT_RUN</x:v>
      </x:c>
      <x:c r="G65" s="9" t="str"/>
      <x:c r="H65" s="9" t="str">
        <x:v>FUNCTIONAL</x:v>
      </x:c>
      <x:c r="I65" s="9" t="str">
        <x:v>API07 driver-applications; drivers; vehicles</x:v>
      </x:c>
      <x:c r="J65" s="9" t="str">
        <x:v>BASE; O_A, D_PENDING, D_A, V_FREE/V_ASSIGNED; version đọc mới từ API.</x:v>
      </x:c>
      <x:c r="K65" s="9" t="str">
        <x:v>Cùng key/body đã duyệt thành công</x:v>
      </x:c>
      <x:c r="L65" s="9" t="str">
        <x:v>1. Gửi lại sau khi Driver đổi trạng thái</x:v>
      </x:c>
      <x:c r="M65" s="9" t="str">
        <x:v>Trả snapshot cũ; không tạo xe, assignment, audit/outbox lần hai.</x:v>
      </x:c>
      <x:c r="N65" s="9" t="str">
        <x:v>HTTP request/response đã che token; bản ghi trước/sau tại DB sở hữu; correlationId và log/audit liên quan.</x:v>
      </x:c>
      <x:c r="O65" s="9" t="str">
        <x:v>FR17; FR13; NFR03</x:v>
      </x:c>
      <x:c r="P65" s="9" t="str">
        <x:v>UC10; UC15; AC09; AC13; AC15</x:v>
      </x:c>
      <x:c r="Q65" s="9" t="str">
        <x:v>22</x:v>
      </x:c>
      <x:c r="R65" s="9" t="str">
        <x:v>Khôi phục dependency/fault injection nếu có; dùng bộ ID mới cho ca kế tiếp. Không xóa lịch sử/audit bằng API nghiệp vụ.</x:v>
      </x:c>
      <x:c r="S65" s="11" t="str"/>
      <x:c r="T65" s="11" t="str"/>
      <x:c r="U65" s="11" t="str"/>
      <x:c r="V65" s="11" t="str"/>
      <x:c r="W65" s="12"/>
      <x:c r="X65" s="9" t="str">
        <x:v>API07; MSD 5.3, 6.2, 6.7</x:v>
      </x:c>
    </x:row>
    <x:row r="66" ht="52" customHeight="1">
      <x:c r="A66" s="10" t="str">
        <x:v>TC13-FLEET-017</x:v>
      </x:c>
      <x:c r="B66" s="10" t="str">
        <x:v>FLEET</x:v>
      </x:c>
      <x:c r="C66" s="10" t="str">
        <x:v>GPS chuẩn bị online</x:v>
      </x:c>
      <x:c r="D66" s="10" t="str">
        <x:v>P1</x:v>
      </x:c>
      <x:c r="E66" s="10" t="str">
        <x:v>DEFINED</x:v>
      </x:c>
      <x:c r="F66" s="10" t="str">
        <x:v>NOT_RUN</x:v>
      </x:c>
      <x:c r="G66" s="10" t="str"/>
      <x:c r="H66" s="10" t="str">
        <x:v>FUNCTIONAL</x:v>
      </x:c>
      <x:c r="I66" s="10" t="str">
        <x:v>API07 driver-applications; drivers; vehicles</x:v>
      </x:c>
      <x:c r="J66" s="10" t="str">
        <x:v>BASE; O_A, D_PENDING, D_A, V_FREE/V_ASSIGNED; version đọc mới từ API.</x:v>
      </x:c>
      <x:c r="K66" s="10" t="str">
        <x:v>D_PENDING hoặc Driver OFFLINE</x:v>
      </x:c>
      <x:c r="L66" s="10" t="str">
        <x:v>1. PUT location hợp lệ</x:v>
      </x:c>
      <x:c r="M66" s="10" t="str">
        <x:v>Có thể cập nhật GPS; không tự APPROVED/AVAILABLE.</x:v>
      </x:c>
      <x:c r="N66" s="10" t="str">
        <x:v>HTTP request/response đã che token; bản ghi trước/sau tại DB sở hữu; correlationId và log/audit liên quan.</x:v>
      </x:c>
      <x:c r="O66" s="10" t="str">
        <x:v>FR18; NFR02</x:v>
      </x:c>
      <x:c r="P66" s="10" t="str">
        <x:v>UC11; AC09</x:v>
      </x:c>
      <x:c r="Q66" s="10" t="str">
        <x:v>23</x:v>
      </x:c>
      <x:c r="R66" s="10" t="str">
        <x:v>Khôi phục dependency/fault injection nếu có; dùng bộ ID mới cho ca kế tiếp. Không xóa lịch sử/audit bằng API nghiệp vụ.</x:v>
      </x:c>
      <x:c r="S66" s="11" t="str"/>
      <x:c r="T66" s="11" t="str"/>
      <x:c r="U66" s="11" t="str"/>
      <x:c r="V66" s="11" t="str"/>
      <x:c r="W66" s="12"/>
      <x:c r="X66" s="10" t="str">
        <x:v>API07; MSD 5.3, 6.2, 6.7</x:v>
      </x:c>
    </x:row>
    <x:row r="67" ht="52" customHeight="1">
      <x:c r="A67" s="9" t="str">
        <x:v>TC13-FLEET-018</x:v>
      </x:c>
      <x:c r="B67" s="9" t="str">
        <x:v>FLEET</x:v>
      </x:c>
      <x:c r="C67" s="9" t="str">
        <x:v>Online thiếu điều kiện</x:v>
      </x:c>
      <x:c r="D67" s="9" t="str">
        <x:v>P1</x:v>
      </x:c>
      <x:c r="E67" s="9" t="str">
        <x:v>DEFINED</x:v>
      </x:c>
      <x:c r="F67" s="9" t="str">
        <x:v>NOT_RUN</x:v>
      </x:c>
      <x:c r="G67" s="9" t="str"/>
      <x:c r="H67" s="9" t="str">
        <x:v>FUNCTIONAL</x:v>
      </x:c>
      <x:c r="I67" s="9" t="str">
        <x:v>API07 driver-applications; drivers; vehicles</x:v>
      </x:c>
      <x:c r="J67" s="9" t="str">
        <x:v>BASE; O_A, D_PENDING, D_A, V_FREE/V_ASSIGNED; version đọc mới từ API.</x:v>
      </x:c>
      <x:c r="K67" s="9" t="str">
        <x:v>Lần lượt: chưa APPROVED, xe INACTIVE, GPS cũ, thiếu assignment</x:v>
      </x:c>
      <x:c r="L67" s="9" t="str">
        <x:v>1. PUT availability AVAILABLE với version mới</x:v>
      </x:c>
      <x:c r="M67" s="9" t="str">
        <x:v>Từ chối; không đưa Driver vào danh sách nhận chuyến.</x:v>
      </x:c>
      <x:c r="N67" s="9" t="str">
        <x:v>HTTP request/response đã che token; bản ghi trước/sau tại DB sở hữu; correlationId và log/audit liên quan.</x:v>
      </x:c>
      <x:c r="O67" s="9" t="str">
        <x:v>FR18; NFR02</x:v>
      </x:c>
      <x:c r="P67" s="9" t="str">
        <x:v>UC11; AC09</x:v>
      </x:c>
      <x:c r="Q67" s="9" t="str">
        <x:v>23</x:v>
      </x:c>
      <x:c r="R67" s="9" t="str">
        <x:v>Khôi phục dependency/fault injection nếu có; dùng bộ ID mới cho ca kế tiếp. Không xóa lịch sử/audit bằng API nghiệp vụ.</x:v>
      </x:c>
      <x:c r="S67" s="11" t="str"/>
      <x:c r="T67" s="11" t="str"/>
      <x:c r="U67" s="11" t="str"/>
      <x:c r="V67" s="11" t="str"/>
      <x:c r="W67" s="12"/>
      <x:c r="X67" s="9" t="str">
        <x:v>API07; MSD 5.3, 6.2, 6.7</x:v>
      </x:c>
    </x:row>
    <x:row r="68" ht="52" customHeight="1">
      <x:c r="A68" s="10" t="str">
        <x:v>TC13-FLEET-019</x:v>
      </x:c>
      <x:c r="B68" s="10" t="str">
        <x:v>FLEET</x:v>
      </x:c>
      <x:c r="C68" s="10" t="str">
        <x:v>Client đặt BUSY</x:v>
      </x:c>
      <x:c r="D68" s="10" t="str">
        <x:v>P1</x:v>
      </x:c>
      <x:c r="E68" s="10" t="str">
        <x:v>DEFINED</x:v>
      </x:c>
      <x:c r="F68" s="10" t="str">
        <x:v>NOT_RUN</x:v>
      </x:c>
      <x:c r="G68" s="10" t="str"/>
      <x:c r="H68" s="10" t="str">
        <x:v>FUNCTIONAL</x:v>
      </x:c>
      <x:c r="I68" s="10" t="str">
        <x:v>API07 driver-applications; drivers; vehicles</x:v>
      </x:c>
      <x:c r="J68" s="10" t="str">
        <x:v>BASE; O_A, D_PENDING, D_A, V_FREE/V_ASSIGNED; version đọc mới từ API.</x:v>
      </x:c>
      <x:c r="K68" s="10" t="str">
        <x:v>driverStatus=BUSY</x:v>
      </x:c>
      <x:c r="L68" s="10" t="str">
        <x:v>1. PUT availability</x:v>
      </x:c>
      <x:c r="M68" s="10" t="str">
        <x:v>400; BUSY do hệ thống phân công quản lý.</x:v>
      </x:c>
      <x:c r="N68" s="10" t="str">
        <x:v>HTTP request/response đã che token; bản ghi trước/sau tại DB sở hữu; correlationId và log/audit liên quan.</x:v>
      </x:c>
      <x:c r="O68" s="10" t="str">
        <x:v>FR18; NFR02</x:v>
      </x:c>
      <x:c r="P68" s="10" t="str">
        <x:v>UC11; AC09</x:v>
      </x:c>
      <x:c r="Q68" s="10" t="str">
        <x:v>23</x:v>
      </x:c>
      <x:c r="R68" s="10" t="str">
        <x:v>Khôi phục dependency/fault injection nếu có; dùng bộ ID mới cho ca kế tiếp. Không xóa lịch sử/audit bằng API nghiệp vụ.</x:v>
      </x:c>
      <x:c r="S68" s="11" t="str"/>
      <x:c r="T68" s="11" t="str"/>
      <x:c r="U68" s="11" t="str"/>
      <x:c r="V68" s="11" t="str"/>
      <x:c r="W68" s="12"/>
      <x:c r="X68" s="10" t="str">
        <x:v>API07; MSD 5.3, 6.2, 6.7</x:v>
      </x:c>
    </x:row>
    <x:row r="69" ht="52" customHeight="1">
      <x:c r="A69" s="9" t="str">
        <x:v>TC13-FLEET-020</x:v>
      </x:c>
      <x:c r="B69" s="9" t="str">
        <x:v>FLEET</x:v>
      </x:c>
      <x:c r="C69" s="9" t="str">
        <x:v>Offline trong chuyến</x:v>
      </x:c>
      <x:c r="D69" s="9" t="str">
        <x:v>P1</x:v>
      </x:c>
      <x:c r="E69" s="9" t="str">
        <x:v>DEFINED</x:v>
      </x:c>
      <x:c r="F69" s="9" t="str">
        <x:v>NOT_RUN</x:v>
      </x:c>
      <x:c r="G69" s="9" t="str"/>
      <x:c r="H69" s="9" t="str">
        <x:v>FUNCTIONAL</x:v>
      </x:c>
      <x:c r="I69" s="9" t="str">
        <x:v>API07 driver-applications; drivers; vehicles</x:v>
      </x:c>
      <x:c r="J69" s="9" t="str">
        <x:v>BASE; O_A, D_PENDING, D_A, V_FREE/V_ASSIGNED; version đọc mới từ API.</x:v>
      </x:c>
      <x:c r="K69" s="9" t="str">
        <x:v>Trip hoạt động hoặc ERROR chưa closedAt</x:v>
      </x:c>
      <x:c r="L69" s="9" t="str">
        <x:v>1. PUT availability OFFLINE</x:v>
      </x:c>
      <x:c r="M69" s="9" t="str">
        <x:v>409; không giải phóng Driver/Vehicle/guard.</x:v>
      </x:c>
      <x:c r="N69" s="9" t="str">
        <x:v>HTTP request/response đã che token; bản ghi trước/sau tại DB sở hữu; correlationId và log/audit liên quan.</x:v>
      </x:c>
      <x:c r="O69" s="9" t="str">
        <x:v>FR18; NFR02</x:v>
      </x:c>
      <x:c r="P69" s="9" t="str">
        <x:v>UC11; AC09</x:v>
      </x:c>
      <x:c r="Q69" s="9" t="str">
        <x:v>23</x:v>
      </x:c>
      <x:c r="R69" s="9" t="str">
        <x:v>Khôi phục dependency/fault injection nếu có; dùng bộ ID mới cho ca kế tiếp. Không xóa lịch sử/audit bằng API nghiệp vụ.</x:v>
      </x:c>
      <x:c r="S69" s="11" t="str"/>
      <x:c r="T69" s="11" t="str"/>
      <x:c r="U69" s="11" t="str"/>
      <x:c r="V69" s="11" t="str"/>
      <x:c r="W69" s="12"/>
      <x:c r="X69" s="9" t="str">
        <x:v>API07; MSD 5.3, 6.2, 6.7</x:v>
      </x:c>
    </x:row>
    <x:row r="70" ht="52" customHeight="1">
      <x:c r="A70" s="10" t="str">
        <x:v>TC13-FLEET-021</x:v>
      </x:c>
      <x:c r="B70" s="10" t="str">
        <x:v>FLEET</x:v>
      </x:c>
      <x:c r="C70" s="10" t="str">
        <x:v>Offline cạnh tranh accept</x:v>
      </x:c>
      <x:c r="D70" s="10" t="str">
        <x:v>P1</x:v>
      </x:c>
      <x:c r="E70" s="10" t="str">
        <x:v>NEEDS_DECISION</x:v>
      </x:c>
      <x:c r="F70" s="10" t="str">
        <x:v>NOT_RUN</x:v>
      </x:c>
      <x:c r="G70" s="10" t="str">
        <x:v>D06</x:v>
      </x:c>
      <x:c r="H70" s="10" t="str">
        <x:v>FUNCTIONAL</x:v>
      </x:c>
      <x:c r="I70" s="10" t="str">
        <x:v>API07 driver-applications; drivers; vehicles</x:v>
      </x:c>
      <x:c r="J70" s="10" t="str">
        <x:v>BASE; O_A, D_PENDING, D_A, V_FREE/V_ASSIGNED; version đọc mới từ API.</x:v>
      </x:c>
      <x:c r="K70" s="10" t="str">
        <x:v>D_A AVAILABLE; offer hợp lệ</x:v>
      </x:c>
      <x:c r="L70" s="10" t="str">
        <x:v>1. Gửi OFFLINE và accept đồng thời</x:v>
      </x:c>
      <x:c r="M70" s="10" t="str">
        <x:v>Chỉ một quyết định phù hợp: OFFLINE thắng thì accept không thắng; reservation/accept thắng thì OFFLINE conflict.</x:v>
      </x:c>
      <x:c r="N70" s="10" t="str">
        <x:v>HTTP request/response đã che token; bản ghi trước/sau tại DB sở hữu; correlationId và log/audit liên quan.</x:v>
      </x:c>
      <x:c r="O70" s="10" t="str">
        <x:v>FR18; NFR02</x:v>
      </x:c>
      <x:c r="P70" s="10" t="str">
        <x:v>UC11; AC09</x:v>
      </x:c>
      <x:c r="Q70" s="10" t="str">
        <x:v>23</x:v>
      </x:c>
      <x:c r="R70" s="10" t="str">
        <x:v>Khôi phục dependency/fault injection nếu có; dùng bộ ID mới cho ca kế tiếp. Không xóa lịch sử/audit bằng API nghiệp vụ.</x:v>
      </x:c>
      <x:c r="S70" s="11" t="str"/>
      <x:c r="T70" s="11" t="str"/>
      <x:c r="U70" s="11" t="str"/>
      <x:c r="V70" s="11" t="str"/>
      <x:c r="W70" s="12"/>
      <x:c r="X70" s="10" t="str">
        <x:v>API07; MSD 5.3, 6.2, 6.7</x:v>
      </x:c>
    </x:row>
    <x:row r="71" ht="52" customHeight="1">
      <x:c r="A71" s="9" t="str">
        <x:v>TC13-FLEET-022</x:v>
      </x:c>
      <x:c r="B71" s="9" t="str">
        <x:v>FLEET</x:v>
      </x:c>
      <x:c r="C71" s="9" t="str">
        <x:v>Đổi xe khi reservation đang giữ</x:v>
      </x:c>
      <x:c r="D71" s="9" t="str">
        <x:v>P1</x:v>
      </x:c>
      <x:c r="E71" s="9" t="str">
        <x:v>DEFINED</x:v>
      </x:c>
      <x:c r="F71" s="9" t="str">
        <x:v>NOT_RUN</x:v>
      </x:c>
      <x:c r="G71" s="9" t="str"/>
      <x:c r="H71" s="9" t="str">
        <x:v>FUNCTIONAL</x:v>
      </x:c>
      <x:c r="I71" s="9" t="str">
        <x:v>API07 driver-applications; drivers; vehicles</x:v>
      </x:c>
      <x:c r="J71" s="9" t="str">
        <x:v>BASE; O_A, D_PENDING, D_A, V_FREE/V_ASSIGNED; version đọc mới từ API.</x:v>
      </x:c>
      <x:c r="K71" s="9" t="str">
        <x:v>Driver hiển thị AVAILABLE nhưng reservation tồn tại</x:v>
      </x:c>
      <x:c r="L71" s="9" t="str">
        <x:v>1. PUT đổi xe hoặc availability</x:v>
      </x:c>
      <x:c r="M71" s="9" t="str">
        <x:v>409 RESOURCE_RESERVED; không dựa duy nhất driverStatus.</x:v>
      </x:c>
      <x:c r="N71" s="9" t="str">
        <x:v>HTTP request/response đã che token; bản ghi trước/sau tại DB sở hữu; correlationId và log/audit liên quan.</x:v>
      </x:c>
      <x:c r="O71" s="9" t="str">
        <x:v>FR18; NFR02</x:v>
      </x:c>
      <x:c r="P71" s="9" t="str">
        <x:v>UC11; AC09</x:v>
      </x:c>
      <x:c r="Q71" s="9" t="str">
        <x:v>23</x:v>
      </x:c>
      <x:c r="R71" s="9" t="str">
        <x:v>Khôi phục dependency/fault injection nếu có; dùng bộ ID mới cho ca kế tiếp. Không xóa lịch sử/audit bằng API nghiệp vụ.</x:v>
      </x:c>
      <x:c r="S71" s="11" t="str"/>
      <x:c r="T71" s="11" t="str"/>
      <x:c r="U71" s="11" t="str"/>
      <x:c r="V71" s="11" t="str"/>
      <x:c r="W71" s="12"/>
      <x:c r="X71" s="9" t="str">
        <x:v>API07; MSD 5.3, 6.2, 6.7</x:v>
      </x:c>
    </x:row>
    <x:row r="72" ht="52" customHeight="1">
      <x:c r="A72" s="10" t="str">
        <x:v>TC13-FLEET-023</x:v>
      </x:c>
      <x:c r="B72" s="10" t="str">
        <x:v>FLEET</x:v>
      </x:c>
      <x:c r="C72" s="10" t="str">
        <x:v>Phân công xe duy nhất</x:v>
      </x:c>
      <x:c r="D72" s="10" t="str">
        <x:v>P1</x:v>
      </x:c>
      <x:c r="E72" s="10" t="str">
        <x:v>DEFINED</x:v>
      </x:c>
      <x:c r="F72" s="10" t="str">
        <x:v>NOT_RUN</x:v>
      </x:c>
      <x:c r="G72" s="10" t="str"/>
      <x:c r="H72" s="10" t="str">
        <x:v>FUNCTIONAL</x:v>
      </x:c>
      <x:c r="I72" s="10" t="str">
        <x:v>API07 driver-applications; drivers; vehicles</x:v>
      </x:c>
      <x:c r="J72" s="10" t="str">
        <x:v>BASE; O_A, D_PENDING, D_A, V_FREE/V_ASSIGNED; version đọc mới từ API.</x:v>
      </x:c>
      <x:c r="K72" s="10" t="str">
        <x:v>Hai Driver OFFLINE, một V_FREE</x:v>
      </x:c>
      <x:c r="L72" s="10" t="str">
        <x:v>1. O_A gán cùng xe đồng thời</x:v>
      </x:c>
      <x:c r="M72" s="10" t="str">
        <x:v>Tối đa một VehicleAssignment hoạt động; request còn lại conflict; lịch sử giữ nguyên.</x:v>
      </x:c>
      <x:c r="N72" s="10" t="str">
        <x:v>HTTP request/response đã che token; bản ghi trước/sau tại DB sở hữu; correlationId và log/audit liên quan.</x:v>
      </x:c>
      <x:c r="O72" s="10" t="str">
        <x:v>FR17; NFR02</x:v>
      </x:c>
      <x:c r="P72" s="10" t="str">
        <x:v>UC10; AC09</x:v>
      </x:c>
      <x:c r="Q72" s="10" t="str">
        <x:v>22</x:v>
      </x:c>
      <x:c r="R72" s="10" t="str">
        <x:v>Khôi phục dependency/fault injection nếu có; dùng bộ ID mới cho ca kế tiếp. Không xóa lịch sử/audit bằng API nghiệp vụ.</x:v>
      </x:c>
      <x:c r="S72" s="11" t="str"/>
      <x:c r="T72" s="11" t="str"/>
      <x:c r="U72" s="11" t="str"/>
      <x:c r="V72" s="11" t="str"/>
      <x:c r="W72" s="12"/>
      <x:c r="X72" s="10" t="str">
        <x:v>API07; MSD 5.3, 6.2, 6.7</x:v>
      </x:c>
    </x:row>
    <x:row r="73" ht="52" customHeight="1">
      <x:c r="A73" s="9" t="str">
        <x:v>TC13-FLEET-024</x:v>
      </x:c>
      <x:c r="B73" s="9" t="str">
        <x:v>FLEET</x:v>
      </x:c>
      <x:c r="C73" s="9" t="str">
        <x:v>Gỡ xe</x:v>
      </x:c>
      <x:c r="D73" s="9" t="str">
        <x:v>P1</x:v>
      </x:c>
      <x:c r="E73" s="9" t="str">
        <x:v>DEFINED</x:v>
      </x:c>
      <x:c r="F73" s="9" t="str">
        <x:v>NOT_RUN</x:v>
      </x:c>
      <x:c r="G73" s="9" t="str"/>
      <x:c r="H73" s="9" t="str">
        <x:v>FUNCTIONAL</x:v>
      </x:c>
      <x:c r="I73" s="9" t="str">
        <x:v>API07 driver-applications; drivers; vehicles</x:v>
      </x:c>
      <x:c r="J73" s="9" t="str">
        <x:v>BASE; O_A, D_PENDING, D_A, V_FREE/V_ASSIGNED; version đọc mới từ API.</x:v>
      </x:c>
      <x:c r="K73" s="9" t="str">
        <x:v>D_A OFFLINE không reservation; vehicleId=null</x:v>
      </x:c>
      <x:c r="L73" s="9" t="str">
        <x:v>1. PUT assignment với expectedDriverVersion</x:v>
      </x:c>
      <x:c r="M73" s="9" t="str">
        <x:v>Đóng assignment hiện tại; không nhận expectedVehicleVersion khi gỡ; Driver vẫn OFFLINE.</x:v>
      </x:c>
      <x:c r="N73" s="9" t="str">
        <x:v>HTTP request/response đã che token; bản ghi trước/sau tại DB sở hữu; correlationId và log/audit liên quan.</x:v>
      </x:c>
      <x:c r="O73" s="9" t="str">
        <x:v>FR17; NFR02</x:v>
      </x:c>
      <x:c r="P73" s="9" t="str">
        <x:v>UC10; AC09</x:v>
      </x:c>
      <x:c r="Q73" s="9" t="str">
        <x:v>22</x:v>
      </x:c>
      <x:c r="R73" s="9" t="str">
        <x:v>Khôi phục dependency/fault injection nếu có; dùng bộ ID mới cho ca kế tiếp. Không xóa lịch sử/audit bằng API nghiệp vụ.</x:v>
      </x:c>
      <x:c r="S73" s="11" t="str"/>
      <x:c r="T73" s="11" t="str"/>
      <x:c r="U73" s="11" t="str"/>
      <x:c r="V73" s="11" t="str"/>
      <x:c r="W73" s="12"/>
      <x:c r="X73" s="9" t="str">
        <x:v>API07; MSD 5.3, 6.2, 6.7</x:v>
      </x:c>
    </x:row>
    <x:row r="74" ht="52" customHeight="1">
      <x:c r="A74" s="10" t="str">
        <x:v>TC13-FLEET-025</x:v>
      </x:c>
      <x:c r="B74" s="10" t="str">
        <x:v>FLEET</x:v>
      </x:c>
      <x:c r="C74" s="10" t="str">
        <x:v>Chuẩn hóa biển số</x:v>
      </x:c>
      <x:c r="D74" s="10" t="str">
        <x:v>P1</x:v>
      </x:c>
      <x:c r="E74" s="10" t="str">
        <x:v>DEFINED</x:v>
      </x:c>
      <x:c r="F74" s="10" t="str">
        <x:v>NOT_RUN</x:v>
      </x:c>
      <x:c r="G74" s="10" t="str"/>
      <x:c r="H74" s="10" t="str">
        <x:v>FUNCTIONAL</x:v>
      </x:c>
      <x:c r="I74" s="10" t="str">
        <x:v>API07 driver-applications; drivers; vehicles</x:v>
      </x:c>
      <x:c r="J74" s="10" t="str">
        <x:v>BASE; O_A, D_PENDING, D_A, V_FREE/V_ASSIGNED; version đọc mới từ API.</x:v>
      </x:c>
      <x:c r="K74" s="10" t="str">
        <x:v>" 59-A1.12345 " và "59A112345"</x:v>
      </x:c>
      <x:c r="L74" s="10" t="str">
        <x:v>1. Tạo hai Vehicle với hai key</x:v>
      </x:c>
      <x:c r="M74" s="10" t="str">
        <x:v>Cùng normalizedPlateKey; lần sau conflict, không tạo xe trùng.</x:v>
      </x:c>
      <x:c r="N74" s="10" t="str">
        <x:v>HTTP request/response đã che token; bản ghi trước/sau tại DB sở hữu; correlationId và log/audit liên quan.</x:v>
      </x:c>
      <x:c r="O74" s="10" t="str">
        <x:v>FR17; NFR02</x:v>
      </x:c>
      <x:c r="P74" s="10" t="str">
        <x:v>UC10; AC09</x:v>
      </x:c>
      <x:c r="Q74" s="10" t="str">
        <x:v>22</x:v>
      </x:c>
      <x:c r="R74" s="10" t="str">
        <x:v>Khôi phục dependency/fault injection nếu có; dùng bộ ID mới cho ca kế tiếp. Không xóa lịch sử/audit bằng API nghiệp vụ.</x:v>
      </x:c>
      <x:c r="S74" s="11" t="str"/>
      <x:c r="T74" s="11" t="str"/>
      <x:c r="U74" s="11" t="str"/>
      <x:c r="V74" s="11" t="str"/>
      <x:c r="W74" s="12"/>
      <x:c r="X74" s="10" t="str">
        <x:v>API07; MSD 5.3, 6.2, 6.7</x:v>
      </x:c>
    </x:row>
    <x:row r="75" ht="52" customHeight="1">
      <x:c r="A75" s="9" t="str">
        <x:v>TC13-FLEET-026</x:v>
      </x:c>
      <x:c r="B75" s="9" t="str">
        <x:v>FLEET</x:v>
      </x:c>
      <x:c r="C75" s="9" t="str">
        <x:v>Xe đang phục vụ không được sửa</x:v>
      </x:c>
      <x:c r="D75" s="9" t="str">
        <x:v>P1</x:v>
      </x:c>
      <x:c r="E75" s="9" t="str">
        <x:v>DEFINED</x:v>
      </x:c>
      <x:c r="F75" s="9" t="str">
        <x:v>NOT_RUN</x:v>
      </x:c>
      <x:c r="G75" s="9" t="str"/>
      <x:c r="H75" s="9" t="str">
        <x:v>FUNCTIONAL</x:v>
      </x:c>
      <x:c r="I75" s="9" t="str">
        <x:v>API07 driver-applications; drivers; vehicles</x:v>
      </x:c>
      <x:c r="J75" s="9" t="str">
        <x:v>BASE; O_A, D_PENDING, D_A, V_FREE/V_ASSIGNED; version đọc mới từ API.</x:v>
      </x:c>
      <x:c r="K75" s="9" t="str">
        <x:v>V_ASSIGNED đang có Trip hoặc reservation</x:v>
      </x:c>
      <x:c r="L75" s="9" t="str">
        <x:v>1. PATCH loại xe/trạng thái/biển số</x:v>
      </x:c>
      <x:c r="M75" s="9" t="str">
        <x:v>409; không sửa Trip snapshot/lịch sử.</x:v>
      </x:c>
      <x:c r="N75" s="9" t="str">
        <x:v>HTTP request/response đã che token; bản ghi trước/sau tại DB sở hữu; correlationId và log/audit liên quan.</x:v>
      </x:c>
      <x:c r="O75" s="9" t="str">
        <x:v>FR17; NFR02</x:v>
      </x:c>
      <x:c r="P75" s="9" t="str">
        <x:v>UC10; AC09</x:v>
      </x:c>
      <x:c r="Q75" s="9" t="str">
        <x:v>22</x:v>
      </x:c>
      <x:c r="R75" s="9" t="str">
        <x:v>Khôi phục dependency/fault injection nếu có; dùng bộ ID mới cho ca kế tiếp. Không xóa lịch sử/audit bằng API nghiệp vụ.</x:v>
      </x:c>
      <x:c r="S75" s="11" t="str"/>
      <x:c r="T75" s="11" t="str"/>
      <x:c r="U75" s="11" t="str"/>
      <x:c r="V75" s="11" t="str"/>
      <x:c r="W75" s="12"/>
      <x:c r="X75" s="9" t="str">
        <x:v>API07; MSD 5.3, 6.2, 6.7</x:v>
      </x:c>
    </x:row>
    <x:row r="76" ht="52" customHeight="1">
      <x:c r="A76" s="10" t="str">
        <x:v>TC13-FLEET-027</x:v>
      </x:c>
      <x:c r="B76" s="10" t="str">
        <x:v>FLEET</x:v>
      </x:c>
      <x:c r="C76" s="10" t="str">
        <x:v>Xe INACTIVE giữ assignment</x:v>
      </x:c>
      <x:c r="D76" s="10" t="str">
        <x:v>P1</x:v>
      </x:c>
      <x:c r="E76" s="10" t="str">
        <x:v>DEFINED</x:v>
      </x:c>
      <x:c r="F76" s="10" t="str">
        <x:v>NOT_RUN</x:v>
      </x:c>
      <x:c r="G76" s="10" t="str"/>
      <x:c r="H76" s="10" t="str">
        <x:v>FUNCTIONAL</x:v>
      </x:c>
      <x:c r="I76" s="10" t="str">
        <x:v>API07 driver-applications; drivers; vehicles</x:v>
      </x:c>
      <x:c r="J76" s="10" t="str">
        <x:v>BASE; O_A, D_PENDING, D_A, V_FREE/V_ASSIGNED; version đọc mới từ API.</x:v>
      </x:c>
      <x:c r="K76" s="10" t="str">
        <x:v>D_A OFFLINE; V_ASSIGNED chưa phục vụ</x:v>
      </x:c>
      <x:c r="L76" s="10" t="str">
        <x:v>1. Đặt xe INACTIVE; thử online</x:v>
      </x:c>
      <x:c r="M76" s="10" t="str">
        <x:v>Assignment có thể còn, nhưng online/nhận chuyến bị chặn.</x:v>
      </x:c>
      <x:c r="N76" s="10" t="str">
        <x:v>HTTP request/response đã che token; bản ghi trước/sau tại DB sở hữu; correlationId và log/audit liên quan.</x:v>
      </x:c>
      <x:c r="O76" s="10" t="str">
        <x:v>FR17; NFR02</x:v>
      </x:c>
      <x:c r="P76" s="10" t="str">
        <x:v>UC10; AC09</x:v>
      </x:c>
      <x:c r="Q76" s="10" t="str">
        <x:v>22</x:v>
      </x:c>
      <x:c r="R76" s="10" t="str">
        <x:v>Khôi phục dependency/fault injection nếu có; dùng bộ ID mới cho ca kế tiếp. Không xóa lịch sử/audit bằng API nghiệp vụ.</x:v>
      </x:c>
      <x:c r="S76" s="11" t="str"/>
      <x:c r="T76" s="11" t="str"/>
      <x:c r="U76" s="11" t="str"/>
      <x:c r="V76" s="11" t="str"/>
      <x:c r="W76" s="12"/>
      <x:c r="X76" s="10" t="str">
        <x:v>API07; MSD 5.3, 6.2, 6.7</x:v>
      </x:c>
    </x:row>
    <x:row r="77" ht="52" customHeight="1">
      <x:c r="A77" s="9" t="str">
        <x:v>TC13-FLEET-028</x:v>
      </x:c>
      <x:c r="B77" s="9" t="str">
        <x:v>FLEET</x:v>
      </x:c>
      <x:c r="C77" s="9" t="str">
        <x:v>Customer xem Driver lịch sử</x:v>
      </x:c>
      <x:c r="D77" s="9" t="str">
        <x:v>P1</x:v>
      </x:c>
      <x:c r="E77" s="9" t="str">
        <x:v>DEFINED</x:v>
      </x:c>
      <x:c r="F77" s="9" t="str">
        <x:v>NOT_RUN</x:v>
      </x:c>
      <x:c r="G77" s="9" t="str"/>
      <x:c r="H77" s="9" t="str">
        <x:v>FUNCTIONAL</x:v>
      </x:c>
      <x:c r="I77" s="9" t="str">
        <x:v>API07 driver-applications; drivers; vehicles</x:v>
      </x:c>
      <x:c r="J77" s="9" t="str">
        <x:v>BASE; O_A, D_PENDING, D_A, V_FREE/V_ASSIGNED; version đọc mới từ API.</x:v>
      </x:c>
      <x:c r="K77" s="9" t="str">
        <x:v>C_A có Trip với D_A; C_B không quan hệ</x:v>
      </x:c>
      <x:c r="L77" s="9" t="str">
        <x:v>1. GET drivers/{D_A} bằng từng Customer</x:v>
      </x:c>
      <x:c r="M77" s="9" t="str">
        <x:v>C_A chỉ nhận driverId/fullName; C_B 404; không có email/phone/license/GPS.</x:v>
      </x:c>
      <x:c r="N77" s="9" t="str">
        <x:v>HTTP request/response đã che token; bản ghi trước/sau tại DB sở hữu; correlationId và log/audit liên quan.</x:v>
      </x:c>
      <x:c r="O77" s="9" t="str">
        <x:v>FR26; NFR04</x:v>
      </x:c>
      <x:c r="P77" s="9" t="str">
        <x:v>UC20; AC18</x:v>
      </x:c>
      <x:c r="Q77" s="9" t="str">
        <x:v>12</x:v>
      </x:c>
      <x:c r="R77" s="9" t="str">
        <x:v>Khôi phục dependency/fault injection nếu có; dùng bộ ID mới cho ca kế tiếp. Không xóa lịch sử/audit bằng API nghiệp vụ.</x:v>
      </x:c>
      <x:c r="S77" s="11" t="str"/>
      <x:c r="T77" s="11" t="str"/>
      <x:c r="U77" s="11" t="str"/>
      <x:c r="V77" s="11" t="str"/>
      <x:c r="W77" s="12"/>
      <x:c r="X77" s="9" t="str">
        <x:v>API07; MSD 5.3, 6.2, 6.7</x:v>
      </x:c>
    </x:row>
    <x:row r="78" ht="52" customHeight="1">
      <x:c r="A78" s="10" t="str">
        <x:v>TC13-FLEET-029</x:v>
      </x:c>
      <x:c r="B78" s="10" t="str">
        <x:v>FLEET</x:v>
      </x:c>
      <x:c r="C78" s="10" t="str">
        <x:v>Khóa Account trong chuyến</x:v>
      </x:c>
      <x:c r="D78" s="10" t="str">
        <x:v>P1</x:v>
      </x:c>
      <x:c r="E78" s="10" t="str">
        <x:v>DEFINED</x:v>
      </x:c>
      <x:c r="F78" s="10" t="str">
        <x:v>NOT_RUN</x:v>
      </x:c>
      <x:c r="G78" s="10" t="str"/>
      <x:c r="H78" s="10" t="str">
        <x:v>FUNCTIONAL</x:v>
      </x:c>
      <x:c r="I78" s="10" t="str">
        <x:v>API07 driver-applications; drivers; vehicles</x:v>
      </x:c>
      <x:c r="J78" s="10" t="str">
        <x:v>BASE; O_A, D_PENDING, D_A, V_FREE/V_ASSIGNED; version đọc mới từ API.</x:v>
      </x:c>
      <x:c r="K78" s="10" t="str">
        <x:v>D_A BUSY đang phục vụ C_A</x:v>
      </x:c>
      <x:c r="L78" s="10" t="str">
        <x:v>1. O_A khóa Account; đọc Trip/guard</x:v>
      </x:c>
      <x:c r="M78" s="10" t="str">
        <x:v>Thu hồi Session; không tự hủy/hoàn tất Trip hoặc giải phóng guard; Driver vẫn BUSY; tác dụng phụ theo dõi qua event.</x:v>
      </x:c>
      <x:c r="N78" s="10" t="str">
        <x:v>HTTP request/response đã che token; bản ghi trước/sau tại DB sở hữu; correlationId và log/audit liên quan.</x:v>
      </x:c>
      <x:c r="O78" s="10" t="str">
        <x:v>FR14; FR01; NFR04</x:v>
      </x:c>
      <x:c r="P78" s="10" t="str">
        <x:v>UC09; AC08; AC20</x:v>
      </x:c>
      <x:c r="Q78" s="10" t="str">
        <x:v>28</x:v>
      </x:c>
      <x:c r="R78" s="10" t="str">
        <x:v>Khôi phục dependency/fault injection nếu có; dùng bộ ID mới cho ca kế tiếp. Không xóa lịch sử/audit bằng API nghiệp vụ.</x:v>
      </x:c>
      <x:c r="S78" s="11" t="str"/>
      <x:c r="T78" s="11" t="str"/>
      <x:c r="U78" s="11" t="str"/>
      <x:c r="V78" s="11" t="str"/>
      <x:c r="W78" s="12"/>
      <x:c r="X78" s="10" t="str">
        <x:v>API07; MSD 5.3, 6.2, 6.7</x:v>
      </x:c>
    </x:row>
    <x:row r="79" ht="52" customHeight="1">
      <x:c r="A79" s="9" t="str">
        <x:v>TC13-FLEET-030</x:v>
      </x:c>
      <x:c r="B79" s="9" t="str">
        <x:v>FLEET</x:v>
      </x:c>
      <x:c r="C79" s="9" t="str">
        <x:v>Khóa Account khi tra cứu công việc lỗi</x:v>
      </x:c>
      <x:c r="D79" s="9" t="str">
        <x:v>P1</x:v>
      </x:c>
      <x:c r="E79" s="9" t="str">
        <x:v>DEFINED</x:v>
      </x:c>
      <x:c r="F79" s="9" t="str">
        <x:v>NOT_RUN</x:v>
      </x:c>
      <x:c r="G79" s="9" t="str"/>
      <x:c r="H79" s="9" t="str">
        <x:v>FUNCTIONAL</x:v>
      </x:c>
      <x:c r="I79" s="9" t="str">
        <x:v>API07 driver-applications; drivers; vehicles</x:v>
      </x:c>
      <x:c r="J79" s="9" t="str">
        <x:v>BASE; O_A, D_PENDING, D_A, V_FREE/V_ASSIGNED; version đọc mới từ API.</x:v>
      </x:c>
      <x:c r="K79" s="9" t="str">
        <x:v>Chặn Booking/Trip RPC</x:v>
      </x:c>
      <x:c r="L79" s="9" t="str">
        <x:v>1. O_A khóa Account</x:v>
      </x:c>
      <x:c r="M79" s="9" t="str">
        <x:v>200 sau Identity commit; workLookupStatus=UNAVAILABLE và hai mảng null; không giả mảng rỗng và không rollback khóa.</x:v>
      </x:c>
      <x:c r="N79" s="9" t="str">
        <x:v>HTTP request/response đã che token; bản ghi trước/sau tại DB sở hữu; correlationId và log/audit liên quan.</x:v>
      </x:c>
      <x:c r="O79" s="9" t="str">
        <x:v>FR14; FR01; NFR04</x:v>
      </x:c>
      <x:c r="P79" s="9" t="str">
        <x:v>UC09; AC08; AC20</x:v>
      </x:c>
      <x:c r="Q79" s="9" t="str">
        <x:v>28</x:v>
      </x:c>
      <x:c r="R79" s="9" t="str">
        <x:v>Khôi phục dependency/fault injection nếu có; dùng bộ ID mới cho ca kế tiếp. Không xóa lịch sử/audit bằng API nghiệp vụ.</x:v>
      </x:c>
      <x:c r="S79" s="11" t="str"/>
      <x:c r="T79" s="11" t="str"/>
      <x:c r="U79" s="11" t="str"/>
      <x:c r="V79" s="11" t="str"/>
      <x:c r="W79" s="12"/>
      <x:c r="X79" s="9" t="str">
        <x:v>API07; MSD 5.3, 6.2, 6.7</x:v>
      </x:c>
    </x:row>
    <x:row r="80" ht="52" customHeight="1">
      <x:c r="A80" s="10" t="str">
        <x:v>TC13-FLEET-031</x:v>
      </x:c>
      <x:c r="B80" s="10" t="str">
        <x:v>FLEET</x:v>
      </x:c>
      <x:c r="C80" s="10" t="str">
        <x:v>Bật ACTIVE không khôi phục quyền cũ</x:v>
      </x:c>
      <x:c r="D80" s="10" t="str">
        <x:v>P1</x:v>
      </x:c>
      <x:c r="E80" s="10" t="str">
        <x:v>DEFINED</x:v>
      </x:c>
      <x:c r="F80" s="10" t="str">
        <x:v>NOT_RUN</x:v>
      </x:c>
      <x:c r="G80" s="10" t="str"/>
      <x:c r="H80" s="10" t="str">
        <x:v>FUNCTIONAL</x:v>
      </x:c>
      <x:c r="I80" s="10" t="str">
        <x:v>API07 driver-applications; drivers; vehicles</x:v>
      </x:c>
      <x:c r="J80" s="10" t="str">
        <x:v>BASE; O_A, D_PENDING, D_A, V_FREE/V_ASSIGNED; version đọc mới từ API.</x:v>
      </x:c>
      <x:c r="K80" s="10" t="str">
        <x:v>Account đã SUSPENDED; Session bị thu hồi</x:v>
      </x:c>
      <x:c r="L80" s="10" t="str">
        <x:v>1. O_A đổi ACTIVE; dùng token cũ; xem Driver</x:v>
      </x:c>
      <x:c r="M80" s="10" t="str">
        <x:v>Token cũ không hợp lệ; không tự duyệt/online; cần login mới.</x:v>
      </x:c>
      <x:c r="N80" s="10" t="str">
        <x:v>HTTP request/response đã che token; bản ghi trước/sau tại DB sở hữu; correlationId và log/audit liên quan.</x:v>
      </x:c>
      <x:c r="O80" s="10" t="str">
        <x:v>FR14; FR01; NFR04</x:v>
      </x:c>
      <x:c r="P80" s="10" t="str">
        <x:v>UC09; AC08; AC20</x:v>
      </x:c>
      <x:c r="Q80" s="10" t="str">
        <x:v>28</x:v>
      </x:c>
      <x:c r="R80" s="10" t="str">
        <x:v>Khôi phục dependency/fault injection nếu có; dùng bộ ID mới cho ca kế tiếp. Không xóa lịch sử/audit bằng API nghiệp vụ.</x:v>
      </x:c>
      <x:c r="S80" s="11" t="str"/>
      <x:c r="T80" s="11" t="str"/>
      <x:c r="U80" s="11" t="str"/>
      <x:c r="V80" s="11" t="str"/>
      <x:c r="W80" s="12"/>
      <x:c r="X80" s="10" t="str">
        <x:v>API07; MSD 5.3, 6.2, 6.7</x:v>
      </x:c>
    </x:row>
    <x:row r="81" ht="52" customHeight="1">
      <x:c r="A81" s="9" t="str">
        <x:v>TC13-BOOK-001</x:v>
      </x:c>
      <x:c r="B81" s="9" t="str">
        <x:v>BOOK</x:v>
      </x:c>
      <x:c r="C81" s="9" t="str">
        <x:v>Tạo Booking giữ giá</x:v>
      </x:c>
      <x:c r="D81" s="9" t="str">
        <x:v>P1</x:v>
      </x:c>
      <x:c r="E81" s="9" t="str">
        <x:v>DEFINED</x:v>
      </x:c>
      <x:c r="F81" s="9" t="str">
        <x:v>NOT_RUN</x:v>
      </x:c>
      <x:c r="G81" s="9" t="str"/>
      <x:c r="H81" s="9" t="str">
        <x:v>FUNCTIONAL</x:v>
      </x:c>
      <x:c r="I81" s="9" t="str">
        <x:v>API02 bookings và booking-operations</x:v>
      </x:c>
      <x:c r="J81" s="9" t="str">
        <x:v>BASE; C_A chưa có guard, P_V1 hiệu lực; B_* theo Du_lieu.</x:v>
      </x:c>
      <x:c r="K81" s="9" t="str">
        <x:v>Pickup P0, destination P1 khác nhau; STANDARD</x:v>
      </x:c>
      <x:c r="L81" s="9" t="str">
        <x:v>1. POST bookings với key mới</x:v>
      </x:c>
      <x:c r="M81" s="9" t="str">
        <x:v>201 snapshot PENDING có pricingVersionId/PricingSnapshot; một guard, job Dispatch, outbox; không chờ tài xế nhận.</x:v>
      </x:c>
      <x:c r="N81" s="9" t="str">
        <x:v>HTTP request/response đã che token; bản ghi trước/sau tại DB sở hữu; correlationId và log/audit liên quan.</x:v>
      </x:c>
      <x:c r="O81" s="9" t="str">
        <x:v>FR02; FR03; FR28; NFR03</x:v>
      </x:c>
      <x:c r="P81" s="9" t="str">
        <x:v>UC02; UC22; AC02; AC21</x:v>
      </x:c>
      <x:c r="Q81" s="9" t="str">
        <x:v>15</x:v>
      </x:c>
      <x:c r="R81" s="9" t="str">
        <x:v>Khôi phục dependency/fault injection nếu có; dùng bộ ID mới cho ca kế tiếp. Không xóa lịch sử/audit bằng API nghiệp vụ.</x:v>
      </x:c>
      <x:c r="S81" s="11" t="str"/>
      <x:c r="T81" s="11" t="str"/>
      <x:c r="U81" s="11" t="str"/>
      <x:c r="V81" s="11" t="str"/>
      <x:c r="W81" s="12"/>
      <x:c r="X81" s="9" t="str">
        <x:v>API02; MSD 6.3, 6.6</x:v>
      </x:c>
    </x:row>
    <x:row r="82" ht="52" customHeight="1">
      <x:c r="A82" s="10" t="str">
        <x:v>TC13-BOOK-002</x:v>
      </x:c>
      <x:c r="B82" s="10" t="str">
        <x:v>BOOK</x:v>
      </x:c>
      <x:c r="C82" s="10" t="str">
        <x:v>Không nhận dữ liệu có thẩm quyền từ client</x:v>
      </x:c>
      <x:c r="D82" s="10" t="str">
        <x:v>P1</x:v>
      </x:c>
      <x:c r="E82" s="10" t="str">
        <x:v>DEFINED</x:v>
      </x:c>
      <x:c r="F82" s="10" t="str">
        <x:v>NOT_RUN</x:v>
      </x:c>
      <x:c r="G82" s="10" t="str"/>
      <x:c r="H82" s="10" t="str">
        <x:v>FUNCTIONAL</x:v>
      </x:c>
      <x:c r="I82" s="10" t="str">
        <x:v>API02 bookings và booking-operations</x:v>
      </x:c>
      <x:c r="J82" s="10" t="str">
        <x:v>BASE; C_A chưa có guard, P_V1 hiệu lực; B_* theo Du_lieu.</x:v>
      </x:c>
      <x:c r="K82" s="10" t="str">
        <x:v>Body thêm customerId, driverId, tripId, bookingStatus hoặc giá</x:v>
      </x:c>
      <x:c r="L82" s="10" t="str">
        <x:v>1. Gửi từng biến thể</x:v>
      </x:c>
      <x:c r="M82" s="10" t="str">
        <x:v>400; server tự xác định khách/giá/trạng thái.</x:v>
      </x:c>
      <x:c r="N82" s="10" t="str">
        <x:v>HTTP request/response đã che token; bản ghi trước/sau tại DB sở hữu; correlationId và log/audit liên quan.</x:v>
      </x:c>
      <x:c r="O82" s="10" t="str">
        <x:v>FR02; FR03; FR28; NFR03</x:v>
      </x:c>
      <x:c r="P82" s="10" t="str">
        <x:v>UC02; UC22; AC02; AC21</x:v>
      </x:c>
      <x:c r="Q82" s="10" t="str">
        <x:v>15</x:v>
      </x:c>
      <x:c r="R82" s="10" t="str">
        <x:v>Khôi phục dependency/fault injection nếu có; dùng bộ ID mới cho ca kế tiếp. Không xóa lịch sử/audit bằng API nghiệp vụ.</x:v>
      </x:c>
      <x:c r="S82" s="11" t="str"/>
      <x:c r="T82" s="11" t="str"/>
      <x:c r="U82" s="11" t="str"/>
      <x:c r="V82" s="11" t="str"/>
      <x:c r="W82" s="12"/>
      <x:c r="X82" s="10" t="str">
        <x:v>API02; MSD 6.3, 6.6</x:v>
      </x:c>
    </x:row>
    <x:row r="83" ht="52" customHeight="1">
      <x:c r="A83" s="9" t="str">
        <x:v>TC13-BOOK-003</x:v>
      </x:c>
      <x:c r="B83" s="9" t="str">
        <x:v>BOOK</x:v>
      </x:c>
      <x:c r="C83" s="9" t="str">
        <x:v>Hai điểm trùng nhau</x:v>
      </x:c>
      <x:c r="D83" s="9" t="str">
        <x:v>P1</x:v>
      </x:c>
      <x:c r="E83" s="9" t="str">
        <x:v>DEFINED</x:v>
      </x:c>
      <x:c r="F83" s="9" t="str">
        <x:v>NOT_RUN</x:v>
      </x:c>
      <x:c r="G83" s="9" t="str"/>
      <x:c r="H83" s="9" t="str">
        <x:v>FUNCTIONAL</x:v>
      </x:c>
      <x:c r="I83" s="9" t="str">
        <x:v>API02 bookings và booking-operations</x:v>
      </x:c>
      <x:c r="J83" s="9" t="str">
        <x:v>BASE; C_A chưa có guard, P_V1 hiệu lực; B_* theo Du_lieu.</x:v>
      </x:c>
      <x:c r="K83" s="9" t="str">
        <x:v>Pickup và destination cùng latitude/longitude</x:v>
      </x:c>
      <x:c r="L83" s="9" t="str">
        <x:v>1. POST Booking</x:v>
      </x:c>
      <x:c r="M83" s="9" t="str">
        <x:v>400 theo validation; không tạo Booking/guard hợp lệ.</x:v>
      </x:c>
      <x:c r="N83" s="9" t="str">
        <x:v>HTTP request/response đã che token; bản ghi trước/sau tại DB sở hữu; correlationId và log/audit liên quan.</x:v>
      </x:c>
      <x:c r="O83" s="9" t="str">
        <x:v>FR02; FR03; FR28; NFR03</x:v>
      </x:c>
      <x:c r="P83" s="9" t="str">
        <x:v>UC02; UC22; AC02; AC21</x:v>
      </x:c>
      <x:c r="Q83" s="9" t="str">
        <x:v>15</x:v>
      </x:c>
      <x:c r="R83" s="9" t="str">
        <x:v>Khôi phục dependency/fault injection nếu có; dùng bộ ID mới cho ca kế tiếp. Không xóa lịch sử/audit bằng API nghiệp vụ.</x:v>
      </x:c>
      <x:c r="S83" s="11" t="str"/>
      <x:c r="T83" s="11" t="str"/>
      <x:c r="U83" s="11" t="str"/>
      <x:c r="V83" s="11" t="str"/>
      <x:c r="W83" s="12"/>
      <x:c r="X83" s="9" t="str">
        <x:v>API02; MSD 6.3, 6.6</x:v>
      </x:c>
    </x:row>
    <x:row r="84" ht="52" customHeight="1">
      <x:c r="A84" s="10" t="str">
        <x:v>TC13-BOOK-004</x:v>
      </x:c>
      <x:c r="B84" s="10" t="str">
        <x:v>BOOK</x:v>
      </x:c>
      <x:c r="C84" s="10" t="str">
        <x:v>Thiếu biểu giá hiệu lực</x:v>
      </x:c>
      <x:c r="D84" s="10" t="str">
        <x:v>P1</x:v>
      </x:c>
      <x:c r="E84" s="10" t="str">
        <x:v>DEFINED</x:v>
      </x:c>
      <x:c r="F84" s="10" t="str">
        <x:v>NOT_RUN</x:v>
      </x:c>
      <x:c r="G84" s="10" t="str"/>
      <x:c r="H84" s="10" t="str">
        <x:v>FUNCTIONAL</x:v>
      </x:c>
      <x:c r="I84" s="10" t="str">
        <x:v>API02 bookings và booking-operations</x:v>
      </x:c>
      <x:c r="J84" s="10" t="str">
        <x:v>BASE; C_A chưa có guard, P_V1 hiệu lực; B_* theo Du_lieu.</x:v>
      </x:c>
      <x:c r="K84" s="10" t="str">
        <x:v>Loại xe chưa có PricingConfig</x:v>
      </x:c>
      <x:c r="L84" s="10" t="str">
        <x:v>1. Tạo Booking</x:v>
      </x:c>
      <x:c r="M84" s="10" t="str">
        <x:v>409 theo API; không dùng giá 0 hoặc giá giả; guard tạm phải được bù đúng operation.</x:v>
      </x:c>
      <x:c r="N84" s="10" t="str">
        <x:v>HTTP request/response đã che token; bản ghi trước/sau tại DB sở hữu; correlationId và log/audit liên quan.</x:v>
      </x:c>
      <x:c r="O84" s="10" t="str">
        <x:v>FR02; FR03; FR28; NFR03</x:v>
      </x:c>
      <x:c r="P84" s="10" t="str">
        <x:v>UC02; UC22; AC02; AC21</x:v>
      </x:c>
      <x:c r="Q84" s="10" t="str">
        <x:v>15</x:v>
      </x:c>
      <x:c r="R84" s="10" t="str">
        <x:v>Khôi phục dependency/fault injection nếu có; dùng bộ ID mới cho ca kế tiếp. Không xóa lịch sử/audit bằng API nghiệp vụ.</x:v>
      </x:c>
      <x:c r="S84" s="11" t="str"/>
      <x:c r="T84" s="11" t="str"/>
      <x:c r="U84" s="11" t="str"/>
      <x:c r="V84" s="11" t="str"/>
      <x:c r="W84" s="12"/>
      <x:c r="X84" s="10" t="str">
        <x:v>API02; MSD 6.3, 6.6</x:v>
      </x:c>
    </x:row>
    <x:row r="85" ht="52" customHeight="1">
      <x:c r="A85" s="9" t="str">
        <x:v>TC13-BOOK-005</x:v>
      </x:c>
      <x:c r="B85" s="9" t="str">
        <x:v>BOOK</x:v>
      </x:c>
      <x:c r="C85" s="9" t="str">
        <x:v>Vùng phục vụ</x:v>
      </x:c>
      <x:c r="D85" s="9" t="str">
        <x:v>P1</x:v>
      </x:c>
      <x:c r="E85" s="9" t="str">
        <x:v>NEEDS_DECISION</x:v>
      </x:c>
      <x:c r="F85" s="9" t="str">
        <x:v>NOT_RUN</x:v>
      </x:c>
      <x:c r="G85" s="9" t="str">
        <x:v>G06</x:v>
      </x:c>
      <x:c r="H85" s="9" t="str">
        <x:v>FUNCTIONAL</x:v>
      </x:c>
      <x:c r="I85" s="9" t="str">
        <x:v>API02 bookings và booking-operations</x:v>
      </x:c>
      <x:c r="J85" s="9" t="str">
        <x:v>BASE; C_A chưa có guard, P_V1 hiệu lực; B_* theo Du_lieu.</x:v>
      </x:c>
      <x:c r="K85" s="9" t="str">
        <x:v>Điểm ngoài vùng cấu hình và điểm đúng biên</x:v>
      </x:c>
      <x:c r="L85" s="9" t="str">
        <x:v>1. POST hai Booking độc lập</x:v>
      </x:c>
      <x:c r="M85" s="9" t="str">
        <x:v>Áp dụng vùng đã duyệt, không suy diễn địa chỉ đúng định dạng là được phục vụ; cần chốt polygon/biên trước khi chạy.</x:v>
      </x:c>
      <x:c r="N85" s="9" t="str">
        <x:v>HTTP request/response đã che token; bản ghi trước/sau tại DB sở hữu; correlationId và log/audit liên quan.</x:v>
      </x:c>
      <x:c r="O85" s="9" t="str">
        <x:v>FR02; FR03; FR28; NFR03</x:v>
      </x:c>
      <x:c r="P85" s="9" t="str">
        <x:v>UC02; UC22; AC02; AC21</x:v>
      </x:c>
      <x:c r="Q85" s="9" t="str">
        <x:v>15</x:v>
      </x:c>
      <x:c r="R85" s="9" t="str">
        <x:v>Khôi phục dependency/fault injection nếu có; dùng bộ ID mới cho ca kế tiếp. Không xóa lịch sử/audit bằng API nghiệp vụ.</x:v>
      </x:c>
      <x:c r="S85" s="11" t="str"/>
      <x:c r="T85" s="11" t="str"/>
      <x:c r="U85" s="11" t="str"/>
      <x:c r="V85" s="11" t="str"/>
      <x:c r="W85" s="12"/>
      <x:c r="X85" s="9" t="str">
        <x:v>API02; MSD 6.3, 6.6</x:v>
      </x:c>
    </x:row>
    <x:row r="86" ht="52" customHeight="1">
      <x:c r="A86" s="10" t="str">
        <x:v>TC13-BOOK-006</x:v>
      </x:c>
      <x:c r="B86" s="10" t="str">
        <x:v>BOOK</x:v>
      </x:c>
      <x:c r="C86" s="10" t="str">
        <x:v>Replay Booking sau giá đổi</x:v>
      </x:c>
      <x:c r="D86" s="10" t="str">
        <x:v>P1</x:v>
      </x:c>
      <x:c r="E86" s="10" t="str">
        <x:v>DEFINED</x:v>
      </x:c>
      <x:c r="F86" s="10" t="str">
        <x:v>NOT_RUN</x:v>
      </x:c>
      <x:c r="G86" s="10" t="str"/>
      <x:c r="H86" s="10" t="str">
        <x:v>FUNCTIONAL</x:v>
      </x:c>
      <x:c r="I86" s="10" t="str">
        <x:v>API02 bookings và booking-operations</x:v>
      </x:c>
      <x:c r="J86" s="10" t="str">
        <x:v>BASE; C_A chưa có guard, P_V1 hiệu lực; B_* theo Du_lieu.</x:v>
      </x:c>
      <x:c r="K86" s="10" t="str">
        <x:v>Booking tạo với P_V1; sau đó P_V2</x:v>
      </x:c>
      <x:c r="L86" s="10" t="str">
        <x:v>1. Gửi lại cùng key/body</x:v>
      </x:c>
      <x:c r="M86" s="10" t="str">
        <x:v>201/body/Location cũ, giữ P_V1; không tạo Booking/guard/job mới.</x:v>
      </x:c>
      <x:c r="N86" s="10" t="str">
        <x:v>HTTP request/response đã che token; bản ghi trước/sau tại DB sở hữu; correlationId và log/audit liên quan.</x:v>
      </x:c>
      <x:c r="O86" s="10" t="str">
        <x:v>FR02; FR03; FR28; NFR03</x:v>
      </x:c>
      <x:c r="P86" s="10" t="str">
        <x:v>UC02; UC22; AC02; AC21</x:v>
      </x:c>
      <x:c r="Q86" s="10" t="str">
        <x:v>15</x:v>
      </x:c>
      <x:c r="R86" s="10" t="str">
        <x:v>Khôi phục dependency/fault injection nếu có; dùng bộ ID mới cho ca kế tiếp. Không xóa lịch sử/audit bằng API nghiệp vụ.</x:v>
      </x:c>
      <x:c r="S86" s="11" t="str"/>
      <x:c r="T86" s="11" t="str"/>
      <x:c r="U86" s="11" t="str"/>
      <x:c r="V86" s="11" t="str"/>
      <x:c r="W86" s="12"/>
      <x:c r="X86" s="10" t="str">
        <x:v>API02; MSD 6.3, 6.6</x:v>
      </x:c>
    </x:row>
    <x:row r="87" ht="52" customHeight="1">
      <x:c r="A87" s="9" t="str">
        <x:v>TC13-BOOK-007</x:v>
      </x:c>
      <x:c r="B87" s="9" t="str">
        <x:v>BOOK</x:v>
      </x:c>
      <x:c r="C87" s="9" t="str">
        <x:v>Key trùng khác ghi chú</x:v>
      </x:c>
      <x:c r="D87" s="9" t="str">
        <x:v>P1</x:v>
      </x:c>
      <x:c r="E87" s="9" t="str">
        <x:v>DEFINED</x:v>
      </x:c>
      <x:c r="F87" s="9" t="str">
        <x:v>NOT_RUN</x:v>
      </x:c>
      <x:c r="G87" s="9" t="str"/>
      <x:c r="H87" s="9" t="str">
        <x:v>FUNCTIONAL</x:v>
      </x:c>
      <x:c r="I87" s="9" t="str">
        <x:v>API02 bookings và booking-operations</x:v>
      </x:c>
      <x:c r="J87" s="9" t="str">
        <x:v>BASE; C_A chưa có guard, P_V1 hiệu lực; B_* theo Du_lieu.</x:v>
      </x:c>
      <x:c r="K87" s="9" t="str">
        <x:v>Cùng key; thay note</x:v>
      </x:c>
      <x:c r="L87" s="9" t="str">
        <x:v>1. POST lại</x:v>
      </x:c>
      <x:c r="M87" s="9" t="str">
        <x:v>409 IDEMPOTENCY_CONFLICT; thứ tự thuộc tính JSON khác không tạo conflict nếu nội dung giống.</x:v>
      </x:c>
      <x:c r="N87" s="9" t="str">
        <x:v>HTTP request/response đã che token; bản ghi trước/sau tại DB sở hữu; correlationId và log/audit liên quan.</x:v>
      </x:c>
      <x:c r="O87" s="9" t="str">
        <x:v>FR02; FR03; FR28; NFR03</x:v>
      </x:c>
      <x:c r="P87" s="9" t="str">
        <x:v>UC02; UC22; AC02; AC21</x:v>
      </x:c>
      <x:c r="Q87" s="9" t="str">
        <x:v>15</x:v>
      </x:c>
      <x:c r="R87" s="9" t="str">
        <x:v>Khôi phục dependency/fault injection nếu có; dùng bộ ID mới cho ca kế tiếp. Không xóa lịch sử/audit bằng API nghiệp vụ.</x:v>
      </x:c>
      <x:c r="S87" s="11" t="str"/>
      <x:c r="T87" s="11" t="str"/>
      <x:c r="U87" s="11" t="str"/>
      <x:c r="V87" s="11" t="str"/>
      <x:c r="W87" s="12"/>
      <x:c r="X87" s="9" t="str">
        <x:v>API02; MSD 6.3, 6.6</x:v>
      </x:c>
    </x:row>
    <x:row r="88" ht="52" customHeight="1">
      <x:c r="A88" s="10" t="str">
        <x:v>TC13-BOOK-008</x:v>
      </x:c>
      <x:c r="B88" s="10" t="str">
        <x:v>BOOK</x:v>
      </x:c>
      <x:c r="C88" s="10" t="str">
        <x:v>Hai key cùng Customer</x:v>
      </x:c>
      <x:c r="D88" s="10" t="str">
        <x:v>P1</x:v>
      </x:c>
      <x:c r="E88" s="10" t="str">
        <x:v>DEFINED</x:v>
      </x:c>
      <x:c r="F88" s="10" t="str">
        <x:v>NOT_RUN</x:v>
      </x:c>
      <x:c r="G88" s="10" t="str"/>
      <x:c r="H88" s="10" t="str">
        <x:v>FUNCTIONAL</x:v>
      </x:c>
      <x:c r="I88" s="10" t="str">
        <x:v>API02 bookings và booking-operations</x:v>
      </x:c>
      <x:c r="J88" s="10" t="str">
        <x:v>BASE; C_A chưa có guard, P_V1 hiệu lực; B_* theo Du_lieu.</x:v>
      </x:c>
      <x:c r="K88" s="10" t="str">
        <x:v>Hai request đặt xe đồng thời</x:v>
      </x:c>
      <x:c r="L88" s="10" t="str">
        <x:v>1. Gửi barrier với hai key khác nhau</x:v>
      </x:c>
      <x:c r="M88" s="10" t="str">
        <x:v>Tối đa một quyền hoạt động và một Booking hợp lệ; key khác không vượt CustomerActivityGuard.</x:v>
      </x:c>
      <x:c r="N88" s="10" t="str">
        <x:v>HTTP request/response đã che token; bản ghi trước/sau tại DB sở hữu; correlationId và log/audit liên quan.</x:v>
      </x:c>
      <x:c r="O88" s="10" t="str">
        <x:v>FR02; FR03; FR28; NFR03</x:v>
      </x:c>
      <x:c r="P88" s="10" t="str">
        <x:v>UC02; UC22; AC02; AC21</x:v>
      </x:c>
      <x:c r="Q88" s="10" t="str">
        <x:v>15</x:v>
      </x:c>
      <x:c r="R88" s="10" t="str">
        <x:v>Khôi phục dependency/fault injection nếu có; dùng bộ ID mới cho ca kế tiếp. Không xóa lịch sử/audit bằng API nghiệp vụ.</x:v>
      </x:c>
      <x:c r="S88" s="11" t="str"/>
      <x:c r="T88" s="11" t="str"/>
      <x:c r="U88" s="11" t="str"/>
      <x:c r="V88" s="11" t="str"/>
      <x:c r="W88" s="12"/>
      <x:c r="X88" s="10" t="str">
        <x:v>API02; MSD 6.3, 6.6</x:v>
      </x:c>
    </x:row>
    <x:row r="89" ht="52" customHeight="1">
      <x:c r="A89" s="9" t="str">
        <x:v>TC13-BOOK-009</x:v>
      </x:c>
      <x:c r="B89" s="9" t="str">
        <x:v>BOOK</x:v>
      </x:c>
      <x:c r="C89" s="9" t="str">
        <x:v>Customer còn chuyến ERROR</x:v>
      </x:c>
      <x:c r="D89" s="9" t="str">
        <x:v>P1</x:v>
      </x:c>
      <x:c r="E89" s="9" t="str">
        <x:v>DEFINED</x:v>
      </x:c>
      <x:c r="F89" s="9" t="str">
        <x:v>NOT_RUN</x:v>
      </x:c>
      <x:c r="G89" s="9" t="str"/>
      <x:c r="H89" s="9" t="str">
        <x:v>FUNCTIONAL</x:v>
      </x:c>
      <x:c r="I89" s="9" t="str">
        <x:v>API02 bookings và booking-operations</x:v>
      </x:c>
      <x:c r="J89" s="9" t="str">
        <x:v>BASE; C_A chưa có guard, P_V1 hiệu lực; B_* theo Du_lieu.</x:v>
      </x:c>
      <x:c r="K89" s="9" t="str">
        <x:v>Trip ERROR chưa closedAt</x:v>
      </x:c>
      <x:c r="L89" s="9" t="str">
        <x:v>1. POST Booking mới</x:v>
      </x:c>
      <x:c r="M89" s="9" t="str">
        <x:v>409 do hoạt động chưa đóng; không bỏ guard.</x:v>
      </x:c>
      <x:c r="N89" s="9" t="str">
        <x:v>HTTP request/response đã che token; bản ghi trước/sau tại DB sở hữu; correlationId và log/audit liên quan.</x:v>
      </x:c>
      <x:c r="O89" s="9" t="str">
        <x:v>FR02; FR03; FR28; NFR03</x:v>
      </x:c>
      <x:c r="P89" s="9" t="str">
        <x:v>UC02; UC22; AC02; AC21</x:v>
      </x:c>
      <x:c r="Q89" s="9" t="str">
        <x:v>15</x:v>
      </x:c>
      <x:c r="R89" s="9" t="str">
        <x:v>Khôi phục dependency/fault injection nếu có; dùng bộ ID mới cho ca kế tiếp. Không xóa lịch sử/audit bằng API nghiệp vụ.</x:v>
      </x:c>
      <x:c r="S89" s="11" t="str"/>
      <x:c r="T89" s="11" t="str"/>
      <x:c r="U89" s="11" t="str"/>
      <x:c r="V89" s="11" t="str"/>
      <x:c r="W89" s="12"/>
      <x:c r="X89" s="9" t="str">
        <x:v>API02; MSD 6.3, 6.6</x:v>
      </x:c>
    </x:row>
    <x:row r="90" ht="52" customHeight="1">
      <x:c r="A90" s="10" t="str">
        <x:v>TC13-BOOK-010</x:v>
      </x:c>
      <x:c r="B90" s="10" t="str">
        <x:v>BOOK</x:v>
      </x:c>
      <x:c r="C90" s="10" t="str">
        <x:v>Đã đóng nhưng chờ release</x:v>
      </x:c>
      <x:c r="D90" s="10" t="str">
        <x:v>P1</x:v>
      </x:c>
      <x:c r="E90" s="10" t="str">
        <x:v>DEFINED</x:v>
      </x:c>
      <x:c r="F90" s="10" t="str">
        <x:v>NOT_RUN</x:v>
      </x:c>
      <x:c r="G90" s="10" t="str"/>
      <x:c r="H90" s="10" t="str">
        <x:v>FUNCTIONAL</x:v>
      </x:c>
      <x:c r="I90" s="10" t="str">
        <x:v>API02 bookings và booking-operations</x:v>
      </x:c>
      <x:c r="J90" s="10" t="str">
        <x:v>BASE; C_A chưa có guard, P_V1 hiệu lực; B_* theo Du_lieu.</x:v>
      </x:c>
      <x:c r="K90" s="10" t="str">
        <x:v>Trip COMPLETED; customerRelease=PENDING</x:v>
      </x:c>
      <x:c r="L90" s="10" t="str">
        <x:v>1. POST Booking mới</x:v>
      </x:c>
      <x:c r="M90" s="10" t="str">
        <x:v>409 CUSTOMER_ACTIVITY_RELEASE_PENDING; chỉ đặt lại sau xác nhận release đúng Trip/version.</x:v>
      </x:c>
      <x:c r="N90" s="10" t="str">
        <x:v>HTTP request/response đã che token; bản ghi trước/sau tại DB sở hữu; correlationId và log/audit liên quan.</x:v>
      </x:c>
      <x:c r="O90" s="10" t="str">
        <x:v>FR02; FR03; FR28; NFR03</x:v>
      </x:c>
      <x:c r="P90" s="10" t="str">
        <x:v>UC02; UC22; AC02; AC21</x:v>
      </x:c>
      <x:c r="Q90" s="10" t="str">
        <x:v>15</x:v>
      </x:c>
      <x:c r="R90" s="10" t="str">
        <x:v>Khôi phục dependency/fault injection nếu có; dùng bộ ID mới cho ca kế tiếp. Không xóa lịch sử/audit bằng API nghiệp vụ.</x:v>
      </x:c>
      <x:c r="S90" s="11" t="str"/>
      <x:c r="T90" s="11" t="str"/>
      <x:c r="U90" s="11" t="str"/>
      <x:c r="V90" s="11" t="str"/>
      <x:c r="W90" s="12"/>
      <x:c r="X90" s="10" t="str">
        <x:v>API02; MSD 6.3, 6.6</x:v>
      </x:c>
    </x:row>
    <x:row r="91" ht="52" customHeight="1">
      <x:c r="A91" s="9" t="str">
        <x:v>TC13-BOOK-011</x:v>
      </x:c>
      <x:c r="B91" s="9" t="str">
        <x:v>BOOK</x:v>
      </x:c>
      <x:c r="C91" s="9" t="str">
        <x:v>Nợ Payment không chặn Booking</x:v>
      </x:c>
      <x:c r="D91" s="9" t="str">
        <x:v>P1</x:v>
      </x:c>
      <x:c r="E91" s="9" t="str">
        <x:v>DEFINED</x:v>
      </x:c>
      <x:c r="F91" s="9" t="str">
        <x:v>NOT_RUN</x:v>
      </x:c>
      <x:c r="G91" s="9" t="str"/>
      <x:c r="H91" s="9" t="str">
        <x:v>FUNCTIONAL</x:v>
      </x:c>
      <x:c r="I91" s="9" t="str">
        <x:v>API02 bookings và booking-operations</x:v>
      </x:c>
      <x:c r="J91" s="9" t="str">
        <x:v>BASE; C_A chưa có guard, P_V1 hiệu lực; B_* theo Du_lieu.</x:v>
      </x:c>
      <x:c r="K91" s="9" t="str">
        <x:v>Trip cũ đóng và closure SUCCEEDED; Payment UNKNOWN</x:v>
      </x:c>
      <x:c r="L91" s="9" t="str">
        <x:v>1. Tạo Booking mới</x:v>
      </x:c>
      <x:c r="M91" s="9" t="str">
        <x:v>Có thể tiếp nhận nếu các điều kiện khác hợp lệ; không nhầm nợ thành Trip đang hoạt động.</x:v>
      </x:c>
      <x:c r="N91" s="9" t="str">
        <x:v>HTTP request/response đã che token; bản ghi trước/sau tại DB sở hữu; correlationId và log/audit liên quan.</x:v>
      </x:c>
      <x:c r="O91" s="9" t="str">
        <x:v>FR02; FR03; FR28; NFR03</x:v>
      </x:c>
      <x:c r="P91" s="9" t="str">
        <x:v>UC02; UC22; AC02; AC21</x:v>
      </x:c>
      <x:c r="Q91" s="9" t="str">
        <x:v>15</x:v>
      </x:c>
      <x:c r="R91" s="9" t="str">
        <x:v>Khôi phục dependency/fault injection nếu có; dùng bộ ID mới cho ca kế tiếp. Không xóa lịch sử/audit bằng API nghiệp vụ.</x:v>
      </x:c>
      <x:c r="S91" s="11" t="str"/>
      <x:c r="T91" s="11" t="str"/>
      <x:c r="U91" s="11" t="str"/>
      <x:c r="V91" s="11" t="str"/>
      <x:c r="W91" s="12"/>
      <x:c r="X91" s="9" t="str">
        <x:v>API02; MSD 6.3, 6.6</x:v>
      </x:c>
    </x:row>
    <x:row r="92" ht="52" customHeight="1">
      <x:c r="A92" s="10" t="str">
        <x:v>TC13-BOOK-012</x:v>
      </x:c>
      <x:c r="B92" s="10" t="str">
        <x:v>BOOK</x:v>
      </x:c>
      <x:c r="C92" s="10" t="str">
        <x:v>Danh sách không lẫn Customer</x:v>
      </x:c>
      <x:c r="D92" s="10" t="str">
        <x:v>P1</x:v>
      </x:c>
      <x:c r="E92" s="10" t="str">
        <x:v>DEFINED</x:v>
      </x:c>
      <x:c r="F92" s="10" t="str">
        <x:v>NOT_RUN</x:v>
      </x:c>
      <x:c r="G92" s="10" t="str"/>
      <x:c r="H92" s="10" t="str">
        <x:v>FUNCTIONAL</x:v>
      </x:c>
      <x:c r="I92" s="10" t="str">
        <x:v>API02 bookings và booking-operations</x:v>
      </x:c>
      <x:c r="J92" s="10" t="str">
        <x:v>BASE; C_A chưa có guard, P_V1 hiệu lực; B_* theo Du_lieu.</x:v>
      </x:c>
      <x:c r="K92" s="10" t="str">
        <x:v>C_A có ≥5 Booking gồm NO_DRIVER_FOUND; C_B có Booking khác</x:v>
      </x:c>
      <x:c r="L92" s="10" t="str">
        <x:v>1. GET bookings bằng C_A; thử thêm customerId C_B</x:v>
      </x:c>
      <x:c r="M92" s="10" t="str">
        <x:v>Chỉ Booking C_A; NO_DRIVER_FOUND vẫn xuất hiện; query ngoài hợp đồng 400.</x:v>
      </x:c>
      <x:c r="N92" s="10" t="str">
        <x:v>HTTP request/response đã che token; bản ghi trước/sau tại DB sở hữu; correlationId và log/audit liên quan.</x:v>
      </x:c>
      <x:c r="O92" s="10" t="str">
        <x:v>FR25; NFR04</x:v>
      </x:c>
      <x:c r="P92" s="10" t="str">
        <x:v>UC19; AC17</x:v>
      </x:c>
      <x:c r="Q92" s="10" t="str">
        <x:v>14</x:v>
      </x:c>
      <x:c r="R92" s="10" t="str">
        <x:v>Khôi phục dependency/fault injection nếu có; dùng bộ ID mới cho ca kế tiếp. Không xóa lịch sử/audit bằng API nghiệp vụ.</x:v>
      </x:c>
      <x:c r="S92" s="11" t="str"/>
      <x:c r="T92" s="11" t="str"/>
      <x:c r="U92" s="11" t="str"/>
      <x:c r="V92" s="11" t="str"/>
      <x:c r="W92" s="12"/>
      <x:c r="X92" s="10" t="str">
        <x:v>API02; MSD 6.3, 6.6</x:v>
      </x:c>
    </x:row>
    <x:row r="93" ht="52" customHeight="1">
      <x:c r="A93" s="9" t="str">
        <x:v>TC13-BOOK-013</x:v>
      </x:c>
      <x:c r="B93" s="9" t="str">
        <x:v>BOOK</x:v>
      </x:c>
      <x:c r="C93" s="9" t="str">
        <x:v>Phân trang Booking ổn định</x:v>
      </x:c>
      <x:c r="D93" s="9" t="str">
        <x:v>P1</x:v>
      </x:c>
      <x:c r="E93" s="9" t="str">
        <x:v>DEFINED</x:v>
      </x:c>
      <x:c r="F93" s="9" t="str">
        <x:v>NOT_RUN</x:v>
      </x:c>
      <x:c r="G93" s="9" t="str"/>
      <x:c r="H93" s="9" t="str">
        <x:v>FUNCTIONAL</x:v>
      </x:c>
      <x:c r="I93" s="9" t="str">
        <x:v>API02 bookings và booking-operations</x:v>
      </x:c>
      <x:c r="J93" s="9" t="str">
        <x:v>BASE; C_A chưa có guard, P_V1 hiệu lực; B_* theo Du_lieu.</x:v>
      </x:c>
      <x:c r="K93" s="9" t="str">
        <x:v>≥5 Booking, hai createdAt trùng, limit=2</x:v>
      </x:c>
      <x:c r="L93" s="9" t="str">
        <x:v>1. Đọc hết các trang; chèn Booking mới giữa hai trang</x:v>
      </x:c>
      <x:c r="M93" s="9" t="str">
        <x:v>Sort createdAt/bookingId giảm dần; không chèn bản mới vào lượt duyệt cũ; trang cuối hasMore=false, không nextCursor giả.</x:v>
      </x:c>
      <x:c r="N93" s="9" t="str">
        <x:v>HTTP request/response đã che token; bản ghi trước/sau tại DB sở hữu; correlationId và log/audit liên quan.</x:v>
      </x:c>
      <x:c r="O93" s="9" t="str">
        <x:v>FR25; NFR04</x:v>
      </x:c>
      <x:c r="P93" s="9" t="str">
        <x:v>UC19; AC17</x:v>
      </x:c>
      <x:c r="Q93" s="9" t="str">
        <x:v>14</x:v>
      </x:c>
      <x:c r="R93" s="9" t="str">
        <x:v>Khôi phục dependency/fault injection nếu có; dùng bộ ID mới cho ca kế tiếp. Không xóa lịch sử/audit bằng API nghiệp vụ.</x:v>
      </x:c>
      <x:c r="S93" s="11" t="str"/>
      <x:c r="T93" s="11" t="str"/>
      <x:c r="U93" s="11" t="str"/>
      <x:c r="V93" s="11" t="str"/>
      <x:c r="W93" s="12"/>
      <x:c r="X93" s="9" t="str">
        <x:v>API02; MSD 6.3, 6.6</x:v>
      </x:c>
    </x:row>
    <x:row r="94" ht="52" customHeight="1">
      <x:c r="A94" s="10" t="str">
        <x:v>TC13-BOOK-014</x:v>
      </x:c>
      <x:c r="B94" s="10" t="str">
        <x:v>BOOK</x:v>
      </x:c>
      <x:c r="C94" s="10" t="str">
        <x:v>Cursor gắn caller và bộ lọc</x:v>
      </x:c>
      <x:c r="D94" s="10" t="str">
        <x:v>P1</x:v>
      </x:c>
      <x:c r="E94" s="10" t="str">
        <x:v>DEFINED</x:v>
      </x:c>
      <x:c r="F94" s="10" t="str">
        <x:v>NOT_RUN</x:v>
      </x:c>
      <x:c r="G94" s="10" t="str"/>
      <x:c r="H94" s="10" t="str">
        <x:v>FUNCTIONAL</x:v>
      </x:c>
      <x:c r="I94" s="10" t="str">
        <x:v>API02 bookings và booking-operations</x:v>
      </x:c>
      <x:c r="J94" s="10" t="str">
        <x:v>BASE; C_A chưa có guard, P_V1 hiệu lực; B_* theo Du_lieu.</x:v>
      </x:c>
      <x:c r="K94" s="10" t="str">
        <x:v>Cursor của C_A, limit=2</x:v>
      </x:c>
      <x:c r="L94" s="10" t="str">
        <x:v>1. Dùng C_B; đổi limit/status; sửa cursor</x:v>
      </x:c>
      <x:c r="M94" s="10" t="str">
        <x:v>400 INVALID_CURSOR; không lộ dữ liệu khác chủ. Cursor hết hạn trả CURSOR_EXPIRED.</x:v>
      </x:c>
      <x:c r="N94" s="10" t="str">
        <x:v>HTTP request/response đã che token; bản ghi trước/sau tại DB sở hữu; correlationId và log/audit liên quan.</x:v>
      </x:c>
      <x:c r="O94" s="10" t="str">
        <x:v>FR25; NFR04</x:v>
      </x:c>
      <x:c r="P94" s="10" t="str">
        <x:v>UC19; AC17</x:v>
      </x:c>
      <x:c r="Q94" s="10" t="str">
        <x:v>14</x:v>
      </x:c>
      <x:c r="R94" s="10" t="str">
        <x:v>Khôi phục dependency/fault injection nếu có; dùng bộ ID mới cho ca kế tiếp. Không xóa lịch sử/audit bằng API nghiệp vụ.</x:v>
      </x:c>
      <x:c r="S94" s="11" t="str"/>
      <x:c r="T94" s="11" t="str"/>
      <x:c r="U94" s="11" t="str"/>
      <x:c r="V94" s="11" t="str"/>
      <x:c r="W94" s="12"/>
      <x:c r="X94" s="10" t="str">
        <x:v>API02; MSD 6.3, 6.6</x:v>
      </x:c>
    </x:row>
    <x:row r="95" ht="52" customHeight="1">
      <x:c r="A95" s="9" t="str">
        <x:v>TC13-BOOK-015</x:v>
      </x:c>
      <x:c r="B95" s="9" t="str">
        <x:v>BOOK</x:v>
      </x:c>
      <x:c r="C95" s="9" t="str">
        <x:v>Limit biên</x:v>
      </x:c>
      <x:c r="D95" s="9" t="str">
        <x:v>P1</x:v>
      </x:c>
      <x:c r="E95" s="9" t="str">
        <x:v>DEFINED</x:v>
      </x:c>
      <x:c r="F95" s="9" t="str">
        <x:v>NOT_RUN</x:v>
      </x:c>
      <x:c r="G95" s="9" t="str"/>
      <x:c r="H95" s="9" t="str">
        <x:v>FUNCTIONAL</x:v>
      </x:c>
      <x:c r="I95" s="9" t="str">
        <x:v>API02 bookings và booking-operations</x:v>
      </x:c>
      <x:c r="J95" s="9" t="str">
        <x:v>BASE; C_A chưa có guard, P_V1 hiệu lực; B_* theo Du_lieu.</x:v>
      </x:c>
      <x:c r="K95" s="9" t="str">
        <x:v>limit=0,1,100,101</x:v>
      </x:c>
      <x:c r="L95" s="9" t="str">
        <x:v>1. GET bookings từng biến thể</x:v>
      </x:c>
      <x:c r="M95" s="9" t="str">
        <x:v>1 và 100 hợp lệ; 0/101 bị 400; không tự trả vượt tối đa.</x:v>
      </x:c>
      <x:c r="N95" s="9" t="str">
        <x:v>HTTP request/response đã che token; bản ghi trước/sau tại DB sở hữu; correlationId và log/audit liên quan.</x:v>
      </x:c>
      <x:c r="O95" s="9" t="str">
        <x:v>FR25; NFR04</x:v>
      </x:c>
      <x:c r="P95" s="9" t="str">
        <x:v>UC19; AC17</x:v>
      </x:c>
      <x:c r="Q95" s="9" t="str">
        <x:v>14</x:v>
      </x:c>
      <x:c r="R95" s="9" t="str">
        <x:v>Khôi phục dependency/fault injection nếu có; dùng bộ ID mới cho ca kế tiếp. Không xóa lịch sử/audit bằng API nghiệp vụ.</x:v>
      </x:c>
      <x:c r="S95" s="11" t="str"/>
      <x:c r="T95" s="11" t="str"/>
      <x:c r="U95" s="11" t="str"/>
      <x:c r="V95" s="11" t="str"/>
      <x:c r="W95" s="12"/>
      <x:c r="X95" s="9" t="str">
        <x:v>API02; MSD 6.3, 6.6</x:v>
      </x:c>
    </x:row>
    <x:row r="96" ht="52" customHeight="1">
      <x:c r="A96" s="10" t="str">
        <x:v>TC13-BOOK-016</x:v>
      </x:c>
      <x:c r="B96" s="10" t="str">
        <x:v>BOOK</x:v>
      </x:c>
      <x:c r="C96" s="10" t="str">
        <x:v>Hủy Booking chưa dispatch</x:v>
      </x:c>
      <x:c r="D96" s="10" t="str">
        <x:v>P1</x:v>
      </x:c>
      <x:c r="E96" s="10" t="str">
        <x:v>DEFINED</x:v>
      </x:c>
      <x:c r="F96" s="10" t="str">
        <x:v>NOT_RUN</x:v>
      </x:c>
      <x:c r="G96" s="10" t="str"/>
      <x:c r="H96" s="10" t="str">
        <x:v>FUNCTIONAL</x:v>
      </x:c>
      <x:c r="I96" s="10" t="str">
        <x:v>API02 bookings và booking-operations</x:v>
      </x:c>
      <x:c r="J96" s="10" t="str">
        <x:v>BASE; C_A chưa có guard, P_V1 hiệu lực; B_* theo Du_lieu.</x:v>
      </x:c>
      <x:c r="K96" s="10" t="str">
        <x:v>B_PENDING; lý do hợp lệ</x:v>
      </x:c>
      <x:c r="L96" s="10" t="str">
        <x:v>1. POST cancel trước worker chạy; cho worker chạy sau</x:v>
      </x:c>
      <x:c r="M96" s="10" t="str">
        <x:v>200 cuối CANCELLED sau release; worker trễ không tạo offer; một cancellation/outbox.</x:v>
      </x:c>
      <x:c r="N96" s="10" t="str">
        <x:v>HTTP request/response đã che token; bản ghi trước/sau tại DB sở hữu; correlationId và log/audit liên quan.</x:v>
      </x:c>
      <x:c r="O96" s="10" t="str">
        <x:v>FR19; FR28; NFR03</x:v>
      </x:c>
      <x:c r="P96" s="10" t="str">
        <x:v>UC12; UC22; AC10; AC21</x:v>
      </x:c>
      <x:c r="Q96" s="10" t="str">
        <x:v>18</x:v>
      </x:c>
      <x:c r="R96" s="10" t="str">
        <x:v>Khôi phục dependency/fault injection nếu có; dùng bộ ID mới cho ca kế tiếp. Không xóa lịch sử/audit bằng API nghiệp vụ.</x:v>
      </x:c>
      <x:c r="S96" s="11" t="str"/>
      <x:c r="T96" s="11" t="str"/>
      <x:c r="U96" s="11" t="str"/>
      <x:c r="V96" s="11" t="str"/>
      <x:c r="W96" s="12"/>
      <x:c r="X96" s="10" t="str">
        <x:v>API02; MSD 6.3, 6.6</x:v>
      </x:c>
    </x:row>
    <x:row r="97" ht="52" customHeight="1">
      <x:c r="A97" s="9" t="str">
        <x:v>TC13-BOOK-017</x:v>
      </x:c>
      <x:c r="B97" s="9" t="str">
        <x:v>BOOK</x:v>
      </x:c>
      <x:c r="C97" s="9" t="str">
        <x:v>Hủy Booking replay khác lý do</x:v>
      </x:c>
      <x:c r="D97" s="9" t="str">
        <x:v>P1</x:v>
      </x:c>
      <x:c r="E97" s="9" t="str">
        <x:v>DEFINED</x:v>
      </x:c>
      <x:c r="F97" s="9" t="str">
        <x:v>NOT_RUN</x:v>
      </x:c>
      <x:c r="G97" s="9" t="str"/>
      <x:c r="H97" s="9" t="str">
        <x:v>FUNCTIONAL</x:v>
      </x:c>
      <x:c r="I97" s="9" t="str">
        <x:v>API02 bookings và booking-operations</x:v>
      </x:c>
      <x:c r="J97" s="9" t="str">
        <x:v>BASE; C_A chưa có guard, P_V1 hiệu lực; B_* theo Du_lieu.</x:v>
      </x:c>
      <x:c r="K97" s="9" t="str">
        <x:v>Booking đã CANCELLED và giải phóng xong</x:v>
      </x:c>
      <x:c r="L97" s="9" t="str">
        <x:v>1. Gửi lại cancel với lý do khác hợp lệ</x:v>
      </x:c>
      <x:c r="M97" s="9" t="str">
        <x:v>200 giữ lý do/người/thời điểm gốc; không ghi audit/event lại.</x:v>
      </x:c>
      <x:c r="N97" s="9" t="str">
        <x:v>HTTP request/response đã che token; bản ghi trước/sau tại DB sở hữu; correlationId và log/audit liên quan.</x:v>
      </x:c>
      <x:c r="O97" s="9" t="str">
        <x:v>FR19; FR28; NFR03</x:v>
      </x:c>
      <x:c r="P97" s="9" t="str">
        <x:v>UC12; UC22; AC10; AC21</x:v>
      </x:c>
      <x:c r="Q97" s="9" t="str">
        <x:v>18</x:v>
      </x:c>
      <x:c r="R97" s="9" t="str">
        <x:v>Khôi phục dependency/fault injection nếu có; dùng bộ ID mới cho ca kế tiếp. Không xóa lịch sử/audit bằng API nghiệp vụ.</x:v>
      </x:c>
      <x:c r="S97" s="11" t="str"/>
      <x:c r="T97" s="11" t="str"/>
      <x:c r="U97" s="11" t="str"/>
      <x:c r="V97" s="11" t="str"/>
      <x:c r="W97" s="12"/>
      <x:c r="X97" s="9" t="str">
        <x:v>API02; MSD 6.3, 6.6</x:v>
      </x:c>
    </x:row>
    <x:row r="98" ht="52" customHeight="1">
      <x:c r="A98" s="10" t="str">
        <x:v>TC13-BOOK-018</x:v>
      </x:c>
      <x:c r="B98" s="10" t="str">
        <x:v>BOOK</x:v>
      </x:c>
      <x:c r="C98" s="10" t="str">
        <x:v>Hủy Booking đã phân công</x:v>
      </x:c>
      <x:c r="D98" s="10" t="str">
        <x:v>P1</x:v>
      </x:c>
      <x:c r="E98" s="10" t="str">
        <x:v>DEFINED</x:v>
      </x:c>
      <x:c r="F98" s="10" t="str">
        <x:v>NOT_RUN</x:v>
      </x:c>
      <x:c r="G98" s="10" t="str"/>
      <x:c r="H98" s="10" t="str">
        <x:v>FUNCTIONAL</x:v>
      </x:c>
      <x:c r="I98" s="10" t="str">
        <x:v>API02 bookings và booking-operations</x:v>
      </x:c>
      <x:c r="J98" s="10" t="str">
        <x:v>BASE; C_A chưa có guard, P_V1 hiệu lực; B_* theo Du_lieu.</x:v>
      </x:c>
      <x:c r="K98" s="10" t="str">
        <x:v>B_ASSIGNED</x:v>
      </x:c>
      <x:c r="L98" s="10" t="str">
        <x:v>1. POST cancel</x:v>
      </x:c>
      <x:c r="M98" s="10" t="str">
        <x:v>409 BOOKING_ALREADY_ASSIGNED; dùng Trip cancel riêng; không sửa trạng thái Booking.</x:v>
      </x:c>
      <x:c r="N98" s="10" t="str">
        <x:v>HTTP request/response đã che token; bản ghi trước/sau tại DB sở hữu; correlationId và log/audit liên quan.</x:v>
      </x:c>
      <x:c r="O98" s="10" t="str">
        <x:v>FR19; FR28; NFR03</x:v>
      </x:c>
      <x:c r="P98" s="10" t="str">
        <x:v>UC12; UC22; AC10; AC21</x:v>
      </x:c>
      <x:c r="Q98" s="10" t="str">
        <x:v>18</x:v>
      </x:c>
      <x:c r="R98" s="10" t="str">
        <x:v>Khôi phục dependency/fault injection nếu có; dùng bộ ID mới cho ca kế tiếp. Không xóa lịch sử/audit bằng API nghiệp vụ.</x:v>
      </x:c>
      <x:c r="S98" s="11" t="str"/>
      <x:c r="T98" s="11" t="str"/>
      <x:c r="U98" s="11" t="str"/>
      <x:c r="V98" s="11" t="str"/>
      <x:c r="W98" s="12"/>
      <x:c r="X98" s="10" t="str">
        <x:v>API02; MSD 6.3, 6.6</x:v>
      </x:c>
    </x:row>
    <x:row r="99" ht="52" customHeight="1">
      <x:c r="A99" s="9" t="str">
        <x:v>TC13-BOOK-019</x:v>
      </x:c>
      <x:c r="B99" s="9" t="str">
        <x:v>BOOK</x:v>
      </x:c>
      <x:c r="C99" s="9" t="str">
        <x:v>Hủy Booking không tìm được xe</x:v>
      </x:c>
      <x:c r="D99" s="9" t="str">
        <x:v>P1</x:v>
      </x:c>
      <x:c r="E99" s="9" t="str">
        <x:v>DEFINED</x:v>
      </x:c>
      <x:c r="F99" s="9" t="str">
        <x:v>NOT_RUN</x:v>
      </x:c>
      <x:c r="G99" s="9" t="str"/>
      <x:c r="H99" s="9" t="str">
        <x:v>FUNCTIONAL</x:v>
      </x:c>
      <x:c r="I99" s="9" t="str">
        <x:v>API02 bookings và booking-operations</x:v>
      </x:c>
      <x:c r="J99" s="9" t="str">
        <x:v>BASE; C_A chưa có guard, P_V1 hiệu lực; B_* theo Du_lieu.</x:v>
      </x:c>
      <x:c r="K99" s="9" t="str">
        <x:v>B_NO_DRIVER</x:v>
      </x:c>
      <x:c r="L99" s="9" t="str">
        <x:v>1. POST cancel</x:v>
      </x:c>
      <x:c r="M99" s="9" t="str">
        <x:v>409 BOOKING_NOT_CANCELLABLE; không đổi kết quả điều phối.</x:v>
      </x:c>
      <x:c r="N99" s="9" t="str">
        <x:v>HTTP request/response đã che token; bản ghi trước/sau tại DB sở hữu; correlationId và log/audit liên quan.</x:v>
      </x:c>
      <x:c r="O99" s="9" t="str">
        <x:v>FR19; FR28; NFR03</x:v>
      </x:c>
      <x:c r="P99" s="9" t="str">
        <x:v>UC12; UC22; AC10; AC21</x:v>
      </x:c>
      <x:c r="Q99" s="9" t="str">
        <x:v>18</x:v>
      </x:c>
      <x:c r="R99" s="9" t="str">
        <x:v>Khôi phục dependency/fault injection nếu có; dùng bộ ID mới cho ca kế tiếp. Không xóa lịch sử/audit bằng API nghiệp vụ.</x:v>
      </x:c>
      <x:c r="S99" s="11" t="str"/>
      <x:c r="T99" s="11" t="str"/>
      <x:c r="U99" s="11" t="str"/>
      <x:c r="V99" s="11" t="str"/>
      <x:c r="W99" s="12"/>
      <x:c r="X99" s="9" t="str">
        <x:v>API02; MSD 6.3, 6.6</x:v>
      </x:c>
    </x:row>
    <x:row r="100" ht="52" customHeight="1">
      <x:c r="A100" s="10" t="str">
        <x:v>TC13-BOOK-020</x:v>
      </x:c>
      <x:c r="B100" s="10" t="str">
        <x:v>BOOK</x:v>
      </x:c>
      <x:c r="C100" s="10" t="str">
        <x:v>Hủy khi accept chưa rõ</x:v>
      </x:c>
      <x:c r="D100" s="10" t="str">
        <x:v>P1</x:v>
      </x:c>
      <x:c r="E100" s="10" t="str">
        <x:v>NEEDS_DECISION</x:v>
      </x:c>
      <x:c r="F100" s="10" t="str">
        <x:v>NOT_RUN</x:v>
      </x:c>
      <x:c r="G100" s="10" t="str">
        <x:v>D05,D06</x:v>
      </x:c>
      <x:c r="H100" s="10" t="str">
        <x:v>FUNCTIONAL</x:v>
      </x:c>
      <x:c r="I100" s="10" t="str">
        <x:v>API02 bookings và booking-operations</x:v>
      </x:c>
      <x:c r="J100" s="10" t="str">
        <x:v>BASE; C_A chưa có guard, P_V1 hiệu lực; B_* theo Du_lieu.</x:v>
      </x:c>
      <x:c r="K100" s="10" t="str">
        <x:v>Cắt response activateTrip</x:v>
      </x:c>
      <x:c r="L100" s="10" t="str">
        <x:v>1. Gửi cancel rồi khôi phục RPC</x:v>
      </x:c>
      <x:c r="M100" s="10" t="str">
        <x:v>202 khi chưa rõ; nếu Trip đã active thì phục hồi assignment và kết quả BOOKING_ALREADY_ASSIGNED; không giải phóng tài xế đang chạy.</x:v>
      </x:c>
      <x:c r="N100" s="10" t="str">
        <x:v>HTTP request/response đã che token; bản ghi trước/sau tại DB sở hữu; correlationId và log/audit liên quan.</x:v>
      </x:c>
      <x:c r="O100" s="10" t="str">
        <x:v>FR19; FR28; NFR03</x:v>
      </x:c>
      <x:c r="P100" s="10" t="str">
        <x:v>UC12; UC22; AC10; AC21</x:v>
      </x:c>
      <x:c r="Q100" s="10" t="str">
        <x:v>18</x:v>
      </x:c>
      <x:c r="R100" s="10" t="str">
        <x:v>Khôi phục dependency/fault injection nếu có; dùng bộ ID mới cho ca kế tiếp. Không xóa lịch sử/audit bằng API nghiệp vụ.</x:v>
      </x:c>
      <x:c r="S100" s="11" t="str"/>
      <x:c r="T100" s="11" t="str"/>
      <x:c r="U100" s="11" t="str"/>
      <x:c r="V100" s="11" t="str"/>
      <x:c r="W100" s="12"/>
      <x:c r="X100" s="10" t="str">
        <x:v>API02; MSD 6.3, 6.6</x:v>
      </x:c>
    </x:row>
    <x:row r="101" ht="52" customHeight="1">
      <x:c r="A101" s="9" t="str">
        <x:v>TC13-BOOK-021</x:v>
      </x:c>
      <x:c r="B101" s="9" t="str">
        <x:v>BOOK</x:v>
      </x:c>
      <x:c r="C101" s="9" t="str">
        <x:v>Operation thuộc Customer khác</x:v>
      </x:c>
      <x:c r="D101" s="9" t="str">
        <x:v>P1</x:v>
      </x:c>
      <x:c r="E101" s="9" t="str">
        <x:v>NEEDS_DECISION</x:v>
      </x:c>
      <x:c r="F101" s="9" t="str">
        <x:v>NOT_RUN</x:v>
      </x:c>
      <x:c r="G101" s="9" t="str">
        <x:v>D05</x:v>
      </x:c>
      <x:c r="H101" s="9" t="str">
        <x:v>FUNCTIONAL</x:v>
      </x:c>
      <x:c r="I101" s="9" t="str">
        <x:v>API02 bookings và booking-operations</x:v>
      </x:c>
      <x:c r="J101" s="9" t="str">
        <x:v>BASE; C_A chưa có guard, P_V1 hiệu lực; B_* theo Du_lieu.</x:v>
      </x:c>
      <x:c r="K101" s="9" t="str">
        <x:v>Operation tạo chưa có Booking công khai</x:v>
      </x:c>
      <x:c r="L101" s="9" t="str">
        <x:v>1. C_B GET operation của C_A</x:v>
      </x:c>
      <x:c r="M101" s="9" t="str">
        <x:v>404; không chỉ kiểm tra quyền trên Booking khi Booking chưa tồn tại.</x:v>
      </x:c>
      <x:c r="N101" s="9" t="str">
        <x:v>HTTP request/response đã che token; bản ghi trước/sau tại DB sở hữu; correlationId và log/audit liên quan.</x:v>
      </x:c>
      <x:c r="O101" s="9" t="str">
        <x:v>FR28; NFR04; NFR18</x:v>
      </x:c>
      <x:c r="P101" s="9" t="str">
        <x:v>UC22; AC21</x:v>
      </x:c>
      <x:c r="Q101" s="9" t="str">
        <x:v>15</x:v>
      </x:c>
      <x:c r="R101" s="9" t="str">
        <x:v>Khôi phục dependency/fault injection nếu có; dùng bộ ID mới cho ca kế tiếp. Không xóa lịch sử/audit bằng API nghiệp vụ.</x:v>
      </x:c>
      <x:c r="S101" s="11" t="str"/>
      <x:c r="T101" s="11" t="str"/>
      <x:c r="U101" s="11" t="str"/>
      <x:c r="V101" s="11" t="str"/>
      <x:c r="W101" s="12"/>
      <x:c r="X101" s="9" t="str">
        <x:v>API02; MSD 6.3, 6.6</x:v>
      </x:c>
    </x:row>
    <x:row r="102" ht="52" customHeight="1">
      <x:c r="A102" s="10" t="str">
        <x:v>TC13-DISP-001</x:v>
      </x:c>
      <x:c r="B102" s="10" t="str">
        <x:v>DISP</x:v>
      </x:c>
      <x:c r="C102" s="10" t="str">
        <x:v>Nearby trong 1 km</x:v>
      </x:c>
      <x:c r="D102" s="10" t="str">
        <x:v>P1</x:v>
      </x:c>
      <x:c r="E102" s="10" t="str">
        <x:v>NEEDS_DECISION</x:v>
      </x:c>
      <x:c r="F102" s="10" t="str">
        <x:v>NOT_RUN</x:v>
      </x:c>
      <x:c r="G102" s="10" t="str">
        <x:v>G01</x:v>
      </x:c>
      <x:c r="H102" s="10" t="str">
        <x:v>FUNCTIONAL</x:v>
      </x:c>
      <x:c r="I102" s="10" t="str">
        <x:v>API03 nearby; trip-requests; dispatch-operations</x:v>
      </x:c>
      <x:c r="J102" s="10" t="str">
        <x:v>BASE; năm Driver mẫu; đồng hồ server kiểm soát, offers còn hạn.</x:v>
      </x:c>
      <x:c r="K102" s="10" t="str">
        <x:v>P0; D_NEAR1,D_NEAR2 đủ điều kiện; D_FAR ngoài 1 km</x:v>
      </x:c>
      <x:c r="L102" s="10" t="str">
        <x:v>1. GET nearby radiusKm=1 limit=1; đọc tiếp</x:v>
      </x:c>
      <x:c r="M102" s="10" t="str">
        <x:v>Chỉ ứng viên hợp lệ trong phạm vi; sắp khoảng cách thật rồi driverId; dữ liệu chỉ driverId, vehicleType, khoảng cách làm tròn bước 10m.</x:v>
      </x:c>
      <x:c r="N102" s="10" t="str">
        <x:v>HTTP request/response đã che token; bản ghi trước/sau tại DB sở hữu; correlationId và log/audit liên quan.</x:v>
      </x:c>
      <x:c r="O102" s="10" t="str">
        <x:v>FR24; FR04; NFR02</x:v>
      </x:c>
      <x:c r="P102" s="10" t="str">
        <x:v>UC18; UC03; AC16; AC03</x:v>
      </x:c>
      <x:c r="Q102" s="10" t="str">
        <x:v>13</x:v>
      </x:c>
      <x:c r="R102" s="10" t="str">
        <x:v>Khôi phục dependency/fault injection nếu có; dùng bộ ID mới cho ca kế tiếp. Không xóa lịch sử/audit bằng API nghiệp vụ.</x:v>
      </x:c>
      <x:c r="S102" s="11" t="str"/>
      <x:c r="T102" s="11" t="str"/>
      <x:c r="U102" s="11" t="str"/>
      <x:c r="V102" s="11" t="str"/>
      <x:c r="W102" s="12"/>
      <x:c r="X102" s="10" t="str">
        <x:v>API03; MSD 6.4–6.5</x:v>
      </x:c>
    </x:row>
    <x:row r="103" ht="52" customHeight="1">
      <x:c r="A103" s="9" t="str">
        <x:v>TC13-DISP-002</x:v>
      </x:c>
      <x:c r="B103" s="9" t="str">
        <x:v>DISP</x:v>
      </x:c>
      <x:c r="C103" s="9" t="str">
        <x:v>Loại ứng viên không hợp lệ</x:v>
      </x:c>
      <x:c r="D103" s="9" t="str">
        <x:v>P1</x:v>
      </x:c>
      <x:c r="E103" s="9" t="str">
        <x:v>DEFINED</x:v>
      </x:c>
      <x:c r="F103" s="9" t="str">
        <x:v>NOT_RUN</x:v>
      </x:c>
      <x:c r="G103" s="9" t="str"/>
      <x:c r="H103" s="9" t="str">
        <x:v>FUNCTIONAL</x:v>
      </x:c>
      <x:c r="I103" s="9" t="str">
        <x:v>API03 nearby; trip-requests; dispatch-operations</x:v>
      </x:c>
      <x:c r="J103" s="9" t="str">
        <x:v>BASE; năm Driver mẫu; đồng hồ server kiểm soát, offers còn hạn.</x:v>
      </x:c>
      <x:c r="K103" s="9" t="str">
        <x:v>Từng biến thể: SUSPENDED, chưa duyệt, OFFLINE, BUSY, xe INACTIVE, GPS cũ</x:v>
      </x:c>
      <x:c r="L103" s="9" t="str">
        <x:v>1. Tra cứu nearby và chạy dispatch trên bộ dữ liệu riêng</x:v>
      </x:c>
      <x:c r="M103" s="9" t="str">
        <x:v>Không biến thể nào được chọn; reservation cũng chặn dù hiển thị AVAILABLE.</x:v>
      </x:c>
      <x:c r="N103" s="9" t="str">
        <x:v>HTTP request/response đã che token; bản ghi trước/sau tại DB sở hữu; correlationId và log/audit liên quan.</x:v>
      </x:c>
      <x:c r="O103" s="9" t="str">
        <x:v>FR24; FR04; NFR02</x:v>
      </x:c>
      <x:c r="P103" s="9" t="str">
        <x:v>UC18; UC03; AC16; AC03</x:v>
      </x:c>
      <x:c r="Q103" s="9" t="str">
        <x:v>13</x:v>
      </x:c>
      <x:c r="R103" s="9" t="str">
        <x:v>Khôi phục dependency/fault injection nếu có; dùng bộ ID mới cho ca kế tiếp. Không xóa lịch sử/audit bằng API nghiệp vụ.</x:v>
      </x:c>
      <x:c r="S103" s="11" t="str"/>
      <x:c r="T103" s="11" t="str"/>
      <x:c r="U103" s="11" t="str"/>
      <x:c r="V103" s="11" t="str"/>
      <x:c r="W103" s="12"/>
      <x:c r="X103" s="9" t="str">
        <x:v>API03; MSD 6.4–6.5</x:v>
      </x:c>
    </x:row>
    <x:row r="104" ht="52" customHeight="1">
      <x:c r="A104" s="10" t="str">
        <x:v>TC13-DISP-003</x:v>
      </x:c>
      <x:c r="B104" s="10" t="str">
        <x:v>DISP</x:v>
      </x:c>
      <x:c r="C104" s="10" t="str">
        <x:v>Nearby không giữ tài xế</x:v>
      </x:c>
      <x:c r="D104" s="10" t="str">
        <x:v>P1</x:v>
      </x:c>
      <x:c r="E104" s="10" t="str">
        <x:v>DEFINED</x:v>
      </x:c>
      <x:c r="F104" s="10" t="str">
        <x:v>NOT_RUN</x:v>
      </x:c>
      <x:c r="G104" s="10" t="str"/>
      <x:c r="H104" s="10" t="str">
        <x:v>FUNCTIONAL</x:v>
      </x:c>
      <x:c r="I104" s="10" t="str">
        <x:v>API03 nearby; trip-requests; dispatch-operations</x:v>
      </x:c>
      <x:c r="J104" s="10" t="str">
        <x:v>BASE; năm Driver mẫu; đồng hồ server kiểm soát, offers còn hạn.</x:v>
      </x:c>
      <x:c r="K104" s="10" t="str">
        <x:v>C_A và C_B tra cứu cùng D_A</x:v>
      </x:c>
      <x:c r="L104" s="10" t="str">
        <x:v>1. Gọi nearby rồi đọc Driver/reservation</x:v>
      </x:c>
      <x:c r="M104" s="10" t="str">
        <x:v>Không tạo Booking, offer, reservation hoặc BUSY.</x:v>
      </x:c>
      <x:c r="N104" s="10" t="str">
        <x:v>HTTP request/response đã che token; bản ghi trước/sau tại DB sở hữu; correlationId và log/audit liên quan.</x:v>
      </x:c>
      <x:c r="O104" s="10" t="str">
        <x:v>FR24; FR04; NFR02</x:v>
      </x:c>
      <x:c r="P104" s="10" t="str">
        <x:v>UC18; UC03; AC16; AC03</x:v>
      </x:c>
      <x:c r="Q104" s="10" t="str">
        <x:v>13</x:v>
      </x:c>
      <x:c r="R104" s="10" t="str">
        <x:v>Khôi phục dependency/fault injection nếu có; dùng bộ ID mới cho ca kế tiếp. Không xóa lịch sử/audit bằng API nghiệp vụ.</x:v>
      </x:c>
      <x:c r="S104" s="11" t="str"/>
      <x:c r="T104" s="11" t="str"/>
      <x:c r="U104" s="11" t="str"/>
      <x:c r="V104" s="11" t="str"/>
      <x:c r="W104" s="12"/>
      <x:c r="X104" s="10" t="str">
        <x:v>API03; MSD 6.4–6.5</x:v>
      </x:c>
    </x:row>
    <x:row r="105" ht="52" customHeight="1">
      <x:c r="A105" s="9" t="str">
        <x:v>TC13-DISP-004</x:v>
      </x:c>
      <x:c r="B105" s="9" t="str">
        <x:v>DISP</x:v>
      </x:c>
      <x:c r="C105" s="9" t="str">
        <x:v>Snapshot nearby không thay giữa trang</x:v>
      </x:c>
      <x:c r="D105" s="9" t="str">
        <x:v>P1</x:v>
      </x:c>
      <x:c r="E105" s="9" t="str">
        <x:v>DEFINED</x:v>
      </x:c>
      <x:c r="F105" s="9" t="str">
        <x:v>NOT_RUN</x:v>
      </x:c>
      <x:c r="G105" s="9" t="str"/>
      <x:c r="H105" s="9" t="str">
        <x:v>FUNCTIONAL</x:v>
      </x:c>
      <x:c r="I105" s="9" t="str">
        <x:v>API03 nearby; trip-requests; dispatch-operations</x:v>
      </x:c>
      <x:c r="J105" s="9" t="str">
        <x:v>BASE; năm Driver mẫu; đồng hồ server kiểm soát, offers còn hạn.</x:v>
      </x:c>
      <x:c r="K105" s="9" t="str">
        <x:v>Snapshot có hai Driver; sau trang đầu cập nhật GPS/trạng thái</x:v>
      </x:c>
      <x:c r="L105" s="9" t="str">
        <x:v>1. Đọc trang hai bằng cursor cũ trong thời hạn</x:v>
      </x:c>
      <x:c r="M105" s="9" t="str">
        <x:v>Giữ tập/thứ tự tại snapshotAt; không cam kết còn AVAILABLE; accept phải kiểm tra lại.</x:v>
      </x:c>
      <x:c r="N105" s="9" t="str">
        <x:v>HTTP request/response đã che token; bản ghi trước/sau tại DB sở hữu; correlationId và log/audit liên quan.</x:v>
      </x:c>
      <x:c r="O105" s="9" t="str">
        <x:v>FR24; FR04; NFR02</x:v>
      </x:c>
      <x:c r="P105" s="9" t="str">
        <x:v>UC18; UC03; AC16; AC03</x:v>
      </x:c>
      <x:c r="Q105" s="9" t="str">
        <x:v>13</x:v>
      </x:c>
      <x:c r="R105" s="9" t="str">
        <x:v>Khôi phục dependency/fault injection nếu có; dùng bộ ID mới cho ca kế tiếp. Không xóa lịch sử/audit bằng API nghiệp vụ.</x:v>
      </x:c>
      <x:c r="S105" s="11" t="str"/>
      <x:c r="T105" s="11" t="str"/>
      <x:c r="U105" s="11" t="str"/>
      <x:c r="V105" s="11" t="str"/>
      <x:c r="W105" s="12"/>
      <x:c r="X105" s="9" t="str">
        <x:v>API03; MSD 6.4–6.5</x:v>
      </x:c>
    </x:row>
    <x:row r="106" ht="52" customHeight="1">
      <x:c r="A106" s="10" t="str">
        <x:v>TC13-DISP-005</x:v>
      </x:c>
      <x:c r="B106" s="10" t="str">
        <x:v>DISP</x:v>
      </x:c>
      <x:c r="C106" s="10" t="str">
        <x:v>Snapshot mất/hết hạn</x:v>
      </x:c>
      <x:c r="D106" s="10" t="str">
        <x:v>P1</x:v>
      </x:c>
      <x:c r="E106" s="10" t="str">
        <x:v>DEFINED</x:v>
      </x:c>
      <x:c r="F106" s="10" t="str">
        <x:v>NOT_RUN</x:v>
      </x:c>
      <x:c r="G106" s="10" t="str"/>
      <x:c r="H106" s="10" t="str">
        <x:v>FUNCTIONAL</x:v>
      </x:c>
      <x:c r="I106" s="10" t="str">
        <x:v>API03 nearby; trip-requests; dispatch-operations</x:v>
      </x:c>
      <x:c r="J106" s="10" t="str">
        <x:v>BASE; năm Driver mẫu; đồng hồ server kiểm soát, offers còn hạn.</x:v>
      </x:c>
      <x:c r="K106" s="10" t="str">
        <x:v>Xóa snapshot test hoặc sau expiresAt</x:v>
      </x:c>
      <x:c r="L106" s="10" t="str">
        <x:v>1. Dùng nextCursor cũ</x:v>
      </x:c>
      <x:c r="M106" s="10" t="str">
        <x:v>400 CURSOR_EXPIRED theo hợp đồng hết hiệu lực; không âm thầm tạo tập mới dưới cursor cũ.</x:v>
      </x:c>
      <x:c r="N106" s="10" t="str">
        <x:v>HTTP request/response đã che token; bản ghi trước/sau tại DB sở hữu; correlationId và log/audit liên quan.</x:v>
      </x:c>
      <x:c r="O106" s="10" t="str">
        <x:v>FR24; FR04; NFR02</x:v>
      </x:c>
      <x:c r="P106" s="10" t="str">
        <x:v>UC18; UC03; AC16; AC03</x:v>
      </x:c>
      <x:c r="Q106" s="10" t="str">
        <x:v>13</x:v>
      </x:c>
      <x:c r="R106" s="10" t="str">
        <x:v>Khôi phục dependency/fault injection nếu có; dùng bộ ID mới cho ca kế tiếp. Không xóa lịch sử/audit bằng API nghiệp vụ.</x:v>
      </x:c>
      <x:c r="S106" s="11" t="str"/>
      <x:c r="T106" s="11" t="str"/>
      <x:c r="U106" s="11" t="str"/>
      <x:c r="V106" s="11" t="str"/>
      <x:c r="W106" s="12"/>
      <x:c r="X106" s="10" t="str">
        <x:v>API03; MSD 6.4–6.5</x:v>
      </x:c>
    </x:row>
    <x:row r="107" ht="52" customHeight="1">
      <x:c r="A107" s="9" t="str">
        <x:v>TC13-DISP-006</x:v>
      </x:c>
      <x:c r="B107" s="9" t="str">
        <x:v>DISP</x:v>
      </x:c>
      <x:c r="C107" s="9" t="str">
        <x:v>Biên GPS freshness</x:v>
      </x:c>
      <x:c r="D107" s="9" t="str">
        <x:v>P1</x:v>
      </x:c>
      <x:c r="E107" s="9" t="str">
        <x:v>DEFINED</x:v>
      </x:c>
      <x:c r="F107" s="9" t="str">
        <x:v>NOT_RUN</x:v>
      </x:c>
      <x:c r="G107" s="9" t="str"/>
      <x:c r="H107" s="9" t="str">
        <x:v>FUNCTIONAL</x:v>
      </x:c>
      <x:c r="I107" s="9" t="str">
        <x:v>API03 nearby; trip-requests; dispatch-operations</x:v>
      </x:c>
      <x:c r="J107" s="9" t="str">
        <x:v>BASE; năm Driver mẫu; đồng hồ server kiểm soát, offers còn hạn.</x:v>
      </x:c>
      <x:c r="K107" s="9" t="str">
        <x:v>recordedAt cách snapshotAt 30s và &gt;30s</x:v>
      </x:c>
      <x:c r="L107" s="9" t="str">
        <x:v>1. Tra cứu/accept từng fixture</x:v>
      </x:c>
      <x:c r="M107" s="9" t="str">
        <x:v>30s còn mới theo baseline; lớn hơn 30s bị loại; không dùng receivedAt để làm mới.</x:v>
      </x:c>
      <x:c r="N107" s="9" t="str">
        <x:v>HTTP request/response đã che token; bản ghi trước/sau tại DB sở hữu; correlationId và log/audit liên quan.</x:v>
      </x:c>
      <x:c r="O107" s="9" t="str">
        <x:v>FR24; FR04; NFR02</x:v>
      </x:c>
      <x:c r="P107" s="9" t="str">
        <x:v>UC18; UC03; AC16; AC03</x:v>
      </x:c>
      <x:c r="Q107" s="9" t="str">
        <x:v>13</x:v>
      </x:c>
      <x:c r="R107" s="9" t="str">
        <x:v>Khôi phục dependency/fault injection nếu có; dùng bộ ID mới cho ca kế tiếp. Không xóa lịch sử/audit bằng API nghiệp vụ.</x:v>
      </x:c>
      <x:c r="S107" s="11" t="str"/>
      <x:c r="T107" s="11" t="str"/>
      <x:c r="U107" s="11" t="str"/>
      <x:c r="V107" s="11" t="str"/>
      <x:c r="W107" s="12"/>
      <x:c r="X107" s="9" t="str">
        <x:v>API03; MSD 6.4–6.5</x:v>
      </x:c>
    </x:row>
    <x:row r="108" ht="52" customHeight="1">
      <x:c r="A108" s="10" t="str">
        <x:v>TC13-DISP-007</x:v>
      </x:c>
      <x:c r="B108" s="10" t="str">
        <x:v>DISP</x:v>
      </x:c>
      <x:c r="C108" s="10" t="str">
        <x:v>Nearby và dispatch khác bán kính</x:v>
      </x:c>
      <x:c r="D108" s="10" t="str">
        <x:v>P1</x:v>
      </x:c>
      <x:c r="E108" s="10" t="str">
        <x:v>NEEDS_DECISION</x:v>
      </x:c>
      <x:c r="F108" s="10" t="str">
        <x:v>NOT_RUN</x:v>
      </x:c>
      <x:c r="G108" s="10" t="str">
        <x:v>D10</x:v>
      </x:c>
      <x:c r="H108" s="10" t="str">
        <x:v>FUNCTIONAL</x:v>
      </x:c>
      <x:c r="I108" s="10" t="str">
        <x:v>API03 nearby; trip-requests; dispatch-operations</x:v>
      </x:c>
      <x:c r="J108" s="10" t="str">
        <x:v>BASE; năm Driver mẫu; đồng hồ server kiểm soát, offers còn hạn.</x:v>
      </x:c>
      <x:c r="K108" s="10" t="str">
        <x:v>D_A cách 3 km; nearby radius=1; dispatchRadius=5</x:v>
      </x:c>
      <x:c r="L108" s="10" t="str">
        <x:v>1. Tra cứu rồi tạo Booking</x:v>
      </x:c>
      <x:c r="M108" s="10" t="str">
        <x:v>Không có trong nearby 1 km nhưng có thể làm ứng viên dispatch 5 km nếu đủ điều kiện.</x:v>
      </x:c>
      <x:c r="N108" s="10" t="str">
        <x:v>HTTP request/response đã che token; bản ghi trước/sau tại DB sở hữu; correlationId và log/audit liên quan.</x:v>
      </x:c>
      <x:c r="O108" s="10" t="str">
        <x:v>FR24; FR04; NFR02</x:v>
      </x:c>
      <x:c r="P108" s="10" t="str">
        <x:v>UC18; UC03; AC16; AC03</x:v>
      </x:c>
      <x:c r="Q108" s="10" t="str">
        <x:v>13</x:v>
      </x:c>
      <x:c r="R108" s="10" t="str">
        <x:v>Khôi phục dependency/fault injection nếu có; dùng bộ ID mới cho ca kế tiếp. Không xóa lịch sử/audit bằng API nghiệp vụ.</x:v>
      </x:c>
      <x:c r="S108" s="11" t="str"/>
      <x:c r="T108" s="11" t="str"/>
      <x:c r="U108" s="11" t="str"/>
      <x:c r="V108" s="11" t="str"/>
      <x:c r="W108" s="12"/>
      <x:c r="X108" s="10" t="str">
        <x:v>API03; MSD 6.4–6.5</x:v>
      </x:c>
    </x:row>
    <x:row r="109" ht="52" customHeight="1">
      <x:c r="A109" s="9" t="str">
        <x:v>TC13-DISP-008</x:v>
      </x:c>
      <x:c r="B109" s="9" t="str">
        <x:v>DISP</x:v>
      </x:c>
      <x:c r="C109" s="9" t="str">
        <x:v>Một offer mỗi Booking</x:v>
      </x:c>
      <x:c r="D109" s="9" t="str">
        <x:v>P1</x:v>
      </x:c>
      <x:c r="E109" s="9" t="str">
        <x:v>DEFINED</x:v>
      </x:c>
      <x:c r="F109" s="9" t="str">
        <x:v>NOT_RUN</x:v>
      </x:c>
      <x:c r="G109" s="9" t="str"/>
      <x:c r="H109" s="9" t="str">
        <x:v>FUNCTIONAL</x:v>
      </x:c>
      <x:c r="I109" s="9" t="str">
        <x:v>API03 nearby; trip-requests; dispatch-operations</x:v>
      </x:c>
      <x:c r="J109" s="9" t="str">
        <x:v>BASE; năm Driver mẫu; đồng hồ server kiểm soát, offers còn hạn.</x:v>
      </x:c>
      <x:c r="K109" s="9" t="str">
        <x:v>Hai worker cùng job Dispatch</x:v>
      </x:c>
      <x:c r="L109" s="9" t="str">
        <x:v>1. Chạy đồng thời</x:v>
      </x:c>
      <x:c r="M109" s="9" t="str">
        <x:v>Một DispatchProcess và tối đa một TripRequest PENDING; attemptCount không tăng vì phát lặp event.</x:v>
      </x:c>
      <x:c r="N109" s="9" t="str">
        <x:v>HTTP request/response đã che token; bản ghi trước/sau tại DB sở hữu; correlationId và log/audit liên quan.</x:v>
      </x:c>
      <x:c r="O109" s="9" t="str">
        <x:v>FR04; FR06; FR07; NFR03</x:v>
      </x:c>
      <x:c r="P109" s="9" t="str">
        <x:v>UC03; AC03</x:v>
      </x:c>
      <x:c r="Q109" s="9" t="str">
        <x:v>15</x:v>
      </x:c>
      <x:c r="R109" s="9" t="str">
        <x:v>Khôi phục dependency/fault injection nếu có; dùng bộ ID mới cho ca kế tiếp. Không xóa lịch sử/audit bằng API nghiệp vụ.</x:v>
      </x:c>
      <x:c r="S109" s="11" t="str"/>
      <x:c r="T109" s="11" t="str"/>
      <x:c r="U109" s="11" t="str"/>
      <x:c r="V109" s="11" t="str"/>
      <x:c r="W109" s="12"/>
      <x:c r="X109" s="9" t="str">
        <x:v>API03; MSD 6.4–6.5</x:v>
      </x:c>
    </x:row>
    <x:row r="110" ht="52" customHeight="1">
      <x:c r="A110" s="10" t="str">
        <x:v>TC13-DISP-009</x:v>
      </x:c>
      <x:c r="B110" s="10" t="str">
        <x:v>DISP</x:v>
      </x:c>
      <x:c r="C110" s="10" t="str">
        <x:v>Không mời lại Driver</x:v>
      </x:c>
      <x:c r="D110" s="10" t="str">
        <x:v>P1</x:v>
      </x:c>
      <x:c r="E110" s="10" t="str">
        <x:v>DEFINED</x:v>
      </x:c>
      <x:c r="F110" s="10" t="str">
        <x:v>NOT_RUN</x:v>
      </x:c>
      <x:c r="G110" s="10" t="str"/>
      <x:c r="H110" s="10" t="str">
        <x:v>FUNCTIONAL</x:v>
      </x:c>
      <x:c r="I110" s="10" t="str">
        <x:v>API03 nearby; trip-requests; dispatch-operations</x:v>
      </x:c>
      <x:c r="J110" s="10" t="str">
        <x:v>BASE; năm Driver mẫu; đồng hồ server kiểm soát, offers còn hạn.</x:v>
      </x:c>
      <x:c r="K110" s="10" t="str">
        <x:v>Driver đầu từ chối; chỉ còn ứng viên đã thử</x:v>
      </x:c>
      <x:c r="L110" s="10" t="str">
        <x:v>1. Tiếp tục worker</x:v>
      </x:c>
      <x:c r="M110" s="10" t="str">
        <x:v>Không gửi lại cùng Driver trong process; không kéo dài deadline.</x:v>
      </x:c>
      <x:c r="N110" s="10" t="str">
        <x:v>HTTP request/response đã che token; bản ghi trước/sau tại DB sở hữu; correlationId và log/audit liên quan.</x:v>
      </x:c>
      <x:c r="O110" s="10" t="str">
        <x:v>FR04; FR06; FR07; NFR03</x:v>
      </x:c>
      <x:c r="P110" s="10" t="str">
        <x:v>UC03; AC03</x:v>
      </x:c>
      <x:c r="Q110" s="10" t="str">
        <x:v>15</x:v>
      </x:c>
      <x:c r="R110" s="10" t="str">
        <x:v>Khôi phục dependency/fault injection nếu có; dùng bộ ID mới cho ca kế tiếp. Không xóa lịch sử/audit bằng API nghiệp vụ.</x:v>
      </x:c>
      <x:c r="S110" s="11" t="str"/>
      <x:c r="T110" s="11" t="str"/>
      <x:c r="U110" s="11" t="str"/>
      <x:c r="V110" s="11" t="str"/>
      <x:c r="W110" s="12"/>
      <x:c r="X110" s="10" t="str">
        <x:v>API03; MSD 6.4–6.5</x:v>
      </x:c>
    </x:row>
    <x:row r="111" ht="52" customHeight="1">
      <x:c r="A111" s="9" t="str">
        <x:v>TC13-DISP-010</x:v>
      </x:c>
      <x:c r="B111" s="9" t="str">
        <x:v>DISP</x:v>
      </x:c>
      <x:c r="C111" s="9" t="str">
        <x:v>Giới hạn năm lời mời</x:v>
      </x:c>
      <x:c r="D111" s="9" t="str">
        <x:v>P1</x:v>
      </x:c>
      <x:c r="E111" s="9" t="str">
        <x:v>NEEDS_DECISION</x:v>
      </x:c>
      <x:c r="F111" s="9" t="str">
        <x:v>NOT_RUN</x:v>
      </x:c>
      <x:c r="G111" s="9" t="str">
        <x:v>D10</x:v>
      </x:c>
      <x:c r="H111" s="9" t="str">
        <x:v>FUNCTIONAL</x:v>
      </x:c>
      <x:c r="I111" s="9" t="str">
        <x:v>API03 nearby; trip-requests; dispatch-operations</x:v>
      </x:c>
      <x:c r="J111" s="9" t="str">
        <x:v>BASE; năm Driver mẫu; đồng hồ server kiểm soát, offers còn hạn.</x:v>
      </x:c>
      <x:c r="K111" s="9" t="str">
        <x:v>Năm ứng viên đều từ chối/hết hạn</x:v>
      </x:c>
      <x:c r="L111" s="9" t="str">
        <x:v>1. Chạy dispatch đến hết lượt</x:v>
      </x:c>
      <x:c r="M111" s="9" t="str">
        <x:v>Tối đa 5 offer; NO_DRIVER_AVAILABLE/NO_DRIVER_FOUND chỉ sau xác minh không còn assignment chưa rõ và release xong.</x:v>
      </x:c>
      <x:c r="N111" s="9" t="str">
        <x:v>HTTP request/response đã che token; bản ghi trước/sau tại DB sở hữu; correlationId và log/audit liên quan.</x:v>
      </x:c>
      <x:c r="O111" s="9" t="str">
        <x:v>FR04; FR06; FR07; NFR03</x:v>
      </x:c>
      <x:c r="P111" s="9" t="str">
        <x:v>UC03; AC03</x:v>
      </x:c>
      <x:c r="Q111" s="9" t="str">
        <x:v>15</x:v>
      </x:c>
      <x:c r="R111" s="9" t="str">
        <x:v>Khôi phục dependency/fault injection nếu có; dùng bộ ID mới cho ca kế tiếp. Không xóa lịch sử/audit bằng API nghiệp vụ.</x:v>
      </x:c>
      <x:c r="S111" s="11" t="str"/>
      <x:c r="T111" s="11" t="str"/>
      <x:c r="U111" s="11" t="str"/>
      <x:c r="V111" s="11" t="str"/>
      <x:c r="W111" s="12"/>
      <x:c r="X111" s="9" t="str">
        <x:v>API03; MSD 6.4–6.5</x:v>
      </x:c>
    </x:row>
    <x:row r="112" ht="52" customHeight="1">
      <x:c r="A112" s="10" t="str">
        <x:v>TC13-DISP-011</x:v>
      </x:c>
      <x:c r="B112" s="10" t="str">
        <x:v>DISP</x:v>
      </x:c>
      <x:c r="C112" s="10" t="str">
        <x:v>Biên hạn accept</x:v>
      </x:c>
      <x:c r="D112" s="10" t="str">
        <x:v>P1</x:v>
      </x:c>
      <x:c r="E112" s="10" t="str">
        <x:v>DEFINED</x:v>
      </x:c>
      <x:c r="F112" s="10" t="str">
        <x:v>NOT_RUN</x:v>
      </x:c>
      <x:c r="G112" s="10" t="str"/>
      <x:c r="H112" s="10" t="str">
        <x:v>FUNCTIONAL</x:v>
      </x:c>
      <x:c r="I112" s="10" t="str">
        <x:v>API03 nearby; trip-requests; dispatch-operations</x:v>
      </x:c>
      <x:c r="J112" s="10" t="str">
        <x:v>BASE; năm Driver mẫu; đồng hồ server kiểm soát, offers còn hạn.</x:v>
      </x:c>
      <x:c r="K112" s="10" t="str">
        <x:v>Thời gian server trước expiresAt, bằng expiresAt</x:v>
      </x:c>
      <x:c r="L112" s="10" t="str">
        <x:v>1. Accept trên hai offer độc lập</x:v>
      </x:c>
      <x:c r="M112" s="10" t="str">
        <x:v>Trước hạn được xét; tại hạn không nhận mới. Client clock không gia hạn offer.</x:v>
      </x:c>
      <x:c r="N112" s="10" t="str">
        <x:v>HTTP request/response đã che token; bản ghi trước/sau tại DB sở hữu; correlationId và log/audit liên quan.</x:v>
      </x:c>
      <x:c r="O112" s="10" t="str">
        <x:v>FR05; FR06; FR28; NFR02; NFR03</x:v>
      </x:c>
      <x:c r="P112" s="10" t="str">
        <x:v>UC05; UC22; AC03; AC21</x:v>
      </x:c>
      <x:c r="Q112" s="10" t="str">
        <x:v>16</x:v>
      </x:c>
      <x:c r="R112" s="10" t="str">
        <x:v>Khôi phục dependency/fault injection nếu có; dùng bộ ID mới cho ca kế tiếp. Không xóa lịch sử/audit bằng API nghiệp vụ.</x:v>
      </x:c>
      <x:c r="S112" s="11" t="str"/>
      <x:c r="T112" s="11" t="str"/>
      <x:c r="U112" s="11" t="str"/>
      <x:c r="V112" s="11" t="str"/>
      <x:c r="W112" s="12"/>
      <x:c r="X112" s="10" t="str">
        <x:v>API03; MSD 6.4–6.5</x:v>
      </x:c>
    </x:row>
    <x:row r="113" ht="52" customHeight="1">
      <x:c r="A113" s="9" t="str">
        <x:v>TC13-DISP-012</x:v>
      </x:c>
      <x:c r="B113" s="9" t="str">
        <x:v>DISP</x:v>
      </x:c>
      <x:c r="C113" s="9" t="str">
        <x:v>Accept đúng hạn nhưng Saga chậm</x:v>
      </x:c>
      <x:c r="D113" s="9" t="str">
        <x:v>P1</x:v>
      </x:c>
      <x:c r="E113" s="9" t="str">
        <x:v>NEEDS_DECISION</x:v>
      </x:c>
      <x:c r="F113" s="9" t="str">
        <x:v>NOT_RUN</x:v>
      </x:c>
      <x:c r="G113" s="9" t="str">
        <x:v>D06</x:v>
      </x:c>
      <x:c r="H113" s="9" t="str">
        <x:v>FUNCTIONAL</x:v>
      </x:c>
      <x:c r="I113" s="9" t="str">
        <x:v>API03 nearby; trip-requests; dispatch-operations</x:v>
      </x:c>
      <x:c r="J113" s="9" t="str">
        <x:v>BASE; năm Driver mẫu; đồng hồ server kiểm soát, offers còn hạn.</x:v>
      </x:c>
      <x:c r="K113" s="9" t="str">
        <x:v>Giành quyền trước deadline; trì hoãn RPC đến quá deadline</x:v>
      </x:c>
      <x:c r="L113" s="9" t="str">
        <x:v>1. Cho Saga tiếp tục</x:v>
      </x:c>
      <x:c r="M113" s="9" t="str">
        <x:v>Không đổi EXPIRED chỉ vì phục hồi lâu; không phát offer mới khi chưa rõ; dùng cùng assignmentId.</x:v>
      </x:c>
      <x:c r="N113" s="9" t="str">
        <x:v>HTTP request/response đã che token; bản ghi trước/sau tại DB sở hữu; correlationId và log/audit liên quan.</x:v>
      </x:c>
      <x:c r="O113" s="9" t="str">
        <x:v>FR05; FR06; FR28; NFR02; NFR03</x:v>
      </x:c>
      <x:c r="P113" s="9" t="str">
        <x:v>UC05; UC22; AC03; AC21</x:v>
      </x:c>
      <x:c r="Q113" s="9" t="str">
        <x:v>16</x:v>
      </x:c>
      <x:c r="R113" s="9" t="str">
        <x:v>Khôi phục dependency/fault injection nếu có; dùng bộ ID mới cho ca kế tiếp. Không xóa lịch sử/audit bằng API nghiệp vụ.</x:v>
      </x:c>
      <x:c r="S113" s="11" t="str"/>
      <x:c r="T113" s="11" t="str"/>
      <x:c r="U113" s="11" t="str"/>
      <x:c r="V113" s="11" t="str"/>
      <x:c r="W113" s="12"/>
      <x:c r="X113" s="9" t="str">
        <x:v>API03; MSD 6.4–6.5</x:v>
      </x:c>
    </x:row>
    <x:row r="114" ht="52" customHeight="1">
      <x:c r="A114" s="10" t="str">
        <x:v>TC13-DISP-013</x:v>
      </x:c>
      <x:c r="B114" s="10" t="str">
        <x:v>DISP</x:v>
      </x:c>
      <x:c r="C114" s="10" t="str">
        <x:v>Hai Booking tranh Driver/Vehicle</x:v>
      </x:c>
      <x:c r="D114" s="10" t="str">
        <x:v>P1</x:v>
      </x:c>
      <x:c r="E114" s="10" t="str">
        <x:v>NEEDS_DECISION</x:v>
      </x:c>
      <x:c r="F114" s="10" t="str">
        <x:v>NOT_RUN</x:v>
      </x:c>
      <x:c r="G114" s="10" t="str">
        <x:v>D06</x:v>
      </x:c>
      <x:c r="H114" s="10" t="str">
        <x:v>FUNCTIONAL</x:v>
      </x:c>
      <x:c r="I114" s="10" t="str">
        <x:v>API03 nearby; trip-requests; dispatch-operations</x:v>
      </x:c>
      <x:c r="J114" s="10" t="str">
        <x:v>BASE; năm Driver mẫu; đồng hồ server kiểm soát, offers còn hạn.</x:v>
      </x:c>
      <x:c r="K114" s="10" t="str">
        <x:v>Hai offer hợp lệ cho D_A và V_A</x:v>
      </x:c>
      <x:c r="L114" s="10" t="str">
        <x:v>1. Accept đồng thời</x:v>
      </x:c>
      <x:c r="M114" s="10" t="str">
        <x:v>Chỉ một reservation thành công; tối đa một Trip hoạt động; Booking còn lại tiếp tục an toàn.</x:v>
      </x:c>
      <x:c r="N114" s="10" t="str">
        <x:v>HTTP request/response đã che token; bản ghi trước/sau tại DB sở hữu; correlationId và log/audit liên quan.</x:v>
      </x:c>
      <x:c r="O114" s="10" t="str">
        <x:v>FR05; FR06; FR28; NFR02; NFR03</x:v>
      </x:c>
      <x:c r="P114" s="10" t="str">
        <x:v>UC05; UC22; AC03; AC21</x:v>
      </x:c>
      <x:c r="Q114" s="10" t="str">
        <x:v>16</x:v>
      </x:c>
      <x:c r="R114" s="10" t="str">
        <x:v>Khôi phục dependency/fault injection nếu có; dùng bộ ID mới cho ca kế tiếp. Không xóa lịch sử/audit bằng API nghiệp vụ.</x:v>
      </x:c>
      <x:c r="S114" s="11" t="str"/>
      <x:c r="T114" s="11" t="str"/>
      <x:c r="U114" s="11" t="str"/>
      <x:c r="V114" s="11" t="str"/>
      <x:c r="W114" s="12"/>
      <x:c r="X114" s="10" t="str">
        <x:v>API03; MSD 6.4–6.5</x:v>
      </x:c>
    </x:row>
    <x:row r="115" ht="52" customHeight="1">
      <x:c r="A115" s="9" t="str">
        <x:v>TC13-DISP-014</x:v>
      </x:c>
      <x:c r="B115" s="9" t="str">
        <x:v>DISP</x:v>
      </x:c>
      <x:c r="C115" s="9" t="str">
        <x:v>Replay accept sau Trip cũ đóng</x:v>
      </x:c>
      <x:c r="D115" s="9" t="str">
        <x:v>P1</x:v>
      </x:c>
      <x:c r="E115" s="9" t="str">
        <x:v>DEFINED</x:v>
      </x:c>
      <x:c r="F115" s="9" t="str">
        <x:v>NOT_RUN</x:v>
      </x:c>
      <x:c r="G115" s="9" t="str"/>
      <x:c r="H115" s="9" t="str">
        <x:v>FUNCTIONAL</x:v>
      </x:c>
      <x:c r="I115" s="9" t="str">
        <x:v>API03 nearby; trip-requests; dispatch-operations</x:v>
      </x:c>
      <x:c r="J115" s="9" t="str">
        <x:v>BASE; năm Driver mẫu; đồng hồ server kiểm soát, offers còn hạn.</x:v>
      </x:c>
      <x:c r="K115" s="9" t="str">
        <x:v>Offer đã ACCEPTED; D_A đang chạy Trip mới</x:v>
      </x:c>
      <x:c r="L115" s="9" t="str">
        <x:v>1. POST accept lại offer cũ</x:v>
      </x:c>
      <x:c r="M115" s="9" t="str">
        <x:v>200 kết quả cũ; không tạo Trip, không đổi trạng thái hay giải phóng Trip mới.</x:v>
      </x:c>
      <x:c r="N115" s="9" t="str">
        <x:v>HTTP request/response đã che token; bản ghi trước/sau tại DB sở hữu; correlationId và log/audit liên quan.</x:v>
      </x:c>
      <x:c r="O115" s="9" t="str">
        <x:v>FR05; FR06; FR28; NFR02; NFR03</x:v>
      </x:c>
      <x:c r="P115" s="9" t="str">
        <x:v>UC05; UC22; AC03; AC21</x:v>
      </x:c>
      <x:c r="Q115" s="9" t="str">
        <x:v>16</x:v>
      </x:c>
      <x:c r="R115" s="9" t="str">
        <x:v>Khôi phục dependency/fault injection nếu có; dùng bộ ID mới cho ca kế tiếp. Không xóa lịch sử/audit bằng API nghiệp vụ.</x:v>
      </x:c>
      <x:c r="S115" s="11" t="str"/>
      <x:c r="T115" s="11" t="str"/>
      <x:c r="U115" s="11" t="str"/>
      <x:c r="V115" s="11" t="str"/>
      <x:c r="W115" s="12"/>
      <x:c r="X115" s="9" t="str">
        <x:v>API03; MSD 6.4–6.5</x:v>
      </x:c>
    </x:row>
    <x:row r="116" ht="52" customHeight="1">
      <x:c r="A116" s="10" t="str">
        <x:v>TC13-DISP-015</x:v>
      </x:c>
      <x:c r="B116" s="10" t="str">
        <x:v>DISP</x:v>
      </x:c>
      <x:c r="C116" s="10" t="str">
        <x:v>Reject sau accept đang xử lý</x:v>
      </x:c>
      <x:c r="D116" s="10" t="str">
        <x:v>P1</x:v>
      </x:c>
      <x:c r="E116" s="10" t="str">
        <x:v>DEFINED</x:v>
      </x:c>
      <x:c r="F116" s="10" t="str">
        <x:v>NOT_RUN</x:v>
      </x:c>
      <x:c r="G116" s="10" t="str"/>
      <x:c r="H116" s="10" t="str">
        <x:v>FUNCTIONAL</x:v>
      </x:c>
      <x:c r="I116" s="10" t="str">
        <x:v>API03 nearby; trip-requests; dispatch-operations</x:v>
      </x:c>
      <x:c r="J116" s="10" t="str">
        <x:v>BASE; năm Driver mẫu; đồng hồ server kiểm soát, offers còn hạn.</x:v>
      </x:c>
      <x:c r="K116" s="10" t="str">
        <x:v>AssignmentSaga PROCESSING</x:v>
      </x:c>
      <x:c r="L116" s="10" t="str">
        <x:v>1. POST reject</x:v>
      </x:c>
      <x:c r="M116" s="10" t="str">
        <x:v>409 REQUEST_IN_PROGRESS; reject không biến thành hủy Saga.</x:v>
      </x:c>
      <x:c r="N116" s="10" t="str">
        <x:v>HTTP request/response đã che token; bản ghi trước/sau tại DB sở hữu; correlationId và log/audit liên quan.</x:v>
      </x:c>
      <x:c r="O116" s="10" t="str">
        <x:v>FR05; FR06; FR28; NFR02; NFR03</x:v>
      </x:c>
      <x:c r="P116" s="10" t="str">
        <x:v>UC05; UC22; AC03; AC21</x:v>
      </x:c>
      <x:c r="Q116" s="10" t="str">
        <x:v>16</x:v>
      </x:c>
      <x:c r="R116" s="10" t="str">
        <x:v>Khôi phục dependency/fault injection nếu có; dùng bộ ID mới cho ca kế tiếp. Không xóa lịch sử/audit bằng API nghiệp vụ.</x:v>
      </x:c>
      <x:c r="S116" s="11" t="str"/>
      <x:c r="T116" s="11" t="str"/>
      <x:c r="U116" s="11" t="str"/>
      <x:c r="V116" s="11" t="str"/>
      <x:c r="W116" s="12"/>
      <x:c r="X116" s="10" t="str">
        <x:v>API03; MSD 6.4–6.5</x:v>
      </x:c>
    </x:row>
    <x:row r="117" ht="52" customHeight="1">
      <x:c r="A117" s="9" t="str">
        <x:v>TC13-DISP-016</x:v>
      </x:c>
      <x:c r="B117" s="9" t="str">
        <x:v>DISP</x:v>
      </x:c>
      <x:c r="C117" s="9" t="str">
        <x:v>Reject replay</x:v>
      </x:c>
      <x:c r="D117" s="9" t="str">
        <x:v>P1</x:v>
      </x:c>
      <x:c r="E117" s="9" t="str">
        <x:v>DEFINED</x:v>
      </x:c>
      <x:c r="F117" s="9" t="str">
        <x:v>NOT_RUN</x:v>
      </x:c>
      <x:c r="G117" s="9" t="str"/>
      <x:c r="H117" s="9" t="str">
        <x:v>FUNCTIONAL</x:v>
      </x:c>
      <x:c r="I117" s="9" t="str">
        <x:v>API03 nearby; trip-requests; dispatch-operations</x:v>
      </x:c>
      <x:c r="J117" s="9" t="str">
        <x:v>BASE; năm Driver mẫu; đồng hồ server kiểm soát, offers còn hạn.</x:v>
      </x:c>
      <x:c r="K117" s="9" t="str">
        <x:v>Offer đã REJECTED; reason mới</x:v>
      </x:c>
      <x:c r="L117" s="9" t="str">
        <x:v>1. POST reject lại</x:v>
      </x:c>
      <x:c r="M117" s="9" t="str">
        <x:v>200 kết quả gốc; không đổi resolvedAt/reason hoặc tạo job mới.</x:v>
      </x:c>
      <x:c r="N117" s="9" t="str">
        <x:v>HTTP request/response đã che token; bản ghi trước/sau tại DB sở hữu; correlationId và log/audit liên quan.</x:v>
      </x:c>
      <x:c r="O117" s="9" t="str">
        <x:v>FR05; FR06; FR28; NFR02; NFR03</x:v>
      </x:c>
      <x:c r="P117" s="9" t="str">
        <x:v>UC05; UC22; AC03; AC21</x:v>
      </x:c>
      <x:c r="Q117" s="9" t="str">
        <x:v>16</x:v>
      </x:c>
      <x:c r="R117" s="9" t="str">
        <x:v>Khôi phục dependency/fault injection nếu có; dùng bộ ID mới cho ca kế tiếp. Không xóa lịch sử/audit bằng API nghiệp vụ.</x:v>
      </x:c>
      <x:c r="S117" s="11" t="str"/>
      <x:c r="T117" s="11" t="str"/>
      <x:c r="U117" s="11" t="str"/>
      <x:c r="V117" s="11" t="str"/>
      <x:c r="W117" s="12"/>
      <x:c r="X117" s="9" t="str">
        <x:v>API03; MSD 6.4–6.5</x:v>
      </x:c>
    </x:row>
    <x:row r="118" ht="52" customHeight="1">
      <x:c r="A118" s="10" t="str">
        <x:v>TC13-DISP-017</x:v>
      </x:c>
      <x:c r="B118" s="10" t="str">
        <x:v>DISP</x:v>
      </x:c>
      <x:c r="C118" s="10" t="str">
        <x:v>Offer của Driver khác</x:v>
      </x:c>
      <x:c r="D118" s="10" t="str">
        <x:v>P1</x:v>
      </x:c>
      <x:c r="E118" s="10" t="str">
        <x:v>DEFINED</x:v>
      </x:c>
      <x:c r="F118" s="10" t="str">
        <x:v>NOT_RUN</x:v>
      </x:c>
      <x:c r="G118" s="10" t="str"/>
      <x:c r="H118" s="10" t="str">
        <x:v>FUNCTIONAL</x:v>
      </x:c>
      <x:c r="I118" s="10" t="str">
        <x:v>API03 nearby; trip-requests; dispatch-operations</x:v>
      </x:c>
      <x:c r="J118" s="10" t="str">
        <x:v>BASE; năm Driver mẫu; đồng hồ server kiểm soát, offers còn hạn.</x:v>
      </x:c>
      <x:c r="K118" s="10" t="str">
        <x:v>D_B token; offer D_A</x:v>
      </x:c>
      <x:c r="L118" s="10" t="str">
        <x:v>1. GET/accept/reject offer</x:v>
      </x:c>
      <x:c r="M118" s="10" t="str">
        <x:v>404; không lộ điểm đón/đến hoặc kết quả.</x:v>
      </x:c>
      <x:c r="N118" s="10" t="str">
        <x:v>HTTP request/response đã che token; bản ghi trước/sau tại DB sở hữu; correlationId và log/audit liên quan.</x:v>
      </x:c>
      <x:c r="O118" s="10" t="str">
        <x:v>FR05; FR06; FR28; NFR02; NFR03</x:v>
      </x:c>
      <x:c r="P118" s="10" t="str">
        <x:v>UC05; UC22; AC03; AC21</x:v>
      </x:c>
      <x:c r="Q118" s="10" t="str">
        <x:v>16</x:v>
      </x:c>
      <x:c r="R118" s="10" t="str">
        <x:v>Khôi phục dependency/fault injection nếu có; dùng bộ ID mới cho ca kế tiếp. Không xóa lịch sử/audit bằng API nghiệp vụ.</x:v>
      </x:c>
      <x:c r="S118" s="11" t="str"/>
      <x:c r="T118" s="11" t="str"/>
      <x:c r="U118" s="11" t="str"/>
      <x:c r="V118" s="11" t="str"/>
      <x:c r="W118" s="12"/>
      <x:c r="X118" s="10" t="str">
        <x:v>API03; MSD 6.4–6.5</x:v>
      </x:c>
    </x:row>
    <x:row r="119" ht="52" customHeight="1">
      <x:c r="A119" s="9" t="str">
        <x:v>TC13-DISP-018</x:v>
      </x:c>
      <x:c r="B119" s="9" t="str">
        <x:v>DISP</x:v>
      </x:c>
      <x:c r="C119" s="9" t="str">
        <x:v>Danh sách lời mời khi bị giữ</x:v>
      </x:c>
      <x:c r="D119" s="9" t="str">
        <x:v>P1</x:v>
      </x:c>
      <x:c r="E119" s="9" t="str">
        <x:v>DEFINED</x:v>
      </x:c>
      <x:c r="F119" s="9" t="str">
        <x:v>NOT_RUN</x:v>
      </x:c>
      <x:c r="G119" s="9" t="str"/>
      <x:c r="H119" s="9" t="str">
        <x:v>FUNCTIONAL</x:v>
      </x:c>
      <x:c r="I119" s="9" t="str">
        <x:v>API03 nearby; trip-requests; dispatch-operations</x:v>
      </x:c>
      <x:c r="J119" s="9" t="str">
        <x:v>BASE; năm Driver mẫu; đồng hồ server kiểm soát, offers còn hạn.</x:v>
      </x:c>
      <x:c r="K119" s="9" t="str">
        <x:v>D_A có nhiều offer; một reservation vừa thắng</x:v>
      </x:c>
      <x:c r="L119" s="9" t="str">
        <x:v>1. GET drivers/me/trip-requests</x:v>
      </x:c>
      <x:c r="M119" s="9" t="str">
        <x:v>Không hiện offer như có thể nhận; hàng rào reservation chặn accept ngay cả khi event thu hồi còn trễ.</x:v>
      </x:c>
      <x:c r="N119" s="9" t="str">
        <x:v>HTTP request/response đã che token; bản ghi trước/sau tại DB sở hữu; correlationId và log/audit liên quan.</x:v>
      </x:c>
      <x:c r="O119" s="9" t="str">
        <x:v>FR05; FR06; FR28; NFR02; NFR03</x:v>
      </x:c>
      <x:c r="P119" s="9" t="str">
        <x:v>UC05; UC22; AC03; AC21</x:v>
      </x:c>
      <x:c r="Q119" s="9" t="str">
        <x:v>16</x:v>
      </x:c>
      <x:c r="R119" s="9" t="str">
        <x:v>Khôi phục dependency/fault injection nếu có; dùng bộ ID mới cho ca kế tiếp. Không xóa lịch sử/audit bằng API nghiệp vụ.</x:v>
      </x:c>
      <x:c r="S119" s="11" t="str"/>
      <x:c r="T119" s="11" t="str"/>
      <x:c r="U119" s="11" t="str"/>
      <x:c r="V119" s="11" t="str"/>
      <x:c r="W119" s="12"/>
      <x:c r="X119" s="9" t="str">
        <x:v>API03; MSD 6.4–6.5</x:v>
      </x:c>
    </x:row>
    <x:row r="120" ht="52" customHeight="1">
      <x:c r="A120" s="10" t="str">
        <x:v>TC13-DISP-019</x:v>
      </x:c>
      <x:c r="B120" s="10" t="str">
        <x:v>DISP</x:v>
      </x:c>
      <x:c r="C120" s="10" t="str">
        <x:v>Lỗi Driver RPC không là hết ứng viên</x:v>
      </x:c>
      <x:c r="D120" s="10" t="str">
        <x:v>P1</x:v>
      </x:c>
      <x:c r="E120" s="10" t="str">
        <x:v>DEFINED</x:v>
      </x:c>
      <x:c r="F120" s="10" t="str">
        <x:v>NOT_RUN</x:v>
      </x:c>
      <x:c r="G120" s="10" t="str"/>
      <x:c r="H120" s="10" t="str">
        <x:v>FUNCTIONAL</x:v>
      </x:c>
      <x:c r="I120" s="10" t="str">
        <x:v>API03 nearby; trip-requests; dispatch-operations</x:v>
      </x:c>
      <x:c r="J120" s="10" t="str">
        <x:v>BASE; năm Driver mẫu; đồng hồ server kiểm soát, offers còn hạn.</x:v>
      </x:c>
      <x:c r="K120" s="10" t="str">
        <x:v>Driver service unavailable</x:v>
      </x:c>
      <x:c r="L120" s="10" t="str">
        <x:v>1. Chạy dispatch</x:v>
      </x:c>
      <x:c r="M120" s="10" t="str">
        <x:v>Không ghi NO_ELIGIBLE_DRIVER do lỗi kỹ thuật; lưu công việc phục hồi, cảnh báo và retry.</x:v>
      </x:c>
      <x:c r="N120" s="10" t="str">
        <x:v>HTTP request/response đã che token; bản ghi trước/sau tại DB sở hữu; correlationId và log/audit liên quan.</x:v>
      </x:c>
      <x:c r="O120" s="10" t="str">
        <x:v>FR04; FR07; NFR03</x:v>
      </x:c>
      <x:c r="P120" s="10" t="str">
        <x:v>UC03; AC03</x:v>
      </x:c>
      <x:c r="Q120" s="10" t="str">
        <x:v>15</x:v>
      </x:c>
      <x:c r="R120" s="10" t="str">
        <x:v>Khôi phục dependency/fault injection nếu có; dùng bộ ID mới cho ca kế tiếp. Không xóa lịch sử/audit bằng API nghiệp vụ.</x:v>
      </x:c>
      <x:c r="S120" s="11" t="str"/>
      <x:c r="T120" s="11" t="str"/>
      <x:c r="U120" s="11" t="str"/>
      <x:c r="V120" s="11" t="str"/>
      <x:c r="W120" s="12"/>
      <x:c r="X120" s="10" t="str">
        <x:v>API03; MSD 6.4–6.5</x:v>
      </x:c>
    </x:row>
    <x:row r="121" ht="52" customHeight="1">
      <x:c r="A121" s="9" t="str">
        <x:v>TC13-DISP-020</x:v>
      </x:c>
      <x:c r="B121" s="9" t="str">
        <x:v>DISP</x:v>
      </x:c>
      <x:c r="C121" s="9" t="str">
        <x:v>Dispatch operation giới hạn role</x:v>
      </x:c>
      <x:c r="D121" s="9" t="str">
        <x:v>P1</x:v>
      </x:c>
      <x:c r="E121" s="9" t="str">
        <x:v>NEEDS_DECISION</x:v>
      </x:c>
      <x:c r="F121" s="9" t="str">
        <x:v>NOT_RUN</x:v>
      </x:c>
      <x:c r="G121" s="9" t="str">
        <x:v>D05</x:v>
      </x:c>
      <x:c r="H121" s="9" t="str">
        <x:v>FUNCTIONAL</x:v>
      </x:c>
      <x:c r="I121" s="9" t="str">
        <x:v>API03 nearby; trip-requests; dispatch-operations</x:v>
      </x:c>
      <x:c r="J121" s="9" t="str">
        <x:v>BASE; năm Driver mẫu; đồng hồ server kiểm soát, offers còn hạn.</x:v>
      </x:c>
      <x:c r="K121" s="9" t="str">
        <x:v>AssignmentOperation của D_A</x:v>
      </x:c>
      <x:c r="L121" s="9" t="str">
        <x:v>1. GET bằng D_A, D_B, C_A, O_A</x:v>
      </x:c>
      <x:c r="M121" s="9" t="str">
        <x:v>D_A được đọc; D_B 404; CUSTOMER/OPERATOR 403 tại endpoint này.</x:v>
      </x:c>
      <x:c r="N121" s="9" t="str">
        <x:v>HTTP request/response đã che token; bản ghi trước/sau tại DB sở hữu; correlationId và log/audit liên quan.</x:v>
      </x:c>
      <x:c r="O121" s="9" t="str">
        <x:v>FR28; NFR04; NFR18</x:v>
      </x:c>
      <x:c r="P121" s="9" t="str">
        <x:v>UC22; AC21</x:v>
      </x:c>
      <x:c r="Q121" s="9" t="str">
        <x:v>16</x:v>
      </x:c>
      <x:c r="R121" s="9" t="str">
        <x:v>Khôi phục dependency/fault injection nếu có; dùng bộ ID mới cho ca kế tiếp. Không xóa lịch sử/audit bằng API nghiệp vụ.</x:v>
      </x:c>
      <x:c r="S121" s="11" t="str"/>
      <x:c r="T121" s="11" t="str"/>
      <x:c r="U121" s="11" t="str"/>
      <x:c r="V121" s="11" t="str"/>
      <x:c r="W121" s="12"/>
      <x:c r="X121" s="9" t="str">
        <x:v>API03; MSD 6.4–6.5</x:v>
      </x:c>
    </x:row>
    <x:row r="122" ht="52" customHeight="1">
      <x:c r="A122" s="10" t="str">
        <x:v>TC13-TRIP-001</x:v>
      </x:c>
      <x:c r="B122" s="10" t="str">
        <x:v>TRIP</x:v>
      </x:c>
      <x:c r="C122" s="10" t="str">
        <x:v>Chuyển trạng thái đúng thứ tự</x:v>
      </x:c>
      <x:c r="D122" s="10" t="str">
        <x:v>P1</x:v>
      </x:c>
      <x:c r="E122" s="10" t="str">
        <x:v>DEFINED</x:v>
      </x:c>
      <x:c r="F122" s="10" t="str">
        <x:v>NOT_RUN</x:v>
      </x:c>
      <x:c r="G122" s="10" t="str"/>
      <x:c r="H122" s="10" t="str">
        <x:v>FUNCTIONAL</x:v>
      </x:c>
      <x:c r="I122" s="10" t="str">
        <x:v>API04 trips/location/closure; API07 incidents/resolve-error</x:v>
      </x:c>
      <x:c r="J122" s="10" t="str">
        <x:v>BASE; T_ASSIGNED/T_ARRIVED/T_PROGRESS/T_ERROR/T_DONE; key mới và expectedVersion hiện tại cho lệnh mới.</x:v>
      </x:c>
      <x:c r="K122" s="10" t="str">
        <x:v>T_ASSIGNED; D_A</x:v>
      </x:c>
      <x:c r="L122" s="10" t="str">
        <x:v>1. Lần lượt ARRIVED_PICKUP, PICKED_UP, IN_PROGRESS, COMPLETED với version mới</x:v>
      </x:c>
      <x:c r="M122" s="10" t="str">
        <x:v>Mỗi bước một lịch sử/version/timestamp; cuối closedAt=completedAt, có ClosureOperation và job metrics.</x:v>
      </x:c>
      <x:c r="N122" s="10" t="str">
        <x:v>HTTP request/response đã che token; bản ghi trước/sau tại DB sở hữu; correlationId và log/audit liên quan.</x:v>
      </x:c>
      <x:c r="O122" s="10" t="str">
        <x:v>FR08; NFR03</x:v>
      </x:c>
      <x:c r="P122" s="10" t="str">
        <x:v>UC06; AC05</x:v>
      </x:c>
      <x:c r="Q122" s="10" t="str">
        <x:v>17</x:v>
      </x:c>
      <x:c r="R122" s="10" t="str">
        <x:v>Khôi phục dependency/fault injection nếu có; dùng bộ ID mới cho ca kế tiếp. Không xóa lịch sử/audit bằng API nghiệp vụ.</x:v>
      </x:c>
      <x:c r="S122" s="11" t="str"/>
      <x:c r="T122" s="11" t="str"/>
      <x:c r="U122" s="11" t="str"/>
      <x:c r="V122" s="11" t="str"/>
      <x:c r="W122" s="12"/>
      <x:c r="X122" s="10" t="str">
        <x:v>API04; API07 resolve-error; MSD 6.6,7.1</x:v>
      </x:c>
    </x:row>
    <x:row r="123" ht="52" customHeight="1">
      <x:c r="A123" s="9" t="str">
        <x:v>TC13-TRIP-002</x:v>
      </x:c>
      <x:c r="B123" s="9" t="str">
        <x:v>TRIP</x:v>
      </x:c>
      <x:c r="C123" s="9" t="str">
        <x:v>Không bỏ bước</x:v>
      </x:c>
      <x:c r="D123" s="9" t="str">
        <x:v>P1</x:v>
      </x:c>
      <x:c r="E123" s="9" t="str">
        <x:v>DEFINED</x:v>
      </x:c>
      <x:c r="F123" s="9" t="str">
        <x:v>NOT_RUN</x:v>
      </x:c>
      <x:c r="G123" s="9" t="str"/>
      <x:c r="H123" s="9" t="str">
        <x:v>FUNCTIONAL</x:v>
      </x:c>
      <x:c r="I123" s="9" t="str">
        <x:v>API04 trips/location/closure; API07 incidents/resolve-error</x:v>
      </x:c>
      <x:c r="J123" s="9" t="str">
        <x:v>BASE; T_ASSIGNED/T_ARRIVED/T_PROGRESS/T_ERROR/T_DONE; key mới và expectedVersion hiện tại cho lệnh mới.</x:v>
      </x:c>
      <x:c r="K123" s="9" t="str">
        <x:v>T_ASSIGNED; yêu cầu IN_PROGRESS</x:v>
      </x:c>
      <x:c r="L123" s="9" t="str">
        <x:v>1. PATCH status</x:v>
      </x:c>
      <x:c r="M123" s="9" t="str">
        <x:v>409 chuyển trạng thái không hợp lệ; không tăng version/lịch sử.</x:v>
      </x:c>
      <x:c r="N123" s="9" t="str">
        <x:v>HTTP request/response đã che token; bản ghi trước/sau tại DB sở hữu; correlationId và log/audit liên quan.</x:v>
      </x:c>
      <x:c r="O123" s="9" t="str">
        <x:v>FR08; NFR03</x:v>
      </x:c>
      <x:c r="P123" s="9" t="str">
        <x:v>UC06; AC05</x:v>
      </x:c>
      <x:c r="Q123" s="9" t="str">
        <x:v>17</x:v>
      </x:c>
      <x:c r="R123" s="9" t="str">
        <x:v>Khôi phục dependency/fault injection nếu có; dùng bộ ID mới cho ca kế tiếp. Không xóa lịch sử/audit bằng API nghiệp vụ.</x:v>
      </x:c>
      <x:c r="S123" s="11" t="str"/>
      <x:c r="T123" s="11" t="str"/>
      <x:c r="U123" s="11" t="str"/>
      <x:c r="V123" s="11" t="str"/>
      <x:c r="W123" s="12"/>
      <x:c r="X123" s="9" t="str">
        <x:v>API04; API07 resolve-error; MSD 6.6,7.1</x:v>
      </x:c>
    </x:row>
    <x:row r="124" ht="52" customHeight="1">
      <x:c r="A124" s="10" t="str">
        <x:v>TC13-TRIP-003</x:v>
      </x:c>
      <x:c r="B124" s="10" t="str">
        <x:v>TRIP</x:v>
      </x:c>
      <x:c r="C124" s="10" t="str">
        <x:v>Không sửa trạng thái tùy ý</x:v>
      </x:c>
      <x:c r="D124" s="10" t="str">
        <x:v>P1</x:v>
      </x:c>
      <x:c r="E124" s="10" t="str">
        <x:v>DEFINED</x:v>
      </x:c>
      <x:c r="F124" s="10" t="str">
        <x:v>NOT_RUN</x:v>
      </x:c>
      <x:c r="G124" s="10" t="str"/>
      <x:c r="H124" s="10" t="str">
        <x:v>FUNCTIONAL</x:v>
      </x:c>
      <x:c r="I124" s="10" t="str">
        <x:v>API04 trips/location/closure; API07 incidents/resolve-error</x:v>
      </x:c>
      <x:c r="J124" s="10" t="str">
        <x:v>BASE; T_ASSIGNED/T_ARRIVED/T_PROGRESS/T_ERROR/T_DONE; key mới và expectedVersion hiện tại cho lệnh mới.</x:v>
      </x:c>
      <x:c r="K124" s="10" t="str">
        <x:v>tripStatus=CANCELLED hoặc ERROR trong PATCH thông thường</x:v>
      </x:c>
      <x:c r="L124" s="10" t="str">
        <x:v>1. Gửi mỗi biến thể</x:v>
      </x:c>
      <x:c r="M124" s="10" t="str">
        <x:v>400; phải dùng cancel/incidents, OPERATOR không được PATCH thay Driver.</x:v>
      </x:c>
      <x:c r="N124" s="10" t="str">
        <x:v>HTTP request/response đã che token; bản ghi trước/sau tại DB sở hữu; correlationId và log/audit liên quan.</x:v>
      </x:c>
      <x:c r="O124" s="10" t="str">
        <x:v>FR08; NFR03</x:v>
      </x:c>
      <x:c r="P124" s="10" t="str">
        <x:v>UC06; AC05</x:v>
      </x:c>
      <x:c r="Q124" s="10" t="str">
        <x:v>17</x:v>
      </x:c>
      <x:c r="R124" s="10" t="str">
        <x:v>Khôi phục dependency/fault injection nếu có; dùng bộ ID mới cho ca kế tiếp. Không xóa lịch sử/audit bằng API nghiệp vụ.</x:v>
      </x:c>
      <x:c r="S124" s="11" t="str"/>
      <x:c r="T124" s="11" t="str"/>
      <x:c r="U124" s="11" t="str"/>
      <x:c r="V124" s="11" t="str"/>
      <x:c r="W124" s="12"/>
      <x:c r="X124" s="10" t="str">
        <x:v>API04; API07 resolve-error; MSD 6.6,7.1</x:v>
      </x:c>
    </x:row>
    <x:row r="125" ht="52" customHeight="1">
      <x:c r="A125" s="9" t="str">
        <x:v>TC13-TRIP-004</x:v>
      </x:c>
      <x:c r="B125" s="9" t="str">
        <x:v>TRIP</x:v>
      </x:c>
      <x:c r="C125" s="9" t="str">
        <x:v>Stale version</x:v>
      </x:c>
      <x:c r="D125" s="9" t="str">
        <x:v>P1</x:v>
      </x:c>
      <x:c r="E125" s="9" t="str">
        <x:v>DEFINED</x:v>
      </x:c>
      <x:c r="F125" s="9" t="str">
        <x:v>NOT_RUN</x:v>
      </x:c>
      <x:c r="G125" s="9" t="str"/>
      <x:c r="H125" s="9" t="str">
        <x:v>FUNCTIONAL</x:v>
      </x:c>
      <x:c r="I125" s="9" t="str">
        <x:v>API04 trips/location/closure; API07 incidents/resolve-error</x:v>
      </x:c>
      <x:c r="J125" s="9" t="str">
        <x:v>BASE; T_ASSIGNED/T_ARRIVED/T_PROGRESS/T_ERROR/T_DONE; key mới và expectedVersion hiện tại cho lệnh mới.</x:v>
      </x:c>
      <x:c r="K125" s="9" t="str">
        <x:v>Trip version hiện tại n; gửi n-1</x:v>
      </x:c>
      <x:c r="L125" s="9" t="str">
        <x:v>1. PATCH status với key mới</x:v>
      </x:c>
      <x:c r="M125" s="9" t="str">
        <x:v>409 TRIP_VERSION_CONFLICT; không ghi đè trạng thái.</x:v>
      </x:c>
      <x:c r="N125" s="9" t="str">
        <x:v>HTTP request/response đã che token; bản ghi trước/sau tại DB sở hữu; correlationId và log/audit liên quan.</x:v>
      </x:c>
      <x:c r="O125" s="9" t="str">
        <x:v>FR08; NFR03</x:v>
      </x:c>
      <x:c r="P125" s="9" t="str">
        <x:v>UC06; AC05</x:v>
      </x:c>
      <x:c r="Q125" s="9" t="str">
        <x:v>17</x:v>
      </x:c>
      <x:c r="R125" s="9" t="str">
        <x:v>Khôi phục dependency/fault injection nếu có; dùng bộ ID mới cho ca kế tiếp. Không xóa lịch sử/audit bằng API nghiệp vụ.</x:v>
      </x:c>
      <x:c r="S125" s="11" t="str"/>
      <x:c r="T125" s="11" t="str"/>
      <x:c r="U125" s="11" t="str"/>
      <x:c r="V125" s="11" t="str"/>
      <x:c r="W125" s="12"/>
      <x:c r="X125" s="9" t="str">
        <x:v>API04; API07 resolve-error; MSD 6.6,7.1</x:v>
      </x:c>
    </x:row>
    <x:row r="126" ht="52" customHeight="1">
      <x:c r="A126" s="10" t="str">
        <x:v>TC13-TRIP-005</x:v>
      </x:c>
      <x:c r="B126" s="10" t="str">
        <x:v>TRIP</x:v>
      </x:c>
      <x:c r="C126" s="10" t="str">
        <x:v>Replay trước kiểm tra version</x:v>
      </x:c>
      <x:c r="D126" s="10" t="str">
        <x:v>P1</x:v>
      </x:c>
      <x:c r="E126" s="10" t="str">
        <x:v>DEFINED</x:v>
      </x:c>
      <x:c r="F126" s="10" t="str">
        <x:v>NOT_RUN</x:v>
      </x:c>
      <x:c r="G126" s="10" t="str"/>
      <x:c r="H126" s="10" t="str">
        <x:v>FUNCTIONAL</x:v>
      </x:c>
      <x:c r="I126" s="10" t="str">
        <x:v>API04 trips/location/closure; API07 incidents/resolve-error</x:v>
      </x:c>
      <x:c r="J126" s="10" t="str">
        <x:v>BASE; T_ASSIGNED/T_ARRIVED/T_PROGRESS/T_ERROR/T_DONE; key mới và expectedVersion hiện tại cho lệnh mới.</x:v>
      </x:c>
      <x:c r="K126" s="10" t="str">
        <x:v>Đã cập nhật bằng key K/version n</x:v>
      </x:c>
      <x:c r="L126" s="10" t="str">
        <x:v>1. Replay nguyên request sau Trip lên version mới</x:v>
      </x:c>
      <x:c r="M126" s="10" t="str">
        <x:v>200 snapshot cũ; không bị từ chối chỉ do expectedVersion cũ và không tăng version lần nữa.</x:v>
      </x:c>
      <x:c r="N126" s="10" t="str">
        <x:v>HTTP request/response đã che token; bản ghi trước/sau tại DB sở hữu; correlationId và log/audit liên quan.</x:v>
      </x:c>
      <x:c r="O126" s="10" t="str">
        <x:v>FR08; NFR03</x:v>
      </x:c>
      <x:c r="P126" s="10" t="str">
        <x:v>UC06; AC05</x:v>
      </x:c>
      <x:c r="Q126" s="10" t="str">
        <x:v>17</x:v>
      </x:c>
      <x:c r="R126" s="10" t="str">
        <x:v>Khôi phục dependency/fault injection nếu có; dùng bộ ID mới cho ca kế tiếp. Không xóa lịch sử/audit bằng API nghiệp vụ.</x:v>
      </x:c>
      <x:c r="S126" s="11" t="str"/>
      <x:c r="T126" s="11" t="str"/>
      <x:c r="U126" s="11" t="str"/>
      <x:c r="V126" s="11" t="str"/>
      <x:c r="W126" s="12"/>
      <x:c r="X126" s="10" t="str">
        <x:v>API04; API07 resolve-error; MSD 6.6,7.1</x:v>
      </x:c>
    </x:row>
    <x:row r="127" ht="52" customHeight="1">
      <x:c r="A127" s="9" t="str">
        <x:v>TC13-TRIP-006</x:v>
      </x:c>
      <x:c r="B127" s="9" t="str">
        <x:v>TRIP</x:v>
      </x:c>
      <x:c r="C127" s="9" t="str">
        <x:v>Hủy tranh chấp đón khách</x:v>
      </x:c>
      <x:c r="D127" s="9" t="str">
        <x:v>P1</x:v>
      </x:c>
      <x:c r="E127" s="9" t="str">
        <x:v>DEFINED</x:v>
      </x:c>
      <x:c r="F127" s="9" t="str">
        <x:v>NOT_RUN</x:v>
      </x:c>
      <x:c r="G127" s="9" t="str"/>
      <x:c r="H127" s="9" t="str">
        <x:v>FUNCTIONAL</x:v>
      </x:c>
      <x:c r="I127" s="9" t="str">
        <x:v>API04 trips/location/closure; API07 incidents/resolve-error</x:v>
      </x:c>
      <x:c r="J127" s="9" t="str">
        <x:v>BASE; T_ASSIGNED/T_ARRIVED/T_PROGRESS/T_ERROR/T_DONE; key mới và expectedVersion hiện tại cho lệnh mới.</x:v>
      </x:c>
      <x:c r="K127" s="9" t="str">
        <x:v>T_ARRIVED; cùng version</x:v>
      </x:c>
      <x:c r="L127" s="9" t="str">
        <x:v>1. C_A cancel đồng thời D_A PICKED_UP</x:v>
      </x:c>
      <x:c r="M127" s="9" t="str">
        <x:v>Chỉ một thắng; không có Trip vừa hủy vừa đã đón.</x:v>
      </x:c>
      <x:c r="N127" s="9" t="str">
        <x:v>HTTP request/response đã che token; bản ghi trước/sau tại DB sở hữu; correlationId và log/audit liên quan.</x:v>
      </x:c>
      <x:c r="O127" s="9" t="str">
        <x:v>FR19; FR28; NFR02</x:v>
      </x:c>
      <x:c r="P127" s="9" t="str">
        <x:v>UC12; UC22; AC10; AC21</x:v>
      </x:c>
      <x:c r="Q127" s="9" t="str">
        <x:v>18</x:v>
      </x:c>
      <x:c r="R127" s="9" t="str">
        <x:v>Khôi phục dependency/fault injection nếu có; dùng bộ ID mới cho ca kế tiếp. Không xóa lịch sử/audit bằng API nghiệp vụ.</x:v>
      </x:c>
      <x:c r="S127" s="11" t="str"/>
      <x:c r="T127" s="11" t="str"/>
      <x:c r="U127" s="11" t="str"/>
      <x:c r="V127" s="11" t="str"/>
      <x:c r="W127" s="12"/>
      <x:c r="X127" s="9" t="str">
        <x:v>API04; API07 resolve-error; MSD 6.6,7.1</x:v>
      </x:c>
    </x:row>
    <x:row r="128" ht="52" customHeight="1">
      <x:c r="A128" s="10" t="str">
        <x:v>TC13-TRIP-007</x:v>
      </x:c>
      <x:c r="B128" s="10" t="str">
        <x:v>TRIP</x:v>
      </x:c>
      <x:c r="C128" s="10" t="str">
        <x:v>NO_SHOW ở 299 giây</x:v>
      </x:c>
      <x:c r="D128" s="10" t="str">
        <x:v>P1</x:v>
      </x:c>
      <x:c r="E128" s="10" t="str">
        <x:v>DEFINED</x:v>
      </x:c>
      <x:c r="F128" s="10" t="str">
        <x:v>NOT_RUN</x:v>
      </x:c>
      <x:c r="G128" s="10" t="str"/>
      <x:c r="H128" s="10" t="str">
        <x:v>FUNCTIONAL</x:v>
      </x:c>
      <x:c r="I128" s="10" t="str">
        <x:v>API04 trips/location/closure; API07 incidents/resolve-error</x:v>
      </x:c>
      <x:c r="J128" s="10" t="str">
        <x:v>BASE; T_ASSIGNED/T_ARRIVED/T_PROGRESS/T_ERROR/T_DONE; key mới và expectedVersion hiện tại cho lệnh mới.</x:v>
      </x:c>
      <x:c r="K128" s="10" t="str">
        <x:v>T_ARRIVED; now-arrivedAt=299s</x:v>
      </x:c>
      <x:c r="L128" s="10" t="str">
        <x:v>1. D_A cancel NO_SHOW</x:v>
      </x:c>
      <x:c r="M128" s="10" t="str">
        <x:v>409 điều kiện chờ chưa đủ; không hủy.</x:v>
      </x:c>
      <x:c r="N128" s="10" t="str">
        <x:v>HTTP request/response đã che token; bản ghi trước/sau tại DB sở hữu; correlationId và log/audit liên quan.</x:v>
      </x:c>
      <x:c r="O128" s="10" t="str">
        <x:v>FR19; FR28; NFR02</x:v>
      </x:c>
      <x:c r="P128" s="10" t="str">
        <x:v>UC12; UC22; AC10; AC21</x:v>
      </x:c>
      <x:c r="Q128" s="10" t="str">
        <x:v>18</x:v>
      </x:c>
      <x:c r="R128" s="10" t="str">
        <x:v>Khôi phục dependency/fault injection nếu có; dùng bộ ID mới cho ca kế tiếp. Không xóa lịch sử/audit bằng API nghiệp vụ.</x:v>
      </x:c>
      <x:c r="S128" s="11" t="str"/>
      <x:c r="T128" s="11" t="str"/>
      <x:c r="U128" s="11" t="str"/>
      <x:c r="V128" s="11" t="str"/>
      <x:c r="W128" s="12"/>
      <x:c r="X128" s="10" t="str">
        <x:v>API04; API07 resolve-error; MSD 6.6,7.1</x:v>
      </x:c>
    </x:row>
    <x:row r="129" ht="52" customHeight="1">
      <x:c r="A129" s="9" t="str">
        <x:v>TC13-TRIP-008</x:v>
      </x:c>
      <x:c r="B129" s="9" t="str">
        <x:v>TRIP</x:v>
      </x:c>
      <x:c r="C129" s="9" t="str">
        <x:v>NO_SHOW ở 300 giây</x:v>
      </x:c>
      <x:c r="D129" s="9" t="str">
        <x:v>P1</x:v>
      </x:c>
      <x:c r="E129" s="9" t="str">
        <x:v>DEFINED</x:v>
      </x:c>
      <x:c r="F129" s="9" t="str">
        <x:v>NOT_RUN</x:v>
      </x:c>
      <x:c r="G129" s="9" t="str"/>
      <x:c r="H129" s="9" t="str">
        <x:v>FUNCTIONAL</x:v>
      </x:c>
      <x:c r="I129" s="9" t="str">
        <x:v>API04 trips/location/closure; API07 incidents/resolve-error</x:v>
      </x:c>
      <x:c r="J129" s="9" t="str">
        <x:v>BASE; T_ASSIGNED/T_ARRIVED/T_PROGRESS/T_ERROR/T_DONE; key mới và expectedVersion hiện tại cho lệnh mới.</x:v>
      </x:c>
      <x:c r="K129" s="9" t="str">
        <x:v>T_ARRIVED; now-arrivedAt=300s</x:v>
      </x:c>
      <x:c r="L129" s="9" t="str">
        <x:v>1. D_A cancel NO_SHOW</x:v>
      </x:c>
      <x:c r="M129" s="9" t="str">
        <x:v>200 CANCELLED nếu version/quyền đúng; có lý do và closure.</x:v>
      </x:c>
      <x:c r="N129" s="9" t="str">
        <x:v>HTTP request/response đã che token; bản ghi trước/sau tại DB sở hữu; correlationId và log/audit liên quan.</x:v>
      </x:c>
      <x:c r="O129" s="9" t="str">
        <x:v>FR19; FR28; NFR02</x:v>
      </x:c>
      <x:c r="P129" s="9" t="str">
        <x:v>UC12; UC22; AC10; AC21</x:v>
      </x:c>
      <x:c r="Q129" s="9" t="str">
        <x:v>18</x:v>
      </x:c>
      <x:c r="R129" s="9" t="str">
        <x:v>Khôi phục dependency/fault injection nếu có; dùng bộ ID mới cho ca kế tiếp. Không xóa lịch sử/audit bằng API nghiệp vụ.</x:v>
      </x:c>
      <x:c r="S129" s="11" t="str"/>
      <x:c r="T129" s="11" t="str"/>
      <x:c r="U129" s="11" t="str"/>
      <x:c r="V129" s="11" t="str"/>
      <x:c r="W129" s="12"/>
      <x:c r="X129" s="9" t="str">
        <x:v>API04; API07 resolve-error; MSD 6.6,7.1</x:v>
      </x:c>
    </x:row>
    <x:row r="130" ht="52" customHeight="1">
      <x:c r="A130" s="10" t="str">
        <x:v>TC13-TRIP-009</x:v>
      </x:c>
      <x:c r="B130" s="10" t="str">
        <x:v>TRIP</x:v>
      </x:c>
      <x:c r="C130" s="10" t="str">
        <x:v>Mã hủy sai vai trò</x:v>
      </x:c>
      <x:c r="D130" s="10" t="str">
        <x:v>P1</x:v>
      </x:c>
      <x:c r="E130" s="10" t="str">
        <x:v>DEFINED</x:v>
      </x:c>
      <x:c r="F130" s="10" t="str">
        <x:v>NOT_RUN</x:v>
      </x:c>
      <x:c r="G130" s="10" t="str"/>
      <x:c r="H130" s="10" t="str">
        <x:v>FUNCTIONAL</x:v>
      </x:c>
      <x:c r="I130" s="10" t="str">
        <x:v>API04 trips/location/closure; API07 incidents/resolve-error</x:v>
      </x:c>
      <x:c r="J130" s="10" t="str">
        <x:v>BASE; T_ASSIGNED/T_ARRIVED/T_PROGRESS/T_ERROR/T_DONE; key mới và expectedVersion hiện tại cho lệnh mới.</x:v>
      </x:c>
      <x:c r="K130" s="10" t="str">
        <x:v>C_A dùng VEHICLE_ISSUE/NO_SHOW; D_A dùng CHANGE_OF_PLANS</x:v>
      </x:c>
      <x:c r="L130" s="10" t="str">
        <x:v>1. Cancel từng fixture</x:v>
      </x:c>
      <x:c r="M130" s="10" t="str">
        <x:v>403; không thay Trip.</x:v>
      </x:c>
      <x:c r="N130" s="10" t="str">
        <x:v>HTTP request/response đã che token; bản ghi trước/sau tại DB sở hữu; correlationId và log/audit liên quan.</x:v>
      </x:c>
      <x:c r="O130" s="10" t="str">
        <x:v>FR19; FR28; NFR02</x:v>
      </x:c>
      <x:c r="P130" s="10" t="str">
        <x:v>UC12; UC22; AC10; AC21</x:v>
      </x:c>
      <x:c r="Q130" s="10" t="str">
        <x:v>18</x:v>
      </x:c>
      <x:c r="R130" s="10" t="str">
        <x:v>Khôi phục dependency/fault injection nếu có; dùng bộ ID mới cho ca kế tiếp. Không xóa lịch sử/audit bằng API nghiệp vụ.</x:v>
      </x:c>
      <x:c r="S130" s="11" t="str"/>
      <x:c r="T130" s="11" t="str"/>
      <x:c r="U130" s="11" t="str"/>
      <x:c r="V130" s="11" t="str"/>
      <x:c r="W130" s="12"/>
      <x:c r="X130" s="10" t="str">
        <x:v>API04; API07 resolve-error; MSD 6.6,7.1</x:v>
      </x:c>
    </x:row>
    <x:row r="131" ht="52" customHeight="1">
      <x:c r="A131" s="9" t="str">
        <x:v>TC13-TRIP-010</x:v>
      </x:c>
      <x:c r="B131" s="9" t="str">
        <x:v>TRIP</x:v>
      </x:c>
      <x:c r="C131" s="9" t="str">
        <x:v>Không hủy sau đón</x:v>
      </x:c>
      <x:c r="D131" s="9" t="str">
        <x:v>P1</x:v>
      </x:c>
      <x:c r="E131" s="9" t="str">
        <x:v>DEFINED</x:v>
      </x:c>
      <x:c r="F131" s="9" t="str">
        <x:v>NOT_RUN</x:v>
      </x:c>
      <x:c r="G131" s="9" t="str"/>
      <x:c r="H131" s="9" t="str">
        <x:v>FUNCTIONAL</x:v>
      </x:c>
      <x:c r="I131" s="9" t="str">
        <x:v>API04 trips/location/closure; API07 incidents/resolve-error</x:v>
      </x:c>
      <x:c r="J131" s="9" t="str">
        <x:v>BASE; T_ASSIGNED/T_ARRIVED/T_PROGRESS/T_ERROR/T_DONE; key mới và expectedVersion hiện tại cho lệnh mới.</x:v>
      </x:c>
      <x:c r="K131" s="9" t="str">
        <x:v>T_PICKED_UP hoặc T_PROGRESS</x:v>
      </x:c>
      <x:c r="L131" s="9" t="str">
        <x:v>1. Cancel</x:v>
      </x:c>
      <x:c r="M131" s="9" t="str">
        <x:v>409; báo Incident để xử lý sự cố.</x:v>
      </x:c>
      <x:c r="N131" s="9" t="str">
        <x:v>HTTP request/response đã che token; bản ghi trước/sau tại DB sở hữu; correlationId và log/audit liên quan.</x:v>
      </x:c>
      <x:c r="O131" s="9" t="str">
        <x:v>FR19; FR28; NFR02</x:v>
      </x:c>
      <x:c r="P131" s="9" t="str">
        <x:v>UC12; UC22; AC10; AC21</x:v>
      </x:c>
      <x:c r="Q131" s="9" t="str">
        <x:v>18</x:v>
      </x:c>
      <x:c r="R131" s="9" t="str">
        <x:v>Khôi phục dependency/fault injection nếu có; dùng bộ ID mới cho ca kế tiếp. Không xóa lịch sử/audit bằng API nghiệp vụ.</x:v>
      </x:c>
      <x:c r="S131" s="11" t="str"/>
      <x:c r="T131" s="11" t="str"/>
      <x:c r="U131" s="11" t="str"/>
      <x:c r="V131" s="11" t="str"/>
      <x:c r="W131" s="12"/>
      <x:c r="X131" s="9" t="str">
        <x:v>API04; API07 resolve-error; MSD 6.6,7.1</x:v>
      </x:c>
    </x:row>
    <x:row r="132" ht="52" customHeight="1">
      <x:c r="A132" s="10" t="str">
        <x:v>TC13-TRIP-011</x:v>
      </x:c>
      <x:c r="B132" s="10" t="str">
        <x:v>TRIP</x:v>
      </x:c>
      <x:c r="C132" s="10" t="str">
        <x:v>Hủy lại bằng key mới</x:v>
      </x:c>
      <x:c r="D132" s="10" t="str">
        <x:v>P1</x:v>
      </x:c>
      <x:c r="E132" s="10" t="str">
        <x:v>DEFINED</x:v>
      </x:c>
      <x:c r="F132" s="10" t="str">
        <x:v>NOT_RUN</x:v>
      </x:c>
      <x:c r="G132" s="10" t="str"/>
      <x:c r="H132" s="10" t="str">
        <x:v>FUNCTIONAL</x:v>
      </x:c>
      <x:c r="I132" s="10" t="str">
        <x:v>API04 trips/location/closure; API07 incidents/resolve-error</x:v>
      </x:c>
      <x:c r="J132" s="10" t="str">
        <x:v>BASE; T_ASSIGNED/T_ARRIVED/T_PROGRESS/T_ERROR/T_DONE; key mới và expectedVersion hiện tại cho lệnh mới.</x:v>
      </x:c>
      <x:c r="K132" s="10" t="str">
        <x:v>Trip CANCELLED; version hiện tại đúng</x:v>
      </x:c>
      <x:c r="L132" s="10" t="str">
        <x:v>1. Cancel lý do mới với key mới</x:v>
      </x:c>
      <x:c r="M132" s="10" t="str">
        <x:v>200 cancellation gốc; không tăng version hoặc release lần nữa. Version cũ vẫn conflict.</x:v>
      </x:c>
      <x:c r="N132" s="10" t="str">
        <x:v>HTTP request/response đã che token; bản ghi trước/sau tại DB sở hữu; correlationId và log/audit liên quan.</x:v>
      </x:c>
      <x:c r="O132" s="10" t="str">
        <x:v>FR19; FR28; NFR02</x:v>
      </x:c>
      <x:c r="P132" s="10" t="str">
        <x:v>UC12; UC22; AC10; AC21</x:v>
      </x:c>
      <x:c r="Q132" s="10" t="str">
        <x:v>18</x:v>
      </x:c>
      <x:c r="R132" s="10" t="str">
        <x:v>Khôi phục dependency/fault injection nếu có; dùng bộ ID mới cho ca kế tiếp. Không xóa lịch sử/audit bằng API nghiệp vụ.</x:v>
      </x:c>
      <x:c r="S132" s="11" t="str"/>
      <x:c r="T132" s="11" t="str"/>
      <x:c r="U132" s="11" t="str"/>
      <x:c r="V132" s="11" t="str"/>
      <x:c r="W132" s="12"/>
      <x:c r="X132" s="10" t="str">
        <x:v>API04; API07 resolve-error; MSD 6.6,7.1</x:v>
      </x:c>
    </x:row>
    <x:row r="133" ht="52" customHeight="1">
      <x:c r="A133" s="9" t="str">
        <x:v>TC13-TRIP-012</x:v>
      </x:c>
      <x:c r="B133" s="9" t="str">
        <x:v>TRIP</x:v>
      </x:c>
      <x:c r="C133" s="9" t="str">
        <x:v>Xe lỗi không tự AVAILABLE</x:v>
      </x:c>
      <x:c r="D133" s="9" t="str">
        <x:v>P1</x:v>
      </x:c>
      <x:c r="E133" s="9" t="str">
        <x:v>NEEDS_DECISION</x:v>
      </x:c>
      <x:c r="F133" s="9" t="str">
        <x:v>NOT_RUN</x:v>
      </x:c>
      <x:c r="G133" s="9" t="str">
        <x:v>D04,D06</x:v>
      </x:c>
      <x:c r="H133" s="9" t="str">
        <x:v>FUNCTIONAL</x:v>
      </x:c>
      <x:c r="I133" s="9" t="str">
        <x:v>API04 trips/location/closure; API07 incidents/resolve-error</x:v>
      </x:c>
      <x:c r="J133" s="9" t="str">
        <x:v>BASE; T_ASSIGNED/T_ARRIVED/T_PROGRESS/T_ERROR/T_DONE; key mới và expectedVersion hiện tại cho lệnh mới.</x:v>
      </x:c>
      <x:c r="K133" s="9" t="str">
        <x:v>Cancel VEHICLE_ISSUE</x:v>
      </x:c>
      <x:c r="L133" s="9" t="str">
        <x:v>1. Cho Closure worker chạy và thử nhận chuyến mới</x:v>
      </x:c>
      <x:c r="M133" s="9" t="str">
        <x:v>Release và quyết định chặn xe/tài xế cùng transaction Driver; không có cửa sổ nhận chuyến mới.</x:v>
      </x:c>
      <x:c r="N133" s="9" t="str">
        <x:v>HTTP request/response đã che token; bản ghi trước/sau tại DB sở hữu; correlationId và log/audit liên quan.</x:v>
      </x:c>
      <x:c r="O133" s="9" t="str">
        <x:v>FR19; FR28; NFR02</x:v>
      </x:c>
      <x:c r="P133" s="9" t="str">
        <x:v>UC12; UC22; AC10; AC21</x:v>
      </x:c>
      <x:c r="Q133" s="9" t="str">
        <x:v>18</x:v>
      </x:c>
      <x:c r="R133" s="9" t="str">
        <x:v>Khôi phục dependency/fault injection nếu có; dùng bộ ID mới cho ca kế tiếp. Không xóa lịch sử/audit bằng API nghiệp vụ.</x:v>
      </x:c>
      <x:c r="S133" s="11" t="str"/>
      <x:c r="T133" s="11" t="str"/>
      <x:c r="U133" s="11" t="str"/>
      <x:c r="V133" s="11" t="str"/>
      <x:c r="W133" s="12"/>
      <x:c r="X133" s="9" t="str">
        <x:v>API04; API07 resolve-error; MSD 6.6,7.1</x:v>
      </x:c>
    </x:row>
    <x:row r="134" ht="52" customHeight="1">
      <x:c r="A134" s="10" t="str">
        <x:v>TC13-TRIP-013</x:v>
      </x:c>
      <x:c r="B134" s="10" t="str">
        <x:v>TRIP</x:v>
      </x:c>
      <x:c r="C134" s="10" t="str">
        <x:v>Incident đầu tiên</x:v>
      </x:c>
      <x:c r="D134" s="10" t="str">
        <x:v>P1</x:v>
      </x:c>
      <x:c r="E134" s="10" t="str">
        <x:v>DEFINED</x:v>
      </x:c>
      <x:c r="F134" s="10" t="str">
        <x:v>NOT_RUN</x:v>
      </x:c>
      <x:c r="G134" s="10" t="str"/>
      <x:c r="H134" s="10" t="str">
        <x:v>FUNCTIONAL</x:v>
      </x:c>
      <x:c r="I134" s="10" t="str">
        <x:v>API04 trips/location/closure; API07 incidents/resolve-error</x:v>
      </x:c>
      <x:c r="J134" s="10" t="str">
        <x:v>BASE; T_ASSIGNED/T_ARRIVED/T_PROGRESS/T_ERROR/T_DONE; key mới và expectedVersion hiện tại cho lệnh mới.</x:v>
      </x:c>
      <x:c r="K134" s="10" t="str">
        <x:v>T_PROGRESS</x:v>
      </x:c>
      <x:c r="L134" s="10" t="str">
        <x:v>1. D_A báo VEHICLE_BREAKDOWN</x:v>
      </x:c>
      <x:c r="M134" s="10" t="str">
        <x:v>201 Incident OPEN; Trip ERROR giữ statusBeforeError=IN_PROGRESS, BUSY/guard; một chuyển trạng thái.</x:v>
      </x:c>
      <x:c r="N134" s="10" t="str">
        <x:v>HTTP request/response đã che token; bản ghi trước/sau tại DB sở hữu; correlationId và log/audit liên quan.</x:v>
      </x:c>
      <x:c r="O134" s="10" t="str">
        <x:v>FR15; NFR03</x:v>
      </x:c>
      <x:c r="P134" s="10" t="str">
        <x:v>UC09; AC08</x:v>
      </x:c>
      <x:c r="Q134" s="10" t="str">
        <x:v>17</x:v>
      </x:c>
      <x:c r="R134" s="10" t="str">
        <x:v>Khôi phục dependency/fault injection nếu có; dùng bộ ID mới cho ca kế tiếp. Không xóa lịch sử/audit bằng API nghiệp vụ.</x:v>
      </x:c>
      <x:c r="S134" s="11" t="str"/>
      <x:c r="T134" s="11" t="str"/>
      <x:c r="U134" s="11" t="str"/>
      <x:c r="V134" s="11" t="str"/>
      <x:c r="W134" s="12"/>
      <x:c r="X134" s="10" t="str">
        <x:v>API04; API07 resolve-error; MSD 6.6,7.1</x:v>
      </x:c>
    </x:row>
    <x:row r="135" ht="52" customHeight="1">
      <x:c r="A135" s="9" t="str">
        <x:v>TC13-TRIP-014</x:v>
      </x:c>
      <x:c r="B135" s="9" t="str">
        <x:v>TRIP</x:v>
      </x:c>
      <x:c r="C135" s="9" t="str">
        <x:v>Incident bổ sung</x:v>
      </x:c>
      <x:c r="D135" s="9" t="str">
        <x:v>P1</x:v>
      </x:c>
      <x:c r="E135" s="9" t="str">
        <x:v>DEFINED</x:v>
      </x:c>
      <x:c r="F135" s="9" t="str">
        <x:v>NOT_RUN</x:v>
      </x:c>
      <x:c r="G135" s="9" t="str"/>
      <x:c r="H135" s="9" t="str">
        <x:v>FUNCTIONAL</x:v>
      </x:c>
      <x:c r="I135" s="9" t="str">
        <x:v>API04 trips/location/closure; API07 incidents/resolve-error</x:v>
      </x:c>
      <x:c r="J135" s="9" t="str">
        <x:v>BASE; T_ASSIGNED/T_ARRIVED/T_PROGRESS/T_ERROR/T_DONE; key mới và expectedVersion hiện tại cho lệnh mới.</x:v>
      </x:c>
      <x:c r="K135" s="9" t="str">
        <x:v>Trip ERROR chưa đóng</x:v>
      </x:c>
      <x:c r="L135" s="9" t="str">
        <x:v>1. Báo Incident khác với version hiện tại</x:v>
      </x:c>
      <x:c r="M135" s="9" t="str">
        <x:v>Tăng Trip.version; không ghi ERROR→ERROR, không ghi đè statusBeforeError, không release.</x:v>
      </x:c>
      <x:c r="N135" s="9" t="str">
        <x:v>HTTP request/response đã che token; bản ghi trước/sau tại DB sở hữu; correlationId và log/audit liên quan.</x:v>
      </x:c>
      <x:c r="O135" s="9" t="str">
        <x:v>FR15; NFR03</x:v>
      </x:c>
      <x:c r="P135" s="9" t="str">
        <x:v>UC09; AC08</x:v>
      </x:c>
      <x:c r="Q135" s="9" t="str">
        <x:v>17</x:v>
      </x:c>
      <x:c r="R135" s="9" t="str">
        <x:v>Khôi phục dependency/fault injection nếu có; dùng bộ ID mới cho ca kế tiếp. Không xóa lịch sử/audit bằng API nghiệp vụ.</x:v>
      </x:c>
      <x:c r="S135" s="11" t="str"/>
      <x:c r="T135" s="11" t="str"/>
      <x:c r="U135" s="11" t="str"/>
      <x:c r="V135" s="11" t="str"/>
      <x:c r="W135" s="12"/>
      <x:c r="X135" s="9" t="str">
        <x:v>API04; API07 resolve-error; MSD 6.6,7.1</x:v>
      </x:c>
    </x:row>
    <x:row r="136" ht="52" customHeight="1">
      <x:c r="A136" s="10" t="str">
        <x:v>TC13-TRIP-015</x:v>
      </x:c>
      <x:c r="B136" s="10" t="str">
        <x:v>TRIP</x:v>
      </x:c>
      <x:c r="C136" s="10" t="str">
        <x:v>Khôi phục ERROR</x:v>
      </x:c>
      <x:c r="D136" s="10" t="str">
        <x:v>P1</x:v>
      </x:c>
      <x:c r="E136" s="10" t="str">
        <x:v>DEFINED</x:v>
      </x:c>
      <x:c r="F136" s="10" t="str">
        <x:v>NOT_RUN</x:v>
      </x:c>
      <x:c r="G136" s="10" t="str"/>
      <x:c r="H136" s="10" t="str">
        <x:v>FUNCTIONAL</x:v>
      </x:c>
      <x:c r="I136" s="10" t="str">
        <x:v>API04 trips/location/closure; API07 incidents/resolve-error</x:v>
      </x:c>
      <x:c r="J136" s="10" t="str">
        <x:v>BASE; T_ASSIGNED/T_ARRIVED/T_PROGRESS/T_ERROR/T_DONE; key mới và expectedVersion hiện tại cho lệnh mới.</x:v>
      </x:c>
      <x:c r="K136" s="10" t="str">
        <x:v>Xe/tài xế đủ điều kiện; có Incident OPEN</x:v>
      </x:c>
      <x:c r="L136" s="10" t="str">
        <x:v>1. O_A RESTORE_PREVIOUS_STATUS</x:v>
      </x:c>
      <x:c r="M136" s="10" t="str">
        <x:v>Khôi phục đúng trạng thái đã lưu; không đặt lại startedAt; resolve các Incident OPEN; một TRIP_RECOVERED.</x:v>
      </x:c>
      <x:c r="N136" s="10" t="str">
        <x:v>HTTP request/response đã che token; bản ghi trước/sau tại DB sở hữu; correlationId và log/audit liên quan.</x:v>
      </x:c>
      <x:c r="O136" s="10" t="str">
        <x:v>FR15; NFR03</x:v>
      </x:c>
      <x:c r="P136" s="10" t="str">
        <x:v>UC09; AC08</x:v>
      </x:c>
      <x:c r="Q136" s="10" t="str">
        <x:v>17</x:v>
      </x:c>
      <x:c r="R136" s="10" t="str">
        <x:v>Khôi phục dependency/fault injection nếu có; dùng bộ ID mới cho ca kế tiếp. Không xóa lịch sử/audit bằng API nghiệp vụ.</x:v>
      </x:c>
      <x:c r="S136" s="11" t="str"/>
      <x:c r="T136" s="11" t="str"/>
      <x:c r="U136" s="11" t="str"/>
      <x:c r="V136" s="11" t="str"/>
      <x:c r="W136" s="12"/>
      <x:c r="X136" s="10" t="str">
        <x:v>API04; API07 resolve-error; MSD 6.6,7.1</x:v>
      </x:c>
    </x:row>
    <x:row r="137" ht="52" customHeight="1">
      <x:c r="A137" s="9" t="str">
        <x:v>TC13-TRIP-016</x:v>
      </x:c>
      <x:c r="B137" s="9" t="str">
        <x:v>TRIP</x:v>
      </x:c>
      <x:c r="C137" s="9" t="str">
        <x:v>Đóng ERROR bất thường</x:v>
      </x:c>
      <x:c r="D137" s="9" t="str">
        <x:v>P1</x:v>
      </x:c>
      <x:c r="E137" s="9" t="str">
        <x:v>DEFINED</x:v>
      </x:c>
      <x:c r="F137" s="9" t="str">
        <x:v>NOT_RUN</x:v>
      </x:c>
      <x:c r="G137" s="9" t="str"/>
      <x:c r="H137" s="9" t="str">
        <x:v>FUNCTIONAL</x:v>
      </x:c>
      <x:c r="I137" s="9" t="str">
        <x:v>API04 trips/location/closure; API07 incidents/resolve-error</x:v>
      </x:c>
      <x:c r="J137" s="9" t="str">
        <x:v>BASE; T_ASSIGNED/T_ARRIVED/T_PROGRESS/T_ERROR/T_DONE; key mới và expectedVersion hiện tại cho lệnh mới.</x:v>
      </x:c>
      <x:c r="K137" s="9" t="str">
        <x:v>Trip ERROR chưa đóng</x:v>
      </x:c>
      <x:c r="L137" s="9" t="str">
        <x:v>1. O_A CLOSE_ABNORMALLY có note</x:v>
      </x:c>
      <x:c r="M137" s="9" t="str">
        <x:v>Giữ ERROR; có closedAt/closeReason, không completedAt/Fare tự động; ClosureOperation được lưu.</x:v>
      </x:c>
      <x:c r="N137" s="9" t="str">
        <x:v>HTTP request/response đã che token; bản ghi trước/sau tại DB sở hữu; correlationId và log/audit liên quan.</x:v>
      </x:c>
      <x:c r="O137" s="9" t="str">
        <x:v>FR15; NFR03</x:v>
      </x:c>
      <x:c r="P137" s="9" t="str">
        <x:v>UC09; AC08</x:v>
      </x:c>
      <x:c r="Q137" s="9" t="str">
        <x:v>17</x:v>
      </x:c>
      <x:c r="R137" s="9" t="str">
        <x:v>Khôi phục dependency/fault injection nếu có; dùng bộ ID mới cho ca kế tiếp. Không xóa lịch sử/audit bằng API nghiệp vụ.</x:v>
      </x:c>
      <x:c r="S137" s="11" t="str"/>
      <x:c r="T137" s="11" t="str"/>
      <x:c r="U137" s="11" t="str"/>
      <x:c r="V137" s="11" t="str"/>
      <x:c r="W137" s="12"/>
      <x:c r="X137" s="9" t="str">
        <x:v>API04; API07 resolve-error; MSD 6.6,7.1</x:v>
      </x:c>
    </x:row>
    <x:row r="138" ht="52" customHeight="1">
      <x:c r="A138" s="10" t="str">
        <x:v>TC13-TRIP-017</x:v>
      </x:c>
      <x:c r="B138" s="10" t="str">
        <x:v>TRIP</x:v>
      </x:c>
      <x:c r="C138" s="10" t="str">
        <x:v>Incident mới tranh resolve</x:v>
      </x:c>
      <x:c r="D138" s="10" t="str">
        <x:v>P1</x:v>
      </x:c>
      <x:c r="E138" s="10" t="str">
        <x:v>DEFINED</x:v>
      </x:c>
      <x:c r="F138" s="10" t="str">
        <x:v>NOT_RUN</x:v>
      </x:c>
      <x:c r="G138" s="10" t="str"/>
      <x:c r="H138" s="10" t="str">
        <x:v>FUNCTIONAL</x:v>
      </x:c>
      <x:c r="I138" s="10" t="str">
        <x:v>API04 trips/location/closure; API07 incidents/resolve-error</x:v>
      </x:c>
      <x:c r="J138" s="10" t="str">
        <x:v>BASE; T_ASSIGNED/T_ARRIVED/T_PROGRESS/T_ERROR/T_DONE; key mới và expectedVersion hiện tại cho lệnh mới.</x:v>
      </x:c>
      <x:c r="K138" s="10" t="str">
        <x:v>Trip ERROR version n</x:v>
      </x:c>
      <x:c r="L138" s="10" t="str">
        <x:v>1. Gửi thêm Incident và resolve dùng n đồng thời</x:v>
      </x:c>
      <x:c r="M138" s="10" t="str">
        <x:v>Một request version cũ bị conflict; không bỏ sót Incident mới khi resolve.</x:v>
      </x:c>
      <x:c r="N138" s="10" t="str">
        <x:v>HTTP request/response đã che token; bản ghi trước/sau tại DB sở hữu; correlationId và log/audit liên quan.</x:v>
      </x:c>
      <x:c r="O138" s="10" t="str">
        <x:v>FR15; NFR03</x:v>
      </x:c>
      <x:c r="P138" s="10" t="str">
        <x:v>UC09; AC08</x:v>
      </x:c>
      <x:c r="Q138" s="10" t="str">
        <x:v>17</x:v>
      </x:c>
      <x:c r="R138" s="10" t="str">
        <x:v>Khôi phục dependency/fault injection nếu có; dùng bộ ID mới cho ca kế tiếp. Không xóa lịch sử/audit bằng API nghiệp vụ.</x:v>
      </x:c>
      <x:c r="S138" s="11" t="str"/>
      <x:c r="T138" s="11" t="str"/>
      <x:c r="U138" s="11" t="str"/>
      <x:c r="V138" s="11" t="str"/>
      <x:c r="W138" s="12"/>
      <x:c r="X138" s="10" t="str">
        <x:v>API04; API07 resolve-error; MSD 6.6,7.1</x:v>
      </x:c>
    </x:row>
    <x:row r="139" ht="52" customHeight="1">
      <x:c r="A139" s="9" t="str">
        <x:v>TC13-TRIP-018</x:v>
      </x:c>
      <x:c r="B139" s="9" t="str">
        <x:v>TRIP</x:v>
      </x:c>
      <x:c r="C139" s="9" t="str">
        <x:v>Closure còn chờ vẫn Trip đã đóng</x:v>
      </x:c>
      <x:c r="D139" s="9" t="str">
        <x:v>P1</x:v>
      </x:c>
      <x:c r="E139" s="9" t="str">
        <x:v>NEEDS_DECISION</x:v>
      </x:c>
      <x:c r="F139" s="9" t="str">
        <x:v>NOT_RUN</x:v>
      </x:c>
      <x:c r="G139" s="9" t="str">
        <x:v>D04,D06</x:v>
      </x:c>
      <x:c r="H139" s="9" t="str">
        <x:v>FUNCTIONAL</x:v>
      </x:c>
      <x:c r="I139" s="9" t="str">
        <x:v>API04 trips/location/closure; API07 incidents/resolve-error</x:v>
      </x:c>
      <x:c r="J139" s="9" t="str">
        <x:v>BASE; T_ASSIGNED/T_ARRIVED/T_PROGRESS/T_ERROR/T_DONE; key mới và expectedVersion hiện tại cho lệnh mới.</x:v>
      </x:c>
      <x:c r="K139" s="9" t="str">
        <x:v>Chặn Driver release sau COMPLETED</x:v>
      </x:c>
      <x:c r="L139" s="9" t="str">
        <x:v>1. GET Trip và closure; khôi phục release</x:v>
      </x:c>
      <x:c r="M139" s="9" t="str">
        <x:v>Trip vẫn COMPLETED; closure PROCESSING rồi SUCCEEDED sau hai xác nhận; không mở lại Trip.</x:v>
      </x:c>
      <x:c r="N139" s="9" t="str">
        <x:v>HTTP request/response đã che token; bản ghi trước/sau tại DB sở hữu; correlationId và log/audit liên quan.</x:v>
      </x:c>
      <x:c r="O139" s="9" t="str">
        <x:v>FR28; NFR03; NFR18</x:v>
      </x:c>
      <x:c r="P139" s="9" t="str">
        <x:v>UC22; AC21</x:v>
      </x:c>
      <x:c r="Q139" s="9" t="str">
        <x:v>17,18</x:v>
      </x:c>
      <x:c r="R139" s="9" t="str">
        <x:v>Khôi phục dependency/fault injection nếu có; dùng bộ ID mới cho ca kế tiếp. Không xóa lịch sử/audit bằng API nghiệp vụ.</x:v>
      </x:c>
      <x:c r="S139" s="11" t="str"/>
      <x:c r="T139" s="11" t="str"/>
      <x:c r="U139" s="11" t="str"/>
      <x:c r="V139" s="11" t="str"/>
      <x:c r="W139" s="12"/>
      <x:c r="X139" s="9" t="str">
        <x:v>API04; API07 resolve-error; MSD 6.6,7.1</x:v>
      </x:c>
    </x:row>
    <x:row r="140" ht="52" customHeight="1">
      <x:c r="A140" s="10" t="str">
        <x:v>TC13-TRIP-019</x:v>
      </x:c>
      <x:c r="B140" s="10" t="str">
        <x:v>TRIP</x:v>
      </x:c>
      <x:c r="C140" s="10" t="str">
        <x:v>Closure khi Trip chưa đóng</x:v>
      </x:c>
      <x:c r="D140" s="10" t="str">
        <x:v>P1</x:v>
      </x:c>
      <x:c r="E140" s="10" t="str">
        <x:v>DEFINED</x:v>
      </x:c>
      <x:c r="F140" s="10" t="str">
        <x:v>NOT_RUN</x:v>
      </x:c>
      <x:c r="G140" s="10" t="str"/>
      <x:c r="H140" s="10" t="str">
        <x:v>FUNCTIONAL</x:v>
      </x:c>
      <x:c r="I140" s="10" t="str">
        <x:v>API04 trips/location/closure; API07 incidents/resolve-error</x:v>
      </x:c>
      <x:c r="J140" s="10" t="str">
        <x:v>BASE; T_ASSIGNED/T_ARRIVED/T_PROGRESS/T_ERROR/T_DONE; key mới và expectedVersion hiện tại cho lệnh mới.</x:v>
      </x:c>
      <x:c r="K140" s="10" t="str">
        <x:v>T_PROGRESS</x:v>
      </x:c>
      <x:c r="L140" s="10" t="str">
        <x:v>1. GET closure</x:v>
      </x:c>
      <x:c r="M140" s="10" t="str">
        <x:v>409 TRIP_NOT_CLOSED; Trip ngoài quyền trả 404 trước khi tiết lộ closure.</x:v>
      </x:c>
      <x:c r="N140" s="10" t="str">
        <x:v>HTTP request/response đã che token; bản ghi trước/sau tại DB sở hữu; correlationId và log/audit liên quan.</x:v>
      </x:c>
      <x:c r="O140" s="10" t="str">
        <x:v>FR28; NFR03; NFR18</x:v>
      </x:c>
      <x:c r="P140" s="10" t="str">
        <x:v>UC22; AC21</x:v>
      </x:c>
      <x:c r="Q140" s="10" t="str">
        <x:v>17,18</x:v>
      </x:c>
      <x:c r="R140" s="10" t="str">
        <x:v>Khôi phục dependency/fault injection nếu có; dùng bộ ID mới cho ca kế tiếp. Không xóa lịch sử/audit bằng API nghiệp vụ.</x:v>
      </x:c>
      <x:c r="S140" s="11" t="str"/>
      <x:c r="T140" s="11" t="str"/>
      <x:c r="U140" s="11" t="str"/>
      <x:c r="V140" s="11" t="str"/>
      <x:c r="W140" s="12"/>
      <x:c r="X140" s="10" t="str">
        <x:v>API04; API07 resolve-error; MSD 6.6,7.1</x:v>
      </x:c>
    </x:row>
    <x:row r="141" ht="52" customHeight="1">
      <x:c r="A141" s="9" t="str">
        <x:v>TC13-TRIP-020</x:v>
      </x:c>
      <x:c r="B141" s="9" t="str">
        <x:v>TRIP</x:v>
      </x:c>
      <x:c r="C141" s="9" t="str">
        <x:v>Closure không có bản ghi bắt buộc</x:v>
      </x:c>
      <x:c r="D141" s="9" t="str">
        <x:v>P1</x:v>
      </x:c>
      <x:c r="E141" s="9" t="str">
        <x:v>DEFINED</x:v>
      </x:c>
      <x:c r="F141" s="9" t="str">
        <x:v>NOT_RUN</x:v>
      </x:c>
      <x:c r="G141" s="9" t="str"/>
      <x:c r="H141" s="9" t="str">
        <x:v>FUNCTIONAL</x:v>
      </x:c>
      <x:c r="I141" s="9" t="str">
        <x:v>API04 trips/location/closure; API07 incidents/resolve-error</x:v>
      </x:c>
      <x:c r="J141" s="9" t="str">
        <x:v>BASE; T_ASSIGNED/T_ARRIVED/T_PROGRESS/T_ERROR/T_DONE; key mới và expectedVersion hiện tại cho lệnh mới.</x:v>
      </x:c>
      <x:c r="K141" s="9" t="str">
        <x:v>Fixture lỗi nhất quán: Trip đóng nhưng thiếu closure</x:v>
      </x:c>
      <x:c r="L141" s="9" t="str">
        <x:v>1. GET closure</x:v>
      </x:c>
      <x:c r="M141" s="9" t="str">
        <x:v>503; không tạo kết quả SUCCEEDED giả.</x:v>
      </x:c>
      <x:c r="N141" s="9" t="str">
        <x:v>HTTP request/response đã che token; bản ghi trước/sau tại DB sở hữu; correlationId và log/audit liên quan.</x:v>
      </x:c>
      <x:c r="O141" s="9" t="str">
        <x:v>FR28; NFR03; NFR18</x:v>
      </x:c>
      <x:c r="P141" s="9" t="str">
        <x:v>UC22; AC21</x:v>
      </x:c>
      <x:c r="Q141" s="9" t="str">
        <x:v>17,18</x:v>
      </x:c>
      <x:c r="R141" s="9" t="str">
        <x:v>Khôi phục dependency/fault injection nếu có; dùng bộ ID mới cho ca kế tiếp. Không xóa lịch sử/audit bằng API nghiệp vụ.</x:v>
      </x:c>
      <x:c r="S141" s="11" t="str"/>
      <x:c r="T141" s="11" t="str"/>
      <x:c r="U141" s="11" t="str"/>
      <x:c r="V141" s="11" t="str"/>
      <x:c r="W141" s="12"/>
      <x:c r="X141" s="9" t="str">
        <x:v>API04; API07 resolve-error; MSD 6.6,7.1</x:v>
      </x:c>
    </x:row>
    <x:row r="142" ht="52" customHeight="1">
      <x:c r="A142" s="10" t="str">
        <x:v>TC13-TRIP-021</x:v>
      </x:c>
      <x:c r="B142" s="10" t="str">
        <x:v>TRIP</x:v>
      </x:c>
      <x:c r="C142" s="10" t="str">
        <x:v>GPS mới/cũ/lặp</x:v>
      </x:c>
      <x:c r="D142" s="10" t="str">
        <x:v>P1</x:v>
      </x:c>
      <x:c r="E142" s="10" t="str">
        <x:v>DEFINED</x:v>
      </x:c>
      <x:c r="F142" s="10" t="str">
        <x:v>NOT_RUN</x:v>
      </x:c>
      <x:c r="G142" s="10" t="str"/>
      <x:c r="H142" s="10" t="str">
        <x:v>FUNCTIONAL</x:v>
      </x:c>
      <x:c r="I142" s="10" t="str">
        <x:v>API04 trips/location/closure; API07 incidents/resolve-error</x:v>
      </x:c>
      <x:c r="J142" s="10" t="str">
        <x:v>BASE; T_ASSIGNED/T_ARRIVED/T_PROGRESS/T_ERROR/T_DONE; key mới và expectedVersion hiện tại cho lệnh mới.</x:v>
      </x:c>
      <x:c r="K142" s="10" t="str">
        <x:v>Ba mẫu có recordedAt tăng/giảm/giống, tọa độ giống ở lần lặp</x:v>
      </x:c>
      <x:c r="L142" s="10" t="str">
        <x:v>1. PUT location từng mẫu</x:v>
      </x:c>
      <x:c r="M142" s="10" t="str">
        <x:v>Chỉ mẫu mới thay DriverLocation; mẫu cũ/lặp locationUpdated=false; lặp không đổi receivedAt gốc/version.</x:v>
      </x:c>
      <x:c r="N142" s="10" t="str">
        <x:v>HTTP request/response đã che token; bản ghi trước/sau tại DB sở hữu; correlationId và log/audit liên quan.</x:v>
      </x:c>
      <x:c r="O142" s="10" t="str">
        <x:v>FR18; FR09; NFR03</x:v>
      </x:c>
      <x:c r="P142" s="10" t="str">
        <x:v>UC11; UC04; AC09; AC04</x:v>
      </x:c>
      <x:c r="Q142" s="10" t="str">
        <x:v>17</x:v>
      </x:c>
      <x:c r="R142" s="10" t="str">
        <x:v>Khôi phục dependency/fault injection nếu có; dùng bộ ID mới cho ca kế tiếp. Không xóa lịch sử/audit bằng API nghiệp vụ.</x:v>
      </x:c>
      <x:c r="S142" s="11" t="str"/>
      <x:c r="T142" s="11" t="str"/>
      <x:c r="U142" s="11" t="str"/>
      <x:c r="V142" s="11" t="str"/>
      <x:c r="W142" s="12"/>
      <x:c r="X142" s="10" t="str">
        <x:v>API04; API07 resolve-error; MSD 6.6,7.1</x:v>
      </x:c>
    </x:row>
    <x:row r="143" ht="52" customHeight="1">
      <x:c r="A143" s="9" t="str">
        <x:v>TC13-TRIP-022</x:v>
      </x:c>
      <x:c r="B143" s="9" t="str">
        <x:v>TRIP</x:v>
      </x:c>
      <x:c r="C143" s="9" t="str">
        <x:v>GPS xung đột timestamp</x:v>
      </x:c>
      <x:c r="D143" s="9" t="str">
        <x:v>P1</x:v>
      </x:c>
      <x:c r="E143" s="9" t="str">
        <x:v>DEFINED</x:v>
      </x:c>
      <x:c r="F143" s="9" t="str">
        <x:v>NOT_RUN</x:v>
      </x:c>
      <x:c r="G143" s="9" t="str"/>
      <x:c r="H143" s="9" t="str">
        <x:v>FUNCTIONAL</x:v>
      </x:c>
      <x:c r="I143" s="9" t="str">
        <x:v>API04 trips/location/closure; API07 incidents/resolve-error</x:v>
      </x:c>
      <x:c r="J143" s="9" t="str">
        <x:v>BASE; T_ASSIGNED/T_ARRIVED/T_PROGRESS/T_ERROR/T_DONE; key mới và expectedVersion hiện tại cho lệnh mới.</x:v>
      </x:c>
      <x:c r="K143" s="9" t="str">
        <x:v>Cùng recordedAt nhưng tọa độ khác, kể cả mẫu lịch sử</x:v>
      </x:c>
      <x:c r="L143" s="9" t="str">
        <x:v>1. PUT location</x:v>
      </x:c>
      <x:c r="M143" s="9" t="str">
        <x:v>409 LOCATION_TIMESTAMP_CONFLICT; không ghi đè mẫu hoặc tạo event mới.</x:v>
      </x:c>
      <x:c r="N143" s="9" t="str">
        <x:v>HTTP request/response đã che token; bản ghi trước/sau tại DB sở hữu; correlationId và log/audit liên quan.</x:v>
      </x:c>
      <x:c r="O143" s="9" t="str">
        <x:v>FR18; FR09; NFR03</x:v>
      </x:c>
      <x:c r="P143" s="9" t="str">
        <x:v>UC11; UC04; AC09; AC04</x:v>
      </x:c>
      <x:c r="Q143" s="9" t="str">
        <x:v>17</x:v>
      </x:c>
      <x:c r="R143" s="9" t="str">
        <x:v>Khôi phục dependency/fault injection nếu có; dùng bộ ID mới cho ca kế tiếp. Không xóa lịch sử/audit bằng API nghiệp vụ.</x:v>
      </x:c>
      <x:c r="S143" s="11" t="str"/>
      <x:c r="T143" s="11" t="str"/>
      <x:c r="U143" s="11" t="str"/>
      <x:c r="V143" s="11" t="str"/>
      <x:c r="W143" s="12"/>
      <x:c r="X143" s="9" t="str">
        <x:v>API04; API07 resolve-error; MSD 6.6,7.1</x:v>
      </x:c>
    </x:row>
    <x:row r="144" ht="52" customHeight="1">
      <x:c r="A144" s="10" t="str">
        <x:v>TC13-TRIP-023</x:v>
      </x:c>
      <x:c r="B144" s="10" t="str">
        <x:v>TRIP</x:v>
      </x:c>
      <x:c r="C144" s="10" t="str">
        <x:v>GPS tương lai/tọa độ sai</x:v>
      </x:c>
      <x:c r="D144" s="10" t="str">
        <x:v>P1</x:v>
      </x:c>
      <x:c r="E144" s="10" t="str">
        <x:v>DEFINED</x:v>
      </x:c>
      <x:c r="F144" s="10" t="str">
        <x:v>NOT_RUN</x:v>
      </x:c>
      <x:c r="G144" s="10" t="str"/>
      <x:c r="H144" s="10" t="str">
        <x:v>FUNCTIONAL</x:v>
      </x:c>
      <x:c r="I144" s="10" t="str">
        <x:v>API04 trips/location/closure; API07 incidents/resolve-error</x:v>
      </x:c>
      <x:c r="J144" s="10" t="str">
        <x:v>BASE; T_ASSIGNED/T_ARRIVED/T_PROGRESS/T_ERROR/T_DONE; key mới và expectedVersion hiện tại cho lệnh mới.</x:v>
      </x:c>
      <x:c r="K144" s="10" t="str">
        <x:v>recordedAt &gt; server receive; lat=91 hoặc lon=181</x:v>
      </x:c>
      <x:c r="L144" s="10" t="str">
        <x:v>1. PUT từng biến thể</x:v>
      </x:c>
      <x:c r="M144" s="10" t="str">
        <x:v>400; không cập nhật vị trí/hành trình.</x:v>
      </x:c>
      <x:c r="N144" s="10" t="str">
        <x:v>HTTP request/response đã che token; bản ghi trước/sau tại DB sở hữu; correlationId và log/audit liên quan.</x:v>
      </x:c>
      <x:c r="O144" s="10" t="str">
        <x:v>FR18; FR09; NFR03</x:v>
      </x:c>
      <x:c r="P144" s="10" t="str">
        <x:v>UC11; UC04; AC09; AC04</x:v>
      </x:c>
      <x:c r="Q144" s="10" t="str">
        <x:v>17</x:v>
      </x:c>
      <x:c r="R144" s="10" t="str">
        <x:v>Khôi phục dependency/fault injection nếu có; dùng bộ ID mới cho ca kế tiếp. Không xóa lịch sử/audit bằng API nghiệp vụ.</x:v>
      </x:c>
      <x:c r="S144" s="11" t="str"/>
      <x:c r="T144" s="11" t="str"/>
      <x:c r="U144" s="11" t="str"/>
      <x:c r="V144" s="11" t="str"/>
      <x:c r="W144" s="12"/>
      <x:c r="X144" s="10" t="str">
        <x:v>API04; API07 resolve-error; MSD 6.6,7.1</x:v>
      </x:c>
    </x:row>
    <x:row r="145" ht="52" customHeight="1">
      <x:c r="A145" s="9" t="str">
        <x:v>TC13-TRIP-024</x:v>
      </x:c>
      <x:c r="B145" s="9" t="str">
        <x:v>TRIP</x:v>
      </x:c>
      <x:c r="C145" s="9" t="str">
        <x:v>Mẫu chuyến cũ đến muộn</x:v>
      </x:c>
      <x:c r="D145" s="9" t="str">
        <x:v>P1</x:v>
      </x:c>
      <x:c r="E145" s="9" t="str">
        <x:v>DEFINED</x:v>
      </x:c>
      <x:c r="F145" s="9" t="str">
        <x:v>NOT_RUN</x:v>
      </x:c>
      <x:c r="G145" s="9" t="str"/>
      <x:c r="H145" s="9" t="str">
        <x:v>FUNCTIONAL</x:v>
      </x:c>
      <x:c r="I145" s="9" t="str">
        <x:v>API04 trips/location/closure; API07 incidents/resolve-error</x:v>
      </x:c>
      <x:c r="J145" s="9" t="str">
        <x:v>BASE; T_ASSIGNED/T_ARRIVED/T_PROGRESS/T_ERROR/T_DONE; key mới và expectedVersion hiện tại cho lệnh mới.</x:v>
      </x:c>
      <x:c r="K145" s="9" t="str">
        <x:v>D_A chuyển từ T1 sang T2; mẫu recordedAt thuộc T1</x:v>
      </x:c>
      <x:c r="L145" s="9" t="str">
        <x:v>1. Phát lại envelope cũ</x:v>
      </x:c>
      <x:c r="M145" s="9" t="str">
        <x:v>Không gắn mẫu vào T2; dedupe theo sample/driver/timestamp; T1 đóng không trở lại LIVE.</x:v>
      </x:c>
      <x:c r="N145" s="9" t="str">
        <x:v>HTTP request/response đã che token; bản ghi trước/sau tại DB sở hữu; correlationId và log/audit liên quan.</x:v>
      </x:c>
      <x:c r="O145" s="9" t="str">
        <x:v>FR18; FR09; NFR03</x:v>
      </x:c>
      <x:c r="P145" s="9" t="str">
        <x:v>UC11; UC04; AC09; AC04</x:v>
      </x:c>
      <x:c r="Q145" s="9" t="str">
        <x:v>17</x:v>
      </x:c>
      <x:c r="R145" s="9" t="str">
        <x:v>Khôi phục dependency/fault injection nếu có; dùng bộ ID mới cho ca kế tiếp. Không xóa lịch sử/audit bằng API nghiệp vụ.</x:v>
      </x:c>
      <x:c r="S145" s="11" t="str"/>
      <x:c r="T145" s="11" t="str"/>
      <x:c r="U145" s="11" t="str"/>
      <x:c r="V145" s="11" t="str"/>
      <x:c r="W145" s="12"/>
      <x:c r="X145" s="9" t="str">
        <x:v>API04; API07 resolve-error; MSD 6.6,7.1</x:v>
      </x:c>
    </x:row>
    <x:row r="146" ht="52" customHeight="1">
      <x:c r="A146" s="10" t="str">
        <x:v>TC13-TRIP-025</x:v>
      </x:c>
      <x:c r="B146" s="10" t="str">
        <x:v>TRIP</x:v>
      </x:c>
      <x:c r="C146" s="10" t="str">
        <x:v>Tracking dừng khi đóng</x:v>
      </x:c>
      <x:c r="D146" s="10" t="str">
        <x:v>P1</x:v>
      </x:c>
      <x:c r="E146" s="10" t="str">
        <x:v>DEFINED</x:v>
      </x:c>
      <x:c r="F146" s="10" t="str">
        <x:v>NOT_RUN</x:v>
      </x:c>
      <x:c r="G146" s="10" t="str"/>
      <x:c r="H146" s="10" t="str">
        <x:v>FUNCTIONAL</x:v>
      </x:c>
      <x:c r="I146" s="10" t="str">
        <x:v>API04 trips/location/closure; API07 incidents/resolve-error</x:v>
      </x:c>
      <x:c r="J146" s="10" t="str">
        <x:v>BASE; T_ASSIGNED/T_ARRIVED/T_PROGRESS/T_ERROR/T_DONE; key mới và expectedVersion hiện tại cho lệnh mới.</x:v>
      </x:c>
      <x:c r="K146" s="10" t="str">
        <x:v>T_DONE/T_CANCELLED/ERROR đã closedAt</x:v>
      </x:c>
      <x:c r="L146" s="10" t="str">
        <x:v>1. C_A GET tracking</x:v>
      </x:c>
      <x:c r="M146" s="10" t="str">
        <x:v>STOPPED, driverLocation=null, ETA null/NOT_APPLICABLE, không phone hiện tại của Driver.</x:v>
      </x:c>
      <x:c r="N146" s="10" t="str">
        <x:v>HTTP request/response đã che token; bản ghi trước/sau tại DB sở hữu; correlationId và log/audit liên quan.</x:v>
      </x:c>
      <x:c r="O146" s="10" t="str">
        <x:v>FR09; NFR04</x:v>
      </x:c>
      <x:c r="P146" s="10" t="str">
        <x:v>UC04; AC04</x:v>
      </x:c>
      <x:c r="Q146" s="10" t="str">
        <x:v>17</x:v>
      </x:c>
      <x:c r="R146" s="10" t="str">
        <x:v>Khôi phục dependency/fault injection nếu có; dùng bộ ID mới cho ca kế tiếp. Không xóa lịch sử/audit bằng API nghiệp vụ.</x:v>
      </x:c>
      <x:c r="S146" s="11" t="str"/>
      <x:c r="T146" s="11" t="str"/>
      <x:c r="U146" s="11" t="str"/>
      <x:c r="V146" s="11" t="str"/>
      <x:c r="W146" s="12"/>
      <x:c r="X146" s="10" t="str">
        <x:v>API04; API07 resolve-error; MSD 6.6,7.1</x:v>
      </x:c>
    </x:row>
    <x:row r="147" ht="52" customHeight="1">
      <x:c r="A147" s="9" t="str">
        <x:v>TC13-TRIP-026</x:v>
      </x:c>
      <x:c r="B147" s="9" t="str">
        <x:v>TRIP</x:v>
      </x:c>
      <x:c r="C147" s="9" t="str">
        <x:v>Tracking không có GPS/ETA</x:v>
      </x:c>
      <x:c r="D147" s="9" t="str">
        <x:v>P1</x:v>
      </x:c>
      <x:c r="E147" s="9" t="str">
        <x:v>DEFINED</x:v>
      </x:c>
      <x:c r="F147" s="9" t="str">
        <x:v>NOT_RUN</x:v>
      </x:c>
      <x:c r="G147" s="9" t="str"/>
      <x:c r="H147" s="9" t="str">
        <x:v>FUNCTIONAL</x:v>
      </x:c>
      <x:c r="I147" s="9" t="str">
        <x:v>API04 trips/location/closure; API07 incidents/resolve-error</x:v>
      </x:c>
      <x:c r="J147" s="9" t="str">
        <x:v>BASE; T_ASSIGNED/T_ARRIVED/T_PROGRESS/T_ERROR/T_DONE; key mới và expectedVersion hiện tại cho lệnh mới.</x:v>
      </x:c>
      <x:c r="K147" s="9" t="str">
        <x:v>Trip chưa đóng; không mẫu hoặc mẫu &gt;30s</x:v>
      </x:c>
      <x:c r="L147" s="9" t="str">
        <x:v>1. GET tracking</x:v>
      </x:c>
      <x:c r="M147" s="9" t="str">
        <x:v>UNAVAILABLE hoặc STALE đúng dữ liệu; ETA thiếu không giả bằng 0; Driver không tự được giải phóng.</x:v>
      </x:c>
      <x:c r="N147" s="9" t="str">
        <x:v>HTTP request/response đã che token; bản ghi trước/sau tại DB sở hữu; correlationId và log/audit liên quan.</x:v>
      </x:c>
      <x:c r="O147" s="9" t="str">
        <x:v>FR09; NFR04</x:v>
      </x:c>
      <x:c r="P147" s="9" t="str">
        <x:v>UC04; AC04</x:v>
      </x:c>
      <x:c r="Q147" s="9" t="str">
        <x:v>17</x:v>
      </x:c>
      <x:c r="R147" s="9" t="str">
        <x:v>Khôi phục dependency/fault injection nếu có; dùng bộ ID mới cho ca kế tiếp. Không xóa lịch sử/audit bằng API nghiệp vụ.</x:v>
      </x:c>
      <x:c r="S147" s="11" t="str"/>
      <x:c r="T147" s="11" t="str"/>
      <x:c r="U147" s="11" t="str"/>
      <x:c r="V147" s="11" t="str"/>
      <x:c r="W147" s="12"/>
      <x:c r="X147" s="9" t="str">
        <x:v>API04; API07 resolve-error; MSD 6.6,7.1</x:v>
      </x:c>
    </x:row>
    <x:row r="148" ht="52" customHeight="1">
      <x:c r="A148" s="10" t="str">
        <x:v>TC13-TRIP-027</x:v>
      </x:c>
      <x:c r="B148" s="10" t="str">
        <x:v>TRIP</x:v>
      </x:c>
      <x:c r="C148" s="10" t="str">
        <x:v>Trip đóng trong lúc tổng hợp tracking</x:v>
      </x:c>
      <x:c r="D148" s="10" t="str">
        <x:v>P1</x:v>
      </x:c>
      <x:c r="E148" s="10" t="str">
        <x:v>DEFINED</x:v>
      </x:c>
      <x:c r="F148" s="10" t="str">
        <x:v>NOT_RUN</x:v>
      </x:c>
      <x:c r="G148" s="10" t="str"/>
      <x:c r="H148" s="10" t="str">
        <x:v>FUNCTIONAL</x:v>
      </x:c>
      <x:c r="I148" s="10" t="str">
        <x:v>API04 trips/location/closure; API07 incidents/resolve-error</x:v>
      </x:c>
      <x:c r="J148" s="10" t="str">
        <x:v>BASE; T_ASSIGNED/T_ARRIVED/T_PROGRESS/T_ERROR/T_DONE; key mới và expectedVersion hiện tại cho lệnh mới.</x:v>
      </x:c>
      <x:c r="K148" s="10" t="str">
        <x:v>Chặn RPC tên/xe rồi đóng Trip</x:v>
      </x:c>
      <x:c r="L148" s="10" t="str">
        <x:v>1. Tiếp tục GET tracking</x:v>
      </x:c>
      <x:c r="M148" s="10" t="str">
        <x:v>Đọc kiểm tra Trip/version cuối; loại GPS/phone/ETA nếu đã đóng, không dùng vị trí chuyến sau.</x:v>
      </x:c>
      <x:c r="N148" s="10" t="str">
        <x:v>HTTP request/response đã che token; bản ghi trước/sau tại DB sở hữu; correlationId và log/audit liên quan.</x:v>
      </x:c>
      <x:c r="O148" s="10" t="str">
        <x:v>FR09; NFR04</x:v>
      </x:c>
      <x:c r="P148" s="10" t="str">
        <x:v>UC04; AC04</x:v>
      </x:c>
      <x:c r="Q148" s="10" t="str">
        <x:v>17</x:v>
      </x:c>
      <x:c r="R148" s="10" t="str">
        <x:v>Khôi phục dependency/fault injection nếu có; dùng bộ ID mới cho ca kế tiếp. Không xóa lịch sử/audit bằng API nghiệp vụ.</x:v>
      </x:c>
      <x:c r="S148" s="11" t="str"/>
      <x:c r="T148" s="11" t="str"/>
      <x:c r="U148" s="11" t="str"/>
      <x:c r="V148" s="11" t="str"/>
      <x:c r="W148" s="12"/>
      <x:c r="X148" s="10" t="str">
        <x:v>API04; API07 resolve-error; MSD 6.6,7.1</x:v>
      </x:c>
    </x:row>
    <x:row r="149" ht="52" customHeight="1">
      <x:c r="A149" s="9" t="str">
        <x:v>TC13-TRIP-028</x:v>
      </x:c>
      <x:c r="B149" s="9" t="str">
        <x:v>TRIP</x:v>
      </x:c>
      <x:c r="C149" s="9" t="str">
        <x:v>Lịch sử Trip tách Booking</x:v>
      </x:c>
      <x:c r="D149" s="9" t="str">
        <x:v>P1</x:v>
      </x:c>
      <x:c r="E149" s="9" t="str">
        <x:v>DEFINED</x:v>
      </x:c>
      <x:c r="F149" s="9" t="str">
        <x:v>NOT_RUN</x:v>
      </x:c>
      <x:c r="G149" s="9" t="str"/>
      <x:c r="H149" s="9" t="str">
        <x:v>FUNCTIONAL</x:v>
      </x:c>
      <x:c r="I149" s="9" t="str">
        <x:v>API04 trips/location/closure; API07 incidents/resolve-error</x:v>
      </x:c>
      <x:c r="J149" s="9" t="str">
        <x:v>BASE; T_ASSIGNED/T_ARRIVED/T_PROGRESS/T_ERROR/T_DONE; key mới và expectedVersion hiện tại cho lệnh mới.</x:v>
      </x:c>
      <x:c r="K149" s="9" t="str">
        <x:v>C_A có NO_DRIVER_FOUND Booking và Trip cũ</x:v>
      </x:c>
      <x:c r="L149" s="9" t="str">
        <x:v>1. GET trips và bookings</x:v>
      </x:c>
      <x:c r="M149" s="9" t="str">
        <x:v>Booking không có Trip chỉ xuất hiện ở bookings; Trip lịch sử giữ đúng Driver/Vehicle.</x:v>
      </x:c>
      <x:c r="N149" s="9" t="str">
        <x:v>HTTP request/response đã che token; bản ghi trước/sau tại DB sở hữu; correlationId và log/audit liên quan.</x:v>
      </x:c>
      <x:c r="O149" s="9" t="str">
        <x:v>FR20</x:v>
      </x:c>
      <x:c r="P149" s="9" t="str">
        <x:v>UC13; AC11</x:v>
      </x:c>
      <x:c r="Q149" s="9" t="str">
        <x:v>17</x:v>
      </x:c>
      <x:c r="R149" s="9" t="str">
        <x:v>Khôi phục dependency/fault injection nếu có; dùng bộ ID mới cho ca kế tiếp. Không xóa lịch sử/audit bằng API nghiệp vụ.</x:v>
      </x:c>
      <x:c r="S149" s="11" t="str"/>
      <x:c r="T149" s="11" t="str"/>
      <x:c r="U149" s="11" t="str"/>
      <x:c r="V149" s="11" t="str"/>
      <x:c r="W149" s="12"/>
      <x:c r="X149" s="9" t="str">
        <x:v>API04; API07 resolve-error; MSD 6.6,7.1</x:v>
      </x:c>
    </x:row>
    <x:row r="150" ht="52" customHeight="1">
      <x:c r="A150" s="10" t="str">
        <x:v>TC13-TRIP-029</x:v>
      </x:c>
      <x:c r="B150" s="10" t="str">
        <x:v>TRIP</x:v>
      </x:c>
      <x:c r="C150" s="10" t="str">
        <x:v>Khoảng thời gian lịch sử</x:v>
      </x:c>
      <x:c r="D150" s="10" t="str">
        <x:v>P1</x:v>
      </x:c>
      <x:c r="E150" s="10" t="str">
        <x:v>DEFINED</x:v>
      </x:c>
      <x:c r="F150" s="10" t="str">
        <x:v>NOT_RUN</x:v>
      </x:c>
      <x:c r="G150" s="10" t="str"/>
      <x:c r="H150" s="10" t="str">
        <x:v>FUNCTIONAL</x:v>
      </x:c>
      <x:c r="I150" s="10" t="str">
        <x:v>API04 trips/location/closure; API07 incidents/resolve-error</x:v>
      </x:c>
      <x:c r="J150" s="10" t="str">
        <x:v>BASE; T_ASSIGNED/T_ARRIVED/T_PROGRESS/T_ERROR/T_DONE; key mới và expectedVersion hiện tại cho lệnh mới.</x:v>
      </x:c>
      <x:c r="K150" s="10" t="str">
        <x:v>Trip đúng from, đúng to và nằm giữa</x:v>
      </x:c>
      <x:c r="L150" s="10" t="str">
        <x:v>1. GET trips from/to</x:v>
      </x:c>
      <x:c r="M150" s="10" t="str">
        <x:v>Khoảng [from,to); đúng from có, đúng to không; from&gt;=to hoặc thiếu timezone bị 400.</x:v>
      </x:c>
      <x:c r="N150" s="10" t="str">
        <x:v>HTTP request/response đã che token; bản ghi trước/sau tại DB sở hữu; correlationId và log/audit liên quan.</x:v>
      </x:c>
      <x:c r="O150" s="10" t="str">
        <x:v>FR20</x:v>
      </x:c>
      <x:c r="P150" s="10" t="str">
        <x:v>UC13; AC11</x:v>
      </x:c>
      <x:c r="Q150" s="10" t="str">
        <x:v>17</x:v>
      </x:c>
      <x:c r="R150" s="10" t="str">
        <x:v>Khôi phục dependency/fault injection nếu có; dùng bộ ID mới cho ca kế tiếp. Không xóa lịch sử/audit bằng API nghiệp vụ.</x:v>
      </x:c>
      <x:c r="S150" s="11" t="str"/>
      <x:c r="T150" s="11" t="str"/>
      <x:c r="U150" s="11" t="str"/>
      <x:c r="V150" s="11" t="str"/>
      <x:c r="W150" s="12"/>
      <x:c r="X150" s="10" t="str">
        <x:v>API04; API07 resolve-error; MSD 6.6,7.1</x:v>
      </x:c>
    </x:row>
    <x:row r="151" ht="52" customHeight="1">
      <x:c r="A151" s="9" t="str">
        <x:v>TC13-PAY-001</x:v>
      </x:c>
      <x:c r="B151" s="9" t="str">
        <x:v>PAY</x:v>
      </x:c>
      <x:c r="C151" s="9" t="str">
        <x:v>Fare chờ metrics</x:v>
      </x:c>
      <x:c r="D151" s="9" t="str">
        <x:v>P1</x:v>
      </x:c>
      <x:c r="E151" s="9" t="str">
        <x:v>DEFINED</x:v>
      </x:c>
      <x:c r="F151" s="9" t="str">
        <x:v>NOT_RUN</x:v>
      </x:c>
      <x:c r="G151" s="9" t="str"/>
      <x:c r="H151" s="9" t="str">
        <x:v>FUNCTIONAL</x:v>
      </x:c>
      <x:c r="I151" s="9" t="str">
        <x:v>API05 fare/payments; API07 pricing</x:v>
      </x:c>
      <x:c r="J151" s="9" t="str">
        <x:v>BASE; T_DONE thuộc C_A/D_A; JourneyMetrics theo ca; Payment fixtures độc lập.</x:v>
      </x:c>
      <x:c r="K151" s="9" t="str">
        <x:v>Trip COMPLETED; metrics PENDING hoặc REVIEW_REQUIRED</x:v>
      </x:c>
      <x:c r="L151" s="9" t="str">
        <x:v>1. GET fare; thử tạo Payment</x:v>
      </x:c>
      <x:c r="M151" s="9" t="str">
        <x:v>409 FARE_NOT_READY/FARE_REQUIRES_REVIEW theo trạng thái; không tự tạo cước 0 hoặc thu tiền.</x:v>
      </x:c>
      <x:c r="N151" s="9" t="str">
        <x:v>HTTP request/response đã che token; bản ghi trước/sau tại DB sở hữu; correlationId và log/audit liên quan.</x:v>
      </x:c>
      <x:c r="O151" s="9" t="str">
        <x:v>FR10; FR21; NFR03</x:v>
      </x:c>
      <x:c r="P151" s="9" t="str">
        <x:v>UC07; UC14; AC06; AC12</x:v>
      </x:c>
      <x:c r="Q151" s="9" t="str">
        <x:v>19</x:v>
      </x:c>
      <x:c r="R151" s="9" t="str">
        <x:v>Khôi phục dependency/fault injection nếu có; dùng bộ ID mới cho ca kế tiếp. Không xóa lịch sử/audit bằng API nghiệp vụ.</x:v>
      </x:c>
      <x:c r="S151" s="11" t="str"/>
      <x:c r="T151" s="11" t="str"/>
      <x:c r="U151" s="11" t="str"/>
      <x:c r="V151" s="11" t="str"/>
      <x:c r="W151" s="12"/>
      <x:c r="X151" s="9" t="str">
        <x:v>API05; API07 pricing; MSD 7.2–7.4</x:v>
      </x:c>
    </x:row>
    <x:row r="152" ht="52" customHeight="1">
      <x:c r="A152" s="10" t="str">
        <x:v>TC13-PAY-002</x:v>
      </x:c>
      <x:c r="B152" s="10" t="str">
        <x:v>PAY</x:v>
      </x:c>
      <x:c r="C152" s="10" t="str">
        <x:v>Fare chỉ chuyến hoàn thành</x:v>
      </x:c>
      <x:c r="D152" s="10" t="str">
        <x:v>P1</x:v>
      </x:c>
      <x:c r="E152" s="10" t="str">
        <x:v>DEFINED</x:v>
      </x:c>
      <x:c r="F152" s="10" t="str">
        <x:v>NOT_RUN</x:v>
      </x:c>
      <x:c r="G152" s="10" t="str"/>
      <x:c r="H152" s="10" t="str">
        <x:v>FUNCTIONAL</x:v>
      </x:c>
      <x:c r="I152" s="10" t="str">
        <x:v>API05 fare/payments; API07 pricing</x:v>
      </x:c>
      <x:c r="J152" s="10" t="str">
        <x:v>BASE; T_DONE thuộc C_A/D_A; JourneyMetrics theo ca; Payment fixtures độc lập.</x:v>
      </x:c>
      <x:c r="K152" s="10" t="str">
        <x:v>Trip CANCELLED hoặc ERROR đã đóng</x:v>
      </x:c>
      <x:c r="L152" s="10" t="str">
        <x:v>1. GET fare/tạo Payment</x:v>
      </x:c>
      <x:c r="M152" s="10" t="str">
        <x:v>409 TRIP_NOT_COMPLETED; đóng bất thường không là COMPLETED.</x:v>
      </x:c>
      <x:c r="N152" s="10" t="str">
        <x:v>HTTP request/response đã che token; bản ghi trước/sau tại DB sở hữu; correlationId và log/audit liên quan.</x:v>
      </x:c>
      <x:c r="O152" s="10" t="str">
        <x:v>FR10; FR21; NFR03</x:v>
      </x:c>
      <x:c r="P152" s="10" t="str">
        <x:v>UC07; UC14; AC06; AC12</x:v>
      </x:c>
      <x:c r="Q152" s="10" t="str">
        <x:v>19</x:v>
      </x:c>
      <x:c r="R152" s="10" t="str">
        <x:v>Khôi phục dependency/fault injection nếu có; dùng bộ ID mới cho ca kế tiếp. Không xóa lịch sử/audit bằng API nghiệp vụ.</x:v>
      </x:c>
      <x:c r="S152" s="11" t="str"/>
      <x:c r="T152" s="11" t="str"/>
      <x:c r="U152" s="11" t="str"/>
      <x:c r="V152" s="11" t="str"/>
      <x:c r="W152" s="12"/>
      <x:c r="X152" s="10" t="str">
        <x:v>API05; API07 pricing; MSD 7.2–7.4</x:v>
      </x:c>
    </x:row>
    <x:row r="153" ht="52" customHeight="1">
      <x:c r="A153" s="9" t="str">
        <x:v>TC13-PAY-003</x:v>
      </x:c>
      <x:c r="B153" s="9" t="str">
        <x:v>PAY</x:v>
      </x:c>
      <x:c r="C153" s="9" t="str">
        <x:v>Tính cước bằng decimal</x:v>
      </x:c>
      <x:c r="D153" s="9" t="str">
        <x:v>P1</x:v>
      </x:c>
      <x:c r="E153" s="9" t="str">
        <x:v>DEFINED</x:v>
      </x:c>
      <x:c r="F153" s="9" t="str">
        <x:v>NOT_RUN</x:v>
      </x:c>
      <x:c r="G153" s="9" t="str"/>
      <x:c r="H153" s="9" t="str">
        <x:v>FUNCTIONAL</x:v>
      </x:c>
      <x:c r="I153" s="9" t="str">
        <x:v>API05 fare/payments; API07 pricing</x:v>
      </x:c>
      <x:c r="J153" s="9" t="str">
        <x:v>BASE; T_DONE thuộc C_A/D_A; JourneyMetrics theo ca; Payment fixtures độc lập.</x:v>
      </x:c>
      <x:c r="K153" s="9" t="str">
        <x:v>base=10000, km=1.25, giá/km=8000, phút=2.5, giá/phút=1000</x:v>
      </x:c>
      <x:c r="L153" s="9" t="str">
        <x:v>1. Xác nhận metrics; đọc Fare</x:v>
      </x:c>
      <x:c r="M153" s="9" t="str">
        <x:v>baseAmount=10000; distanceAmount=10000; timeAmount=2500; totalAmount=22500 VND.</x:v>
      </x:c>
      <x:c r="N153" s="9" t="str">
        <x:v>HTTP request/response đã che token; bản ghi trước/sau tại DB sở hữu; correlationId và log/audit liên quan.</x:v>
      </x:c>
      <x:c r="O153" s="9" t="str">
        <x:v>FR10; FR21; NFR03</x:v>
      </x:c>
      <x:c r="P153" s="9" t="str">
        <x:v>UC07; UC14; AC06; AC12</x:v>
      </x:c>
      <x:c r="Q153" s="9" t="str">
        <x:v>19</x:v>
      </x:c>
      <x:c r="R153" s="9" t="str">
        <x:v>Khôi phục dependency/fault injection nếu có; dùng bộ ID mới cho ca kế tiếp. Không xóa lịch sử/audit bằng API nghiệp vụ.</x:v>
      </x:c>
      <x:c r="S153" s="11" t="str"/>
      <x:c r="T153" s="11" t="str"/>
      <x:c r="U153" s="11" t="str"/>
      <x:c r="V153" s="11" t="str"/>
      <x:c r="W153" s="12"/>
      <x:c r="X153" s="9" t="str">
        <x:v>API05; API07 pricing; MSD 7.2–7.4</x:v>
      </x:c>
    </x:row>
    <x:row r="154" ht="52" customHeight="1">
      <x:c r="A154" s="10" t="str">
        <x:v>TC13-PAY-004</x:v>
      </x:c>
      <x:c r="B154" s="10" t="str">
        <x:v>PAY</x:v>
      </x:c>
      <x:c r="C154" s="10" t="str">
        <x:v>Làm tròn tổng nửa lên</x:v>
      </x:c>
      <x:c r="D154" s="10" t="str">
        <x:v>P1</x:v>
      </x:c>
      <x:c r="E154" s="10" t="str">
        <x:v>DEFINED</x:v>
      </x:c>
      <x:c r="F154" s="10" t="str">
        <x:v>NOT_RUN</x:v>
      </x:c>
      <x:c r="G154" s="10" t="str"/>
      <x:c r="H154" s="10" t="str">
        <x:v>FUNCTIONAL</x:v>
      </x:c>
      <x:c r="I154" s="10" t="str">
        <x:v>API05 fare/payments; API07 pricing</x:v>
      </x:c>
      <x:c r="J154" s="10" t="str">
        <x:v>BASE; T_DONE thuộc C_A/D_A; JourneyMetrics theo ca; Payment fixtures độc lập.</x:v>
      </x:c>
      <x:c r="K154" s="10" t="str">
        <x:v>base=10000, distanceAmount=0.25, timeAmount=0.25</x:v>
      </x:c>
      <x:c r="L154" s="10" t="str">
        <x:v>1. Tính Fare từ metrics hợp lệ</x:v>
      </x:c>
      <x:c r="M154" s="10" t="str">
        <x:v>Tổng 10000.5 thành 10001; không làm tròn từng phần thành 0 rồi cộng.</x:v>
      </x:c>
      <x:c r="N154" s="10" t="str">
        <x:v>HTTP request/response đã che token; bản ghi trước/sau tại DB sở hữu; correlationId và log/audit liên quan.</x:v>
      </x:c>
      <x:c r="O154" s="10" t="str">
        <x:v>FR10; FR21; NFR03</x:v>
      </x:c>
      <x:c r="P154" s="10" t="str">
        <x:v>UC07; UC14; AC06; AC12</x:v>
      </x:c>
      <x:c r="Q154" s="10" t="str">
        <x:v>19</x:v>
      </x:c>
      <x:c r="R154" s="10" t="str">
        <x:v>Khôi phục dependency/fault injection nếu có; dùng bộ ID mới cho ca kế tiếp. Không xóa lịch sử/audit bằng API nghiệp vụ.</x:v>
      </x:c>
      <x:c r="S154" s="11" t="str"/>
      <x:c r="T154" s="11" t="str"/>
      <x:c r="U154" s="11" t="str"/>
      <x:c r="V154" s="11" t="str"/>
      <x:c r="W154" s="12"/>
      <x:c r="X154" s="10" t="str">
        <x:v>API05; API07 pricing; MSD 7.2–7.4</x:v>
      </x:c>
    </x:row>
    <x:row r="155" ht="52" customHeight="1">
      <x:c r="A155" s="9" t="str">
        <x:v>TC13-PAY-005</x:v>
      </x:c>
      <x:c r="B155" s="9" t="str">
        <x:v>PAY</x:v>
      </x:c>
      <x:c r="C155" s="9" t="str">
        <x:v>Giá mới không sửa Fare</x:v>
      </x:c>
      <x:c r="D155" s="9" t="str">
        <x:v>P1</x:v>
      </x:c>
      <x:c r="E155" s="9" t="str">
        <x:v>DEFINED</x:v>
      </x:c>
      <x:c r="F155" s="9" t="str">
        <x:v>NOT_RUN</x:v>
      </x:c>
      <x:c r="G155" s="9" t="str"/>
      <x:c r="H155" s="9" t="str">
        <x:v>FUNCTIONAL</x:v>
      </x:c>
      <x:c r="I155" s="9" t="str">
        <x:v>API05 fare/payments; API07 pricing</x:v>
      </x:c>
      <x:c r="J155" s="9" t="str">
        <x:v>BASE; T_DONE thuộc C_A/D_A; JourneyMetrics theo ca; Payment fixtures độc lập.</x:v>
      </x:c>
      <x:c r="K155" s="9" t="str">
        <x:v>Booking giữ P_V1; P_V2 hiện hiệu lực</x:v>
      </x:c>
      <x:c r="L155" s="9" t="str">
        <x:v>1. Hoàn thành Trip và đọc Fare</x:v>
      </x:c>
      <x:c r="M155" s="9" t="str">
        <x:v>Dùng snapshot P_V1, giữ pricingVersionId/metricsVersion; không tính lại theo P_V2.</x:v>
      </x:c>
      <x:c r="N155" s="9" t="str">
        <x:v>HTTP request/response đã che token; bản ghi trước/sau tại DB sở hữu; correlationId và log/audit liên quan.</x:v>
      </x:c>
      <x:c r="O155" s="9" t="str">
        <x:v>FR10; FR21; NFR03</x:v>
      </x:c>
      <x:c r="P155" s="9" t="str">
        <x:v>UC07; UC14; AC06; AC12</x:v>
      </x:c>
      <x:c r="Q155" s="9" t="str">
        <x:v>19</x:v>
      </x:c>
      <x:c r="R155" s="9" t="str">
        <x:v>Khôi phục dependency/fault injection nếu có; dùng bộ ID mới cho ca kế tiếp. Không xóa lịch sử/audit bằng API nghiệp vụ.</x:v>
      </x:c>
      <x:c r="S155" s="11" t="str"/>
      <x:c r="T155" s="11" t="str"/>
      <x:c r="U155" s="11" t="str"/>
      <x:c r="V155" s="11" t="str"/>
      <x:c r="W155" s="12"/>
      <x:c r="X155" s="9" t="str">
        <x:v>API05; API07 pricing; MSD 7.2–7.4</x:v>
      </x:c>
    </x:row>
    <x:row r="156" ht="52" customHeight="1">
      <x:c r="A156" s="10" t="str">
        <x:v>TC13-PAY-006</x:v>
      </x:c>
      <x:c r="B156" s="10" t="str">
        <x:v>PAY</x:v>
      </x:c>
      <x:c r="C156" s="10" t="str">
        <x:v>Metrics event trùng</x:v>
      </x:c>
      <x:c r="D156" s="10" t="str">
        <x:v>P1</x:v>
      </x:c>
      <x:c r="E156" s="10" t="str">
        <x:v>DEFINED</x:v>
      </x:c>
      <x:c r="F156" s="10" t="str">
        <x:v>NOT_RUN</x:v>
      </x:c>
      <x:c r="G156" s="10" t="str"/>
      <x:c r="H156" s="10" t="str">
        <x:v>FUNCTIONAL</x:v>
      </x:c>
      <x:c r="I156" s="10" t="str">
        <x:v>API05 fare/payments; API07 pricing</x:v>
      </x:c>
      <x:c r="J156" s="10" t="str">
        <x:v>BASE; T_DONE thuộc C_A/D_A; JourneyMetrics theo ca; Payment fixtures độc lập.</x:v>
      </x:c>
      <x:c r="K156" s="10" t="str">
        <x:v>Cùng eventId/version phát hai lần</x:v>
      </x:c>
      <x:c r="L156" s="10" t="str">
        <x:v>1. Worker Payment nhận lặp</x:v>
      </x:c>
      <x:c r="M156" s="10" t="str">
        <x:v>Một Fare theo tripId; không tạo Payment tự động hoặc event lặp.</x:v>
      </x:c>
      <x:c r="N156" s="10" t="str">
        <x:v>HTTP request/response đã che token; bản ghi trước/sau tại DB sở hữu; correlationId và log/audit liên quan.</x:v>
      </x:c>
      <x:c r="O156" s="10" t="str">
        <x:v>FR10; FR21; NFR03</x:v>
      </x:c>
      <x:c r="P156" s="10" t="str">
        <x:v>UC07; UC14; AC06; AC12</x:v>
      </x:c>
      <x:c r="Q156" s="10" t="str">
        <x:v>19</x:v>
      </x:c>
      <x:c r="R156" s="10" t="str">
        <x:v>Khôi phục dependency/fault injection nếu có; dùng bộ ID mới cho ca kế tiếp. Không xóa lịch sử/audit bằng API nghiệp vụ.</x:v>
      </x:c>
      <x:c r="S156" s="11" t="str"/>
      <x:c r="T156" s="11" t="str"/>
      <x:c r="U156" s="11" t="str"/>
      <x:c r="V156" s="11" t="str"/>
      <x:c r="W156" s="12"/>
      <x:c r="X156" s="10" t="str">
        <x:v>API05; API07 pricing; MSD 7.2–7.4</x:v>
      </x:c>
    </x:row>
    <x:row r="157" ht="52" customHeight="1">
      <x:c r="A157" s="9" t="str">
        <x:v>TC13-PAY-007</x:v>
      </x:c>
      <x:c r="B157" s="9" t="str">
        <x:v>PAY</x:v>
      </x:c>
      <x:c r="C157" s="9" t="str">
        <x:v>Metrics mâu thuẫn sau phát hành</x:v>
      </x:c>
      <x:c r="D157" s="9" t="str">
        <x:v>P1</x:v>
      </x:c>
      <x:c r="E157" s="9" t="str">
        <x:v>DEFINED</x:v>
      </x:c>
      <x:c r="F157" s="9" t="str">
        <x:v>NOT_RUN</x:v>
      </x:c>
      <x:c r="G157" s="9" t="str"/>
      <x:c r="H157" s="9" t="str">
        <x:v>FUNCTIONAL</x:v>
      </x:c>
      <x:c r="I157" s="9" t="str">
        <x:v>API05 fare/payments; API07 pricing</x:v>
      </x:c>
      <x:c r="J157" s="9" t="str">
        <x:v>BASE; T_DONE thuộc C_A/D_A; JourneyMetrics theo ca; Payment fixtures độc lập.</x:v>
      </x:c>
      <x:c r="K157" s="9" t="str">
        <x:v>Fare đã có; dữ liệu nguồn khác metricsVersion/nội dung</x:v>
      </x:c>
      <x:c r="L157" s="9" t="str">
        <x:v>1. Xử lý sự kiện và đối soát</x:v>
      </x:c>
      <x:c r="M157" s="9" t="str">
        <x:v>Giữ Fare bất biến; lưu bằng chứng, chặn thu mới để review; không hạ Payment SUCCESS.</x:v>
      </x:c>
      <x:c r="N157" s="9" t="str">
        <x:v>HTTP request/response đã che token; bản ghi trước/sau tại DB sở hữu; correlationId và log/audit liên quan.</x:v>
      </x:c>
      <x:c r="O157" s="9" t="str">
        <x:v>FR10; FR21; NFR03</x:v>
      </x:c>
      <x:c r="P157" s="9" t="str">
        <x:v>UC07; UC14; AC06; AC12</x:v>
      </x:c>
      <x:c r="Q157" s="9" t="str">
        <x:v>19</x:v>
      </x:c>
      <x:c r="R157" s="9" t="str">
        <x:v>Khôi phục dependency/fault injection nếu có; dùng bộ ID mới cho ca kế tiếp. Không xóa lịch sử/audit bằng API nghiệp vụ.</x:v>
      </x:c>
      <x:c r="S157" s="11" t="str"/>
      <x:c r="T157" s="11" t="str"/>
      <x:c r="U157" s="11" t="str"/>
      <x:c r="V157" s="11" t="str"/>
      <x:c r="W157" s="12"/>
      <x:c r="X157" s="9" t="str">
        <x:v>API05; API07 pricing; MSD 7.2–7.4</x:v>
      </x:c>
    </x:row>
    <x:row r="158" ht="52" customHeight="1">
      <x:c r="A158" s="10" t="str">
        <x:v>TC13-PAY-008</x:v>
      </x:c>
      <x:c r="B158" s="10" t="str">
        <x:v>PAY</x:v>
      </x:c>
      <x:c r="C158" s="10" t="str">
        <x:v>Thuật toán metrics GPS thật</x:v>
      </x:c>
      <x:c r="D158" s="10" t="str">
        <x:v>P1</x:v>
      </x:c>
      <x:c r="E158" s="10" t="str">
        <x:v>NEEDS_DECISION</x:v>
      </x:c>
      <x:c r="F158" s="10" t="str">
        <x:v>NOT_RUN</x:v>
      </x:c>
      <x:c r="G158" s="10" t="str">
        <x:v>D03</x:v>
      </x:c>
      <x:c r="H158" s="10" t="str">
        <x:v>FUNCTIONAL</x:v>
      </x:c>
      <x:c r="I158" s="10" t="str">
        <x:v>API05 fare/payments; API07 pricing</x:v>
      </x:c>
      <x:c r="J158" s="10" t="str">
        <x:v>BASE; T_DONE thuộc C_A/D_A; JourneyMetrics theo ca; Payment fixtures độc lập.</x:v>
      </x:c>
      <x:c r="K158" s="10" t="str">
        <x:v>Mẫu đường cong, mất mẫu, nhảy GPS, khoảng ERROR</x:v>
      </x:c>
      <x:c r="L158" s="10" t="str">
        <x:v>1. Chạy xác nhận với bộ dữ liệu đã có oracle</x:v>
      </x:c>
      <x:c r="M158" s="10" t="str">
        <x:v>So khớp distance/duration/qualityStatus với thuật toán được duyệt; không dùng đường thẳng/0 thay dữ liệu thiếu.</x:v>
      </x:c>
      <x:c r="N158" s="10" t="str">
        <x:v>HTTP request/response đã che token; bản ghi trước/sau tại DB sở hữu; correlationId và log/audit liên quan.</x:v>
      </x:c>
      <x:c r="O158" s="10" t="str">
        <x:v>FR10; FR21; NFR03</x:v>
      </x:c>
      <x:c r="P158" s="10" t="str">
        <x:v>UC07; UC14; AC06; AC12</x:v>
      </x:c>
      <x:c r="Q158" s="10" t="str">
        <x:v>19</x:v>
      </x:c>
      <x:c r="R158" s="10" t="str">
        <x:v>Khôi phục dependency/fault injection nếu có; dùng bộ ID mới cho ca kế tiếp. Không xóa lịch sử/audit bằng API nghiệp vụ.</x:v>
      </x:c>
      <x:c r="S158" s="11" t="str"/>
      <x:c r="T158" s="11" t="str"/>
      <x:c r="U158" s="11" t="str"/>
      <x:c r="V158" s="11" t="str"/>
      <x:c r="W158" s="12"/>
      <x:c r="X158" s="10" t="str">
        <x:v>API05; API07 pricing; MSD 7.2–7.4</x:v>
      </x:c>
    </x:row>
    <x:row r="159" ht="52" customHeight="1">
      <x:c r="A159" s="9" t="str">
        <x:v>TC13-PAY-009</x:v>
      </x:c>
      <x:c r="B159" s="9" t="str">
        <x:v>PAY</x:v>
      </x:c>
      <x:c r="C159" s="9" t="str">
        <x:v>CASH mới chỉ PENDING</x:v>
      </x:c>
      <x:c r="D159" s="9" t="str">
        <x:v>P1</x:v>
      </x:c>
      <x:c r="E159" s="9" t="str">
        <x:v>DEFINED</x:v>
      </x:c>
      <x:c r="F159" s="9" t="str">
        <x:v>NOT_RUN</x:v>
      </x:c>
      <x:c r="G159" s="9" t="str"/>
      <x:c r="H159" s="9" t="str">
        <x:v>FUNCTIONAL</x:v>
      </x:c>
      <x:c r="I159" s="9" t="str">
        <x:v>API05 fare/payments; API07 pricing</x:v>
      </x:c>
      <x:c r="J159" s="9" t="str">
        <x:v>BASE; T_DONE thuộc C_A/D_A; JourneyMetrics theo ca; Payment fixtures độc lập.</x:v>
      </x:c>
      <x:c r="K159" s="9" t="str">
        <x:v>Fare sẵn sàng; C_A chọn CASH</x:v>
      </x:c>
      <x:c r="L159" s="9" t="str">
        <x:v>1. POST payments</x:v>
      </x:c>
      <x:c r="M159" s="9" t="str">
        <x:v>201 Payment/Attempt PENDING, attemptNumber=1, không paidAt; không coi đã thu tiền.</x:v>
      </x:c>
      <x:c r="N159" s="9" t="str">
        <x:v>HTTP request/response đã che token; bản ghi trước/sau tại DB sở hữu; correlationId và log/audit liên quan.</x:v>
      </x:c>
      <x:c r="O159" s="9" t="str">
        <x:v>FR11; FR12; NFR03; NFR04</x:v>
      </x:c>
      <x:c r="P159" s="9" t="str">
        <x:v>UC07; AC06</x:v>
      </x:c>
      <x:c r="Q159" s="9" t="str">
        <x:v>30</x:v>
      </x:c>
      <x:c r="R159" s="9" t="str">
        <x:v>Khôi phục dependency/fault injection nếu có; dùng bộ ID mới cho ca kế tiếp. Không xóa lịch sử/audit bằng API nghiệp vụ.</x:v>
      </x:c>
      <x:c r="S159" s="11" t="str"/>
      <x:c r="T159" s="11" t="str"/>
      <x:c r="U159" s="11" t="str"/>
      <x:c r="V159" s="11" t="str"/>
      <x:c r="W159" s="12"/>
      <x:c r="X159" s="9" t="str">
        <x:v>API05; API07 pricing; MSD 7.2–7.4</x:v>
      </x:c>
    </x:row>
    <x:row r="160" ht="52" customHeight="1">
      <x:c r="A160" s="10" t="str">
        <x:v>TC13-PAY-010</x:v>
      </x:c>
      <x:c r="B160" s="10" t="str">
        <x:v>PAY</x:v>
      </x:c>
      <x:c r="C160" s="10" t="str">
        <x:v>CASH đúng Driver xác nhận</x:v>
      </x:c>
      <x:c r="D160" s="10" t="str">
        <x:v>P1</x:v>
      </x:c>
      <x:c r="E160" s="10" t="str">
        <x:v>DEFINED</x:v>
      </x:c>
      <x:c r="F160" s="10" t="str">
        <x:v>NOT_RUN</x:v>
      </x:c>
      <x:c r="G160" s="10" t="str"/>
      <x:c r="H160" s="10" t="str">
        <x:v>FUNCTIONAL</x:v>
      </x:c>
      <x:c r="I160" s="10" t="str">
        <x:v>API05 fare/payments; API07 pricing</x:v>
      </x:c>
      <x:c r="J160" s="10" t="str">
        <x:v>BASE; T_DONE thuộc C_A/D_A; JourneyMetrics theo ca; Payment fixtures độc lập.</x:v>
      </x:c>
      <x:c r="K160" s="10" t="str">
        <x:v>Payment CASH PENDING; D_A của Trip</x:v>
      </x:c>
      <x:c r="L160" s="10" t="str">
        <x:v>1. confirm-cash đúng key/version</x:v>
      </x:c>
      <x:c r="M160" s="10" t="str">
        <x:v>200 SUCCESS, đúng confirmedByAccountId, paidAt, audit/outbox; không đổi trạng thái Trip/Driver.</x:v>
      </x:c>
      <x:c r="N160" s="10" t="str">
        <x:v>HTTP request/response đã che token; bản ghi trước/sau tại DB sở hữu; correlationId và log/audit liên quan.</x:v>
      </x:c>
      <x:c r="O160" s="10" t="str">
        <x:v>FR11; FR12; NFR03; NFR04</x:v>
      </x:c>
      <x:c r="P160" s="10" t="str">
        <x:v>UC07; AC06</x:v>
      </x:c>
      <x:c r="Q160" s="10" t="str">
        <x:v>30</x:v>
      </x:c>
      <x:c r="R160" s="10" t="str">
        <x:v>Khôi phục dependency/fault injection nếu có; dùng bộ ID mới cho ca kế tiếp. Không xóa lịch sử/audit bằng API nghiệp vụ.</x:v>
      </x:c>
      <x:c r="S160" s="11" t="str"/>
      <x:c r="T160" s="11" t="str"/>
      <x:c r="U160" s="11" t="str"/>
      <x:c r="V160" s="11" t="str"/>
      <x:c r="W160" s="12"/>
      <x:c r="X160" s="10" t="str">
        <x:v>API05; API07 pricing; MSD 7.2–7.4</x:v>
      </x:c>
    </x:row>
    <x:row r="161" ht="52" customHeight="1">
      <x:c r="A161" s="9" t="str">
        <x:v>TC13-PAY-011</x:v>
      </x:c>
      <x:c r="B161" s="9" t="str">
        <x:v>PAY</x:v>
      </x:c>
      <x:c r="C161" s="9" t="str">
        <x:v>OPERATOR không xác nhận thay</x:v>
      </x:c>
      <x:c r="D161" s="9" t="str">
        <x:v>P1</x:v>
      </x:c>
      <x:c r="E161" s="9" t="str">
        <x:v>DEFINED</x:v>
      </x:c>
      <x:c r="F161" s="9" t="str">
        <x:v>NOT_RUN</x:v>
      </x:c>
      <x:c r="G161" s="9" t="str"/>
      <x:c r="H161" s="9" t="str">
        <x:v>FUNCTIONAL</x:v>
      </x:c>
      <x:c r="I161" s="9" t="str">
        <x:v>API05 fare/payments; API07 pricing</x:v>
      </x:c>
      <x:c r="J161" s="9" t="str">
        <x:v>BASE; T_DONE thuộc C_A/D_A; JourneyMetrics theo ca; Payment fixtures độc lập.</x:v>
      </x:c>
      <x:c r="K161" s="9" t="str">
        <x:v>Payment CASH PENDING</x:v>
      </x:c>
      <x:c r="L161" s="9" t="str">
        <x:v>1. C_A và O_A gọi confirm-cash</x:v>
      </x:c>
      <x:c r="M161" s="9" t="str">
        <x:v>403; D_B ngoài Trip 404; không ghi nhận tiền.</x:v>
      </x:c>
      <x:c r="N161" s="9" t="str">
        <x:v>HTTP request/response đã che token; bản ghi trước/sau tại DB sở hữu; correlationId và log/audit liên quan.</x:v>
      </x:c>
      <x:c r="O161" s="9" t="str">
        <x:v>FR11; FR12; NFR03; NFR04</x:v>
      </x:c>
      <x:c r="P161" s="9" t="str">
        <x:v>UC07; AC06</x:v>
      </x:c>
      <x:c r="Q161" s="9" t="str">
        <x:v>30</x:v>
      </x:c>
      <x:c r="R161" s="9" t="str">
        <x:v>Khôi phục dependency/fault injection nếu có; dùng bộ ID mới cho ca kế tiếp. Không xóa lịch sử/audit bằng API nghiệp vụ.</x:v>
      </x:c>
      <x:c r="S161" s="11" t="str"/>
      <x:c r="T161" s="11" t="str"/>
      <x:c r="U161" s="11" t="str"/>
      <x:c r="V161" s="11" t="str"/>
      <x:c r="W161" s="12"/>
      <x:c r="X161" s="9" t="str">
        <x:v>API05; API07 pricing; MSD 7.2–7.4</x:v>
      </x:c>
    </x:row>
    <x:row r="162" ht="52" customHeight="1">
      <x:c r="A162" s="10" t="str">
        <x:v>TC13-PAY-012</x:v>
      </x:c>
      <x:c r="B162" s="10" t="str">
        <x:v>PAY</x:v>
      </x:c>
      <x:c r="C162" s="10" t="str">
        <x:v>Key mới sau CASH SUCCESS</x:v>
      </x:c>
      <x:c r="D162" s="10" t="str">
        <x:v>P1</x:v>
      </x:c>
      <x:c r="E162" s="10" t="str">
        <x:v>DEFINED</x:v>
      </x:c>
      <x:c r="F162" s="10" t="str">
        <x:v>NOT_RUN</x:v>
      </x:c>
      <x:c r="G162" s="10" t="str"/>
      <x:c r="H162" s="10" t="str">
        <x:v>FUNCTIONAL</x:v>
      </x:c>
      <x:c r="I162" s="10" t="str">
        <x:v>API05 fare/payments; API07 pricing</x:v>
      </x:c>
      <x:c r="J162" s="10" t="str">
        <x:v>BASE; T_DONE thuộc C_A/D_A; JourneyMetrics theo ca; Payment fixtures độc lập.</x:v>
      </x:c>
      <x:c r="K162" s="10" t="str">
        <x:v>Payment đã thu</x:v>
      </x:c>
      <x:c r="L162" s="10" t="str">
        <x:v>1. confirm-cash bằng key mới</x:v>
      </x:c>
      <x:c r="M162" s="10" t="str">
        <x:v>409 PAYMENT_ALREADY_PAID; replay key cũ giữ paidAt/version và không phát lại event.</x:v>
      </x:c>
      <x:c r="N162" s="10" t="str">
        <x:v>HTTP request/response đã che token; bản ghi trước/sau tại DB sở hữu; correlationId và log/audit liên quan.</x:v>
      </x:c>
      <x:c r="O162" s="10" t="str">
        <x:v>FR11; FR12; NFR03; NFR04</x:v>
      </x:c>
      <x:c r="P162" s="10" t="str">
        <x:v>UC07; AC06</x:v>
      </x:c>
      <x:c r="Q162" s="10" t="str">
        <x:v>30</x:v>
      </x:c>
      <x:c r="R162" s="10" t="str">
        <x:v>Khôi phục dependency/fault injection nếu có; dùng bộ ID mới cho ca kế tiếp. Không xóa lịch sử/audit bằng API nghiệp vụ.</x:v>
      </x:c>
      <x:c r="S162" s="11" t="str"/>
      <x:c r="T162" s="11" t="str"/>
      <x:c r="U162" s="11" t="str"/>
      <x:c r="V162" s="11" t="str"/>
      <x:c r="W162" s="12"/>
      <x:c r="X162" s="10" t="str">
        <x:v>API05; API07 pricing; MSD 7.2–7.4</x:v>
      </x:c>
    </x:row>
    <x:row r="163" ht="52" customHeight="1">
      <x:c r="A163" s="9" t="str">
        <x:v>TC13-PAY-013</x:v>
      </x:c>
      <x:c r="B163" s="9" t="str">
        <x:v>PAY</x:v>
      </x:c>
      <x:c r="C163" s="9" t="str">
        <x:v>Không tự khai số tiền</x:v>
      </x:c>
      <x:c r="D163" s="9" t="str">
        <x:v>P1</x:v>
      </x:c>
      <x:c r="E163" s="9" t="str">
        <x:v>DEFINED</x:v>
      </x:c>
      <x:c r="F163" s="9" t="str">
        <x:v>NOT_RUN</x:v>
      </x:c>
      <x:c r="G163" s="9" t="str"/>
      <x:c r="H163" s="9" t="str">
        <x:v>FUNCTIONAL</x:v>
      </x:c>
      <x:c r="I163" s="9" t="str">
        <x:v>API05 fare/payments; API07 pricing</x:v>
      </x:c>
      <x:c r="J163" s="9" t="str">
        <x:v>BASE; T_DONE thuộc C_A/D_A; JourneyMetrics theo ca; Payment fixtures độc lập.</x:v>
      </x:c>
      <x:c r="K163" s="9" t="str">
        <x:v>Body tạo Payment thêm amount/customerId/status</x:v>
      </x:c>
      <x:c r="L163" s="9" t="str">
        <x:v>1. POST payments</x:v>
      </x:c>
      <x:c r="M163" s="9" t="str">
        <x:v>400; số tiền lấy Fare có thẩm quyền.</x:v>
      </x:c>
      <x:c r="N163" s="9" t="str">
        <x:v>HTTP request/response đã che token; bản ghi trước/sau tại DB sở hữu; correlationId và log/audit liên quan.</x:v>
      </x:c>
      <x:c r="O163" s="9" t="str">
        <x:v>FR11; FR12; NFR03; NFR04</x:v>
      </x:c>
      <x:c r="P163" s="9" t="str">
        <x:v>UC07; AC06</x:v>
      </x:c>
      <x:c r="Q163" s="9" t="str">
        <x:v>30</x:v>
      </x:c>
      <x:c r="R163" s="9" t="str">
        <x:v>Khôi phục dependency/fault injection nếu có; dùng bộ ID mới cho ca kế tiếp. Không xóa lịch sử/audit bằng API nghiệp vụ.</x:v>
      </x:c>
      <x:c r="S163" s="11" t="str"/>
      <x:c r="T163" s="11" t="str"/>
      <x:c r="U163" s="11" t="str"/>
      <x:c r="V163" s="11" t="str"/>
      <x:c r="W163" s="12"/>
      <x:c r="X163" s="9" t="str">
        <x:v>API05; API07 pricing; MSD 7.2–7.4</x:v>
      </x:c>
    </x:row>
    <x:row r="164" ht="52" customHeight="1">
      <x:c r="A164" s="10" t="str">
        <x:v>TC13-PAY-014</x:v>
      </x:c>
      <x:c r="B164" s="10" t="str">
        <x:v>PAY</x:v>
      </x:c>
      <x:c r="C164" s="10" t="str">
        <x:v>Hai key tạo Payment cùng Fare</x:v>
      </x:c>
      <x:c r="D164" s="10" t="str">
        <x:v>P1</x:v>
      </x:c>
      <x:c r="E164" s="10" t="str">
        <x:v>DEFINED</x:v>
      </x:c>
      <x:c r="F164" s="10" t="str">
        <x:v>NOT_RUN</x:v>
      </x:c>
      <x:c r="G164" s="10" t="str"/>
      <x:c r="H164" s="10" t="str">
        <x:v>FUNCTIONAL</x:v>
      </x:c>
      <x:c r="I164" s="10" t="str">
        <x:v>API05 fare/payments; API07 pricing</x:v>
      </x:c>
      <x:c r="J164" s="10" t="str">
        <x:v>BASE; T_DONE thuộc C_A/D_A; JourneyMetrics theo ca; Payment fixtures độc lập.</x:v>
      </x:c>
      <x:c r="K164" s="10" t="str">
        <x:v>C_A gửi đồng thời hai key</x:v>
      </x:c>
      <x:c r="L164" s="10" t="str">
        <x:v>1. POST payments đồng thời</x:v>
      </x:c>
      <x:c r="M164" s="10" t="str">
        <x:v>Một Payment/Fare và một attempt đầu; request khác PAYMENT_ALREADY_EXISTS, không double charge.</x:v>
      </x:c>
      <x:c r="N164" s="10" t="str">
        <x:v>HTTP request/response đã che token; bản ghi trước/sau tại DB sở hữu; correlationId và log/audit liên quan.</x:v>
      </x:c>
      <x:c r="O164" s="10" t="str">
        <x:v>FR11; FR12; NFR03; NFR04</x:v>
      </x:c>
      <x:c r="P164" s="10" t="str">
        <x:v>UC07; AC06</x:v>
      </x:c>
      <x:c r="Q164" s="10" t="str">
        <x:v>30</x:v>
      </x:c>
      <x:c r="R164" s="10" t="str">
        <x:v>Khôi phục dependency/fault injection nếu có; dùng bộ ID mới cho ca kế tiếp. Không xóa lịch sử/audit bằng API nghiệp vụ.</x:v>
      </x:c>
      <x:c r="S164" s="11" t="str"/>
      <x:c r="T164" s="11" t="str"/>
      <x:c r="U164" s="11" t="str"/>
      <x:c r="V164" s="11" t="str"/>
      <x:c r="W164" s="12"/>
      <x:c r="X164" s="10" t="str">
        <x:v>API05; API07 pricing; MSD 7.2–7.4</x:v>
      </x:c>
    </x:row>
    <x:row r="165" ht="52" customHeight="1">
      <x:c r="A165" s="9" t="str">
        <x:v>TC13-PAY-015</x:v>
      </x:c>
      <x:c r="B165" s="9" t="str">
        <x:v>PAY</x:v>
      </x:c>
      <x:c r="C165" s="9" t="str">
        <x:v>Online sandbox end-to-end</x:v>
      </x:c>
      <x:c r="D165" s="9" t="str">
        <x:v>P1</x:v>
      </x:c>
      <x:c r="E165" s="9" t="str">
        <x:v>NEEDS_DECISION</x:v>
      </x:c>
      <x:c r="F165" s="9" t="str">
        <x:v>NOT_RUN</x:v>
      </x:c>
      <x:c r="G165" s="9" t="str">
        <x:v>D02</x:v>
      </x:c>
      <x:c r="H165" s="9" t="str">
        <x:v>FUNCTIONAL</x:v>
      </x:c>
      <x:c r="I165" s="9" t="str">
        <x:v>API05 fare/payments; API07 pricing</x:v>
      </x:c>
      <x:c r="J165" s="9" t="str">
        <x:v>BASE; T_DONE thuộc C_A/D_A; JourneyMetrics theo ca; Payment fixtures độc lập.</x:v>
      </x:c>
      <x:c r="K165" s="9" t="str">
        <x:v>Adapter được chọn; Fare hợp lệ; returnUrl allowlist</x:v>
      </x:c>
      <x:c r="L165" s="9" t="str">
        <x:v>1. Tạo online; hoàn tất checkout sandbox; nhận webhook; GET Payment</x:v>
      </x:c>
      <x:c r="M165" s="9" t="str">
        <x:v>SUCCESS chỉ khi bằng chứng provider đã xác minh; có merchantReference/providerTransactionId; không lấy redirect làm bằng chứng.</x:v>
      </x:c>
      <x:c r="N165" s="9" t="str">
        <x:v>HTTP request/response đã che token; bản ghi trước/sau tại DB sở hữu; correlationId và log/audit liên quan.</x:v>
      </x:c>
      <x:c r="O165" s="9" t="str">
        <x:v>FR11; FR12; NFR03; NFR08</x:v>
      </x:c>
      <x:c r="P165" s="9" t="str">
        <x:v>UC07; AC06</x:v>
      </x:c>
      <x:c r="Q165" s="9" t="str">
        <x:v>19,30</x:v>
      </x:c>
      <x:c r="R165" s="9" t="str">
        <x:v>Khôi phục dependency/fault injection nếu có; dùng bộ ID mới cho ca kế tiếp. Không xóa lịch sử/audit bằng API nghiệp vụ.</x:v>
      </x:c>
      <x:c r="S165" s="11" t="str"/>
      <x:c r="T165" s="11" t="str"/>
      <x:c r="U165" s="11" t="str"/>
      <x:c r="V165" s="11" t="str"/>
      <x:c r="W165" s="12"/>
      <x:c r="X165" s="9" t="str">
        <x:v>API05; API07 pricing; MSD 7.2–7.4</x:v>
      </x:c>
    </x:row>
    <x:row r="166" ht="52" customHeight="1">
      <x:c r="A166" s="10" t="str">
        <x:v>TC13-PAY-016</x:v>
      </x:c>
      <x:c r="B166" s="10" t="str">
        <x:v>PAY</x:v>
      </x:c>
      <x:c r="C166" s="10" t="str">
        <x:v>Timeout sau provider đã xử lý</x:v>
      </x:c>
      <x:c r="D166" s="10" t="str">
        <x:v>P1</x:v>
      </x:c>
      <x:c r="E166" s="10" t="str">
        <x:v>NEEDS_DECISION</x:v>
      </x:c>
      <x:c r="F166" s="10" t="str">
        <x:v>NOT_RUN</x:v>
      </x:c>
      <x:c r="G166" s="10" t="str">
        <x:v>D02</x:v>
      </x:c>
      <x:c r="H166" s="10" t="str">
        <x:v>FUNCTIONAL</x:v>
      </x:c>
      <x:c r="I166" s="10" t="str">
        <x:v>API05 fare/payments; API07 pricing</x:v>
      </x:c>
      <x:c r="J166" s="10" t="str">
        <x:v>BASE; T_DONE thuộc C_A/D_A; JourneyMetrics theo ca; Payment fixtures độc lập.</x:v>
      </x:c>
      <x:c r="K166" s="10" t="str">
        <x:v>Provider đã nhận/thu nhưng mất response</x:v>
      </x:c>
      <x:c r="L166" s="10" t="str">
        <x:v>1. Cho worker timeout; GET Payment; đối soát</x:v>
      </x:c>
      <x:c r="M166" s="10" t="str">
        <x:v>UNKNOWN khi chưa rõ; không tạo attempt mới, không chuyển CASH; đối soát cùng reference tìm đúng giao dịch.</x:v>
      </x:c>
      <x:c r="N166" s="10" t="str">
        <x:v>HTTP request/response đã che token; bản ghi trước/sau tại DB sở hữu; correlationId và log/audit liên quan.</x:v>
      </x:c>
      <x:c r="O166" s="10" t="str">
        <x:v>FR11; FR12; NFR03; NFR08</x:v>
      </x:c>
      <x:c r="P166" s="10" t="str">
        <x:v>UC07; AC06</x:v>
      </x:c>
      <x:c r="Q166" s="10" t="str">
        <x:v>19,30</x:v>
      </x:c>
      <x:c r="R166" s="10" t="str">
        <x:v>Khôi phục dependency/fault injection nếu có; dùng bộ ID mới cho ca kế tiếp. Không xóa lịch sử/audit bằng API nghiệp vụ.</x:v>
      </x:c>
      <x:c r="S166" s="11" t="str"/>
      <x:c r="T166" s="11" t="str"/>
      <x:c r="U166" s="11" t="str"/>
      <x:c r="V166" s="11" t="str"/>
      <x:c r="W166" s="12"/>
      <x:c r="X166" s="10" t="str">
        <x:v>API05; API07 pricing; MSD 7.2–7.4</x:v>
      </x:c>
    </x:row>
    <x:row r="167" ht="52" customHeight="1">
      <x:c r="A167" s="9" t="str">
        <x:v>TC13-PAY-017</x:v>
      </x:c>
      <x:c r="B167" s="9" t="str">
        <x:v>PAY</x:v>
      </x:c>
      <x:c r="C167" s="9" t="str">
        <x:v>Retry chỉ thất bại cuối</x:v>
      </x:c>
      <x:c r="D167" s="9" t="str">
        <x:v>P1</x:v>
      </x:c>
      <x:c r="E167" s="9" t="str">
        <x:v>DEFINED</x:v>
      </x:c>
      <x:c r="F167" s="9" t="str">
        <x:v>NOT_RUN</x:v>
      </x:c>
      <x:c r="G167" s="9" t="str"/>
      <x:c r="H167" s="9" t="str">
        <x:v>FUNCTIONAL</x:v>
      </x:c>
      <x:c r="I167" s="9" t="str">
        <x:v>API05 fare/payments; API07 pricing</x:v>
      </x:c>
      <x:c r="J167" s="9" t="str">
        <x:v>BASE; T_DONE thuộc C_A/D_A; JourneyMetrics theo ca; Payment fixtures độc lập.</x:v>
      </x:c>
      <x:c r="K167" s="9" t="str">
        <x:v>Payment FAILED có bằng chứng provider cuối</x:v>
      </x:c>
      <x:c r="L167" s="9" t="str">
        <x:v>1. POST retry với version và key mới</x:v>
      </x:c>
      <x:c r="M167" s="9" t="str">
        <x:v>202 snapshot PENDING, attemptNumber tăng 1; amount/Fare giữ nguyên; attempt cũ vẫn tồn tại.</x:v>
      </x:c>
      <x:c r="N167" s="9" t="str">
        <x:v>HTTP request/response đã che token; bản ghi trước/sau tại DB sở hữu; correlationId và log/audit liên quan.</x:v>
      </x:c>
      <x:c r="O167" s="9" t="str">
        <x:v>FR12; NFR03</x:v>
      </x:c>
      <x:c r="P167" s="9" t="str">
        <x:v>UC07; AC06</x:v>
      </x:c>
      <x:c r="Q167" s="9" t="str">
        <x:v>30</x:v>
      </x:c>
      <x:c r="R167" s="9" t="str">
        <x:v>Khôi phục dependency/fault injection nếu có; dùng bộ ID mới cho ca kế tiếp. Không xóa lịch sử/audit bằng API nghiệp vụ.</x:v>
      </x:c>
      <x:c r="S167" s="11" t="str"/>
      <x:c r="T167" s="11" t="str"/>
      <x:c r="U167" s="11" t="str"/>
      <x:c r="V167" s="11" t="str"/>
      <x:c r="W167" s="12"/>
      <x:c r="X167" s="9" t="str">
        <x:v>API05; API07 pricing; MSD 7.2–7.4</x:v>
      </x:c>
    </x:row>
    <x:row r="168" ht="52" customHeight="1">
      <x:c r="A168" s="10" t="str">
        <x:v>TC13-PAY-018</x:v>
      </x:c>
      <x:c r="B168" s="10" t="str">
        <x:v>PAY</x:v>
      </x:c>
      <x:c r="C168" s="10" t="str">
        <x:v>Retry bị chặn khi chưa rõ</x:v>
      </x:c>
      <x:c r="D168" s="10" t="str">
        <x:v>P1</x:v>
      </x:c>
      <x:c r="E168" s="10" t="str">
        <x:v>DEFINED</x:v>
      </x:c>
      <x:c r="F168" s="10" t="str">
        <x:v>NOT_RUN</x:v>
      </x:c>
      <x:c r="G168" s="10" t="str"/>
      <x:c r="H168" s="10" t="str">
        <x:v>FUNCTIONAL</x:v>
      </x:c>
      <x:c r="I168" s="10" t="str">
        <x:v>API05 fare/payments; API07 pricing</x:v>
      </x:c>
      <x:c r="J168" s="10" t="str">
        <x:v>BASE; T_DONE thuộc C_A/D_A; JourneyMetrics theo ca; Payment fixtures độc lập.</x:v>
      </x:c>
      <x:c r="K168" s="10" t="str">
        <x:v>PENDING, PROCESSING, UNKNOWN hoặc SUCCESS</x:v>
      </x:c>
      <x:c r="L168" s="10" t="str">
        <x:v>1. POST retry từng fixture</x:v>
      </x:c>
      <x:c r="M168" s="10" t="str">
        <x:v>409; không tạo attempt/job thu mới hoặc đổi CASH để bỏ UNKNOWN.</x:v>
      </x:c>
      <x:c r="N168" s="10" t="str">
        <x:v>HTTP request/response đã che token; bản ghi trước/sau tại DB sở hữu; correlationId và log/audit liên quan.</x:v>
      </x:c>
      <x:c r="O168" s="10" t="str">
        <x:v>FR12; NFR03</x:v>
      </x:c>
      <x:c r="P168" s="10" t="str">
        <x:v>UC07; AC06</x:v>
      </x:c>
      <x:c r="Q168" s="10" t="str">
        <x:v>30</x:v>
      </x:c>
      <x:c r="R168" s="10" t="str">
        <x:v>Khôi phục dependency/fault injection nếu có; dùng bộ ID mới cho ca kế tiếp. Không xóa lịch sử/audit bằng API nghiệp vụ.</x:v>
      </x:c>
      <x:c r="S168" s="11" t="str"/>
      <x:c r="T168" s="11" t="str"/>
      <x:c r="U168" s="11" t="str"/>
      <x:c r="V168" s="11" t="str"/>
      <x:c r="W168" s="12"/>
      <x:c r="X168" s="10" t="str">
        <x:v>API05; API07 pricing; MSD 7.2–7.4</x:v>
      </x:c>
    </x:row>
    <x:row r="169" ht="52" customHeight="1">
      <x:c r="A169" s="9" t="str">
        <x:v>TC13-PAY-019</x:v>
      </x:c>
      <x:c r="B169" s="9" t="str">
        <x:v>PAY</x:v>
      </x:c>
      <x:c r="C169" s="9" t="str">
        <x:v>requiresReview chặn thu</x:v>
      </x:c>
      <x:c r="D169" s="9" t="str">
        <x:v>P1</x:v>
      </x:c>
      <x:c r="E169" s="9" t="str">
        <x:v>DEFINED</x:v>
      </x:c>
      <x:c r="F169" s="9" t="str">
        <x:v>NOT_RUN</x:v>
      </x:c>
      <x:c r="G169" s="9" t="str"/>
      <x:c r="H169" s="9" t="str">
        <x:v>FUNCTIONAL</x:v>
      </x:c>
      <x:c r="I169" s="9" t="str">
        <x:v>API05 fare/payments; API07 pricing</x:v>
      </x:c>
      <x:c r="J169" s="9" t="str">
        <x:v>BASE; T_DONE thuộc C_A/D_A; JourneyMetrics theo ca; Payment fixtures độc lập.</x:v>
      </x:c>
      <x:c r="K169" s="9" t="str">
        <x:v>requiresReview=true, CASH PENDING hoặc FAILED</x:v>
      </x:c>
      <x:c r="L169" s="9" t="str">
        <x:v>1. confirm-cash và retry</x:v>
      </x:c>
      <x:c r="M169" s="9" t="str">
        <x:v>409 PAYMENT_REQUIRES_REVIEW; không thu mới dù trạng thái riêng có vẻ cho phép.</x:v>
      </x:c>
      <x:c r="N169" s="9" t="str">
        <x:v>HTTP request/response đã che token; bản ghi trước/sau tại DB sở hữu; correlationId và log/audit liên quan.</x:v>
      </x:c>
      <x:c r="O169" s="9" t="str">
        <x:v>FR12; NFR03</x:v>
      </x:c>
      <x:c r="P169" s="9" t="str">
        <x:v>UC07; AC06</x:v>
      </x:c>
      <x:c r="Q169" s="9" t="str">
        <x:v>30</x:v>
      </x:c>
      <x:c r="R169" s="9" t="str">
        <x:v>Khôi phục dependency/fault injection nếu có; dùng bộ ID mới cho ca kế tiếp. Không xóa lịch sử/audit bằng API nghiệp vụ.</x:v>
      </x:c>
      <x:c r="S169" s="11" t="str"/>
      <x:c r="T169" s="11" t="str"/>
      <x:c r="U169" s="11" t="str"/>
      <x:c r="V169" s="11" t="str"/>
      <x:c r="W169" s="12"/>
      <x:c r="X169" s="9" t="str">
        <x:v>API05; API07 pricing; MSD 7.2–7.4</x:v>
      </x:c>
    </x:row>
    <x:row r="170" ht="52" customHeight="1">
      <x:c r="A170" s="10" t="str">
        <x:v>TC13-PAY-020</x:v>
      </x:c>
      <x:c r="B170" s="10" t="str">
        <x:v>PAY</x:v>
      </x:c>
      <x:c r="C170" s="10" t="str">
        <x:v>Return URL ngoài allowlist</x:v>
      </x:c>
      <x:c r="D170" s="10" t="str">
        <x:v>P1</x:v>
      </x:c>
      <x:c r="E170" s="10" t="str">
        <x:v>DEFINED</x:v>
      </x:c>
      <x:c r="F170" s="10" t="str">
        <x:v>NOT_RUN</x:v>
      </x:c>
      <x:c r="G170" s="10" t="str"/>
      <x:c r="H170" s="10" t="str">
        <x:v>FUNCTIONAL</x:v>
      </x:c>
      <x:c r="I170" s="10" t="str">
        <x:v>API05 fare/payments; API07 pricing</x:v>
      </x:c>
      <x:c r="J170" s="10" t="str">
        <x:v>BASE; T_DONE thuộc C_A/D_A; JourneyMetrics theo ca; Payment fixtures độc lập.</x:v>
      </x:c>
      <x:c r="K170" s="10" t="str">
        <x:v>https://untrusted.example/return</x:v>
      </x:c>
      <x:c r="L170" s="10" t="str">
        <x:v>1. Tạo online</x:v>
      </x:c>
      <x:c r="M170" s="10" t="str">
        <x:v>400; không cho redirect tùy ý, không đưa access token vào URL.</x:v>
      </x:c>
      <x:c r="N170" s="10" t="str">
        <x:v>HTTP request/response đã che token; bản ghi trước/sau tại DB sở hữu; correlationId và log/audit liên quan.</x:v>
      </x:c>
      <x:c r="O170" s="10" t="str">
        <x:v>FR11; FR12; NFR04</x:v>
      </x:c>
      <x:c r="P170" s="10" t="str">
        <x:v>UC07; AC06; AC20</x:v>
      </x:c>
      <x:c r="Q170" s="10" t="str">
        <x:v>19</x:v>
      </x:c>
      <x:c r="R170" s="10" t="str">
        <x:v>Khôi phục dependency/fault injection nếu có; dùng bộ ID mới cho ca kế tiếp. Không xóa lịch sử/audit bằng API nghiệp vụ.</x:v>
      </x:c>
      <x:c r="S170" s="11" t="str"/>
      <x:c r="T170" s="11" t="str"/>
      <x:c r="U170" s="11" t="str"/>
      <x:c r="V170" s="11" t="str"/>
      <x:c r="W170" s="12"/>
      <x:c r="X170" s="10" t="str">
        <x:v>API05; API07 pricing; MSD 7.2–7.4</x:v>
      </x:c>
    </x:row>
    <x:row r="171" ht="52" customHeight="1">
      <x:c r="A171" s="9" t="str">
        <x:v>TC13-PAY-021</x:v>
      </x:c>
      <x:c r="B171" s="9" t="str">
        <x:v>PAY</x:v>
      </x:c>
      <x:c r="C171" s="9" t="str">
        <x:v>Checkout chỉ Customer</x:v>
      </x:c>
      <x:c r="D171" s="9" t="str">
        <x:v>P1</x:v>
      </x:c>
      <x:c r="E171" s="9" t="str">
        <x:v>DEFINED</x:v>
      </x:c>
      <x:c r="F171" s="9" t="str">
        <x:v>NOT_RUN</x:v>
      </x:c>
      <x:c r="G171" s="9" t="str"/>
      <x:c r="H171" s="9" t="str">
        <x:v>FUNCTIONAL</x:v>
      </x:c>
      <x:c r="I171" s="9" t="str">
        <x:v>API05 fare/payments; API07 pricing</x:v>
      </x:c>
      <x:c r="J171" s="9" t="str">
        <x:v>BASE; T_DONE thuộc C_A/D_A; JourneyMetrics theo ca; Payment fixtures độc lập.</x:v>
      </x:c>
      <x:c r="K171" s="9" t="str">
        <x:v>Payment online có checkout hợp lệ</x:v>
      </x:c>
      <x:c r="L171" s="9" t="str">
        <x:v>1. GET bằng C_A,D_A,O_A</x:v>
      </x:c>
      <x:c r="M171" s="9" t="str">
        <x:v>Chỉ C_A thấy checkout; Driver/Operator không nhận token/redirectUrl checkout.</x:v>
      </x:c>
      <x:c r="N171" s="9" t="str">
        <x:v>HTTP request/response đã che token; bản ghi trước/sau tại DB sở hữu; correlationId và log/audit liên quan.</x:v>
      </x:c>
      <x:c r="O171" s="9" t="str">
        <x:v>FR11; FR12; NFR04</x:v>
      </x:c>
      <x:c r="P171" s="9" t="str">
        <x:v>UC07; AC06; AC20</x:v>
      </x:c>
      <x:c r="Q171" s="9" t="str">
        <x:v>19</x:v>
      </x:c>
      <x:c r="R171" s="9" t="str">
        <x:v>Khôi phục dependency/fault injection nếu có; dùng bộ ID mới cho ca kế tiếp. Không xóa lịch sử/audit bằng API nghiệp vụ.</x:v>
      </x:c>
      <x:c r="S171" s="11" t="str"/>
      <x:c r="T171" s="11" t="str"/>
      <x:c r="U171" s="11" t="str"/>
      <x:c r="V171" s="11" t="str"/>
      <x:c r="W171" s="12"/>
      <x:c r="X171" s="9" t="str">
        <x:v>API05; API07 pricing; MSD 7.2–7.4</x:v>
      </x:c>
    </x:row>
    <x:row r="172" ht="52" customHeight="1">
      <x:c r="A172" s="10" t="str">
        <x:v>TC13-PAY-022</x:v>
      </x:c>
      <x:c r="B172" s="10" t="str">
        <x:v>PAY</x:v>
      </x:c>
      <x:c r="C172" s="10" t="str">
        <x:v>Webhook sai chữ ký</x:v>
      </x:c>
      <x:c r="D172" s="10" t="str">
        <x:v>P1</x:v>
      </x:c>
      <x:c r="E172" s="10" t="str">
        <x:v>NEEDS_DECISION</x:v>
      </x:c>
      <x:c r="F172" s="10" t="str">
        <x:v>NOT_RUN</x:v>
      </x:c>
      <x:c r="G172" s="10" t="str">
        <x:v>D02</x:v>
      </x:c>
      <x:c r="H172" s="10" t="str">
        <x:v>FUNCTIONAL</x:v>
      </x:c>
      <x:c r="I172" s="10" t="str">
        <x:v>API05 fare/payments; API07 pricing</x:v>
      </x:c>
      <x:c r="J172" s="10" t="str">
        <x:v>BASE; T_DONE thuộc C_A/D_A; JourneyMetrics theo ca; Payment fixtures độc lập.</x:v>
      </x:c>
      <x:c r="K172" s="10" t="str">
        <x:v>Payload hợp lệ nhưng signature sai</x:v>
      </x:c>
      <x:c r="L172" s="10" t="str">
        <x:v>1. POST qua Gateway</x:v>
      </x:c>
      <x:c r="M172" s="10" t="str">
        <x:v>Không áp dụng kết quả, không chiếm dedupe key; mã/body theo provider đã duyệt.</x:v>
      </x:c>
      <x:c r="N172" s="10" t="str">
        <x:v>HTTP request/response đã che token; bản ghi trước/sau tại DB sở hữu; correlationId và log/audit liên quan.</x:v>
      </x:c>
      <x:c r="O172" s="10" t="str">
        <x:v>FR11; FR12; NFR04</x:v>
      </x:c>
      <x:c r="P172" s="10" t="str">
        <x:v>UC07; AC06; AC20</x:v>
      </x:c>
      <x:c r="Q172" s="10" t="str">
        <x:v>19</x:v>
      </x:c>
      <x:c r="R172" s="10" t="str">
        <x:v>Khôi phục dependency/fault injection nếu có; dùng bộ ID mới cho ca kế tiếp. Không xóa lịch sử/audit bằng API nghiệp vụ.</x:v>
      </x:c>
      <x:c r="S172" s="11" t="str"/>
      <x:c r="T172" s="11" t="str"/>
      <x:c r="U172" s="11" t="str"/>
      <x:c r="V172" s="11" t="str"/>
      <x:c r="W172" s="12"/>
      <x:c r="X172" s="10" t="str">
        <x:v>API05; API07 pricing; MSD 7.2–7.4</x:v>
      </x:c>
    </x:row>
    <x:row r="173" ht="52" customHeight="1">
      <x:c r="A173" s="9" t="str">
        <x:v>TC13-PAY-023</x:v>
      </x:c>
      <x:c r="B173" s="9" t="str">
        <x:v>PAY</x:v>
      </x:c>
      <x:c r="C173" s="9" t="str">
        <x:v>Webhook sai amount/currency/reference</x:v>
      </x:c>
      <x:c r="D173" s="9" t="str">
        <x:v>P1</x:v>
      </x:c>
      <x:c r="E173" s="9" t="str">
        <x:v>NEEDS_DECISION</x:v>
      </x:c>
      <x:c r="F173" s="9" t="str">
        <x:v>NOT_RUN</x:v>
      </x:c>
      <x:c r="G173" s="9" t="str">
        <x:v>D02</x:v>
      </x:c>
      <x:c r="H173" s="9" t="str">
        <x:v>FUNCTIONAL</x:v>
      </x:c>
      <x:c r="I173" s="9" t="str">
        <x:v>API05 fare/payments; API07 pricing</x:v>
      </x:c>
      <x:c r="J173" s="9" t="str">
        <x:v>BASE; T_DONE thuộc C_A/D_A; JourneyMetrics theo ca; Payment fixtures độc lập.</x:v>
      </x:c>
      <x:c r="K173" s="9" t="str">
        <x:v>Chữ ký hợp lệ; từng trường không khớp</x:v>
      </x:c>
      <x:c r="L173" s="9" t="str">
        <x:v>1. Gửi callback qua sandbox/test adapter</x:v>
      </x:c>
      <x:c r="M173" s="9" t="str">
        <x:v>Không ghi SUCCESS sai; lưu bằng chứng an toàn để review theo hợp đồng provider.</x:v>
      </x:c>
      <x:c r="N173" s="9" t="str">
        <x:v>HTTP request/response đã che token; bản ghi trước/sau tại DB sở hữu; correlationId và log/audit liên quan.</x:v>
      </x:c>
      <x:c r="O173" s="9" t="str">
        <x:v>FR11; FR12; NFR04</x:v>
      </x:c>
      <x:c r="P173" s="9" t="str">
        <x:v>UC07; AC06; AC20</x:v>
      </x:c>
      <x:c r="Q173" s="9" t="str">
        <x:v>19</x:v>
      </x:c>
      <x:c r="R173" s="9" t="str">
        <x:v>Khôi phục dependency/fault injection nếu có; dùng bộ ID mới cho ca kế tiếp. Không xóa lịch sử/audit bằng API nghiệp vụ.</x:v>
      </x:c>
      <x:c r="S173" s="11" t="str"/>
      <x:c r="T173" s="11" t="str"/>
      <x:c r="U173" s="11" t="str"/>
      <x:c r="V173" s="11" t="str"/>
      <x:c r="W173" s="12"/>
      <x:c r="X173" s="9" t="str">
        <x:v>API05; API07 pricing; MSD 7.2–7.4</x:v>
      </x:c>
    </x:row>
    <x:row r="174" ht="52" customHeight="1">
      <x:c r="A174" s="10" t="str">
        <x:v>TC13-PAY-024</x:v>
      </x:c>
      <x:c r="B174" s="10" t="str">
        <x:v>PAY</x:v>
      </x:c>
      <x:c r="C174" s="10" t="str">
        <x:v>Webhook lặp</x:v>
      </x:c>
      <x:c r="D174" s="10" t="str">
        <x:v>P1</x:v>
      </x:c>
      <x:c r="E174" s="10" t="str">
        <x:v>NEEDS_DECISION</x:v>
      </x:c>
      <x:c r="F174" s="10" t="str">
        <x:v>NOT_RUN</x:v>
      </x:c>
      <x:c r="G174" s="10" t="str">
        <x:v>D02</x:v>
      </x:c>
      <x:c r="H174" s="10" t="str">
        <x:v>FUNCTIONAL</x:v>
      </x:c>
      <x:c r="I174" s="10" t="str">
        <x:v>API05 fare/payments; API07 pricing</x:v>
      </x:c>
      <x:c r="J174" s="10" t="str">
        <x:v>BASE; T_DONE thuộc C_A/D_A; JourneyMetrics theo ca; Payment fixtures độc lập.</x:v>
      </x:c>
      <x:c r="K174" s="10" t="str">
        <x:v>Callback SUCCESS hợp lệ gửi hai lần</x:v>
      </x:c>
      <x:c r="L174" s="10" t="str">
        <x:v>1. Gửi lại cùng provider event ID</x:v>
      </x:c>
      <x:c r="M174" s="10" t="str">
        <x:v>ACK phù hợp; một tác động SUCCESS, không tăng version/paidAt hoặc doanh thu lần nữa.</x:v>
      </x:c>
      <x:c r="N174" s="10" t="str">
        <x:v>HTTP request/response đã che token; bản ghi trước/sau tại DB sở hữu; correlationId và log/audit liên quan.</x:v>
      </x:c>
      <x:c r="O174" s="10" t="str">
        <x:v>FR12; NFR03; NFR12</x:v>
      </x:c>
      <x:c r="P174" s="10" t="str">
        <x:v>UC07; AC06</x:v>
      </x:c>
      <x:c r="Q174" s="10" t="str">
        <x:v>19,30</x:v>
      </x:c>
      <x:c r="R174" s="10" t="str">
        <x:v>Khôi phục dependency/fault injection nếu có; dùng bộ ID mới cho ca kế tiếp. Không xóa lịch sử/audit bằng API nghiệp vụ.</x:v>
      </x:c>
      <x:c r="S174" s="11" t="str"/>
      <x:c r="T174" s="11" t="str"/>
      <x:c r="U174" s="11" t="str"/>
      <x:c r="V174" s="11" t="str"/>
      <x:c r="W174" s="12"/>
      <x:c r="X174" s="10" t="str">
        <x:v>API05; API07 pricing; MSD 7.2–7.4</x:v>
      </x:c>
    </x:row>
    <x:row r="175" ht="52" customHeight="1">
      <x:c r="A175" s="9" t="str">
        <x:v>TC13-PAY-025</x:v>
      </x:c>
      <x:c r="B175" s="9" t="str">
        <x:v>PAY</x:v>
      </x:c>
      <x:c r="C175" s="9" t="str">
        <x:v>Webhook cũ sau SUCCESS</x:v>
      </x:c>
      <x:c r="D175" s="9" t="str">
        <x:v>P1</x:v>
      </x:c>
      <x:c r="E175" s="9" t="str">
        <x:v>NEEDS_DECISION</x:v>
      </x:c>
      <x:c r="F175" s="9" t="str">
        <x:v>NOT_RUN</x:v>
      </x:c>
      <x:c r="G175" s="9" t="str">
        <x:v>D02</x:v>
      </x:c>
      <x:c r="H175" s="9" t="str">
        <x:v>FUNCTIONAL</x:v>
      </x:c>
      <x:c r="I175" s="9" t="str">
        <x:v>API05 fare/payments; API07 pricing</x:v>
      </x:c>
      <x:c r="J175" s="9" t="str">
        <x:v>BASE; T_DONE thuộc C_A/D_A; JourneyMetrics theo ca; Payment fixtures độc lập.</x:v>
      </x:c>
      <x:c r="K175" s="9" t="str">
        <x:v>Payment đã SUCCESS; callback FAILED đến sau</x:v>
      </x:c>
      <x:c r="L175" s="9" t="str">
        <x:v>1. Xử lý callback</x:v>
      </x:c>
      <x:c r="M175" s="9" t="str">
        <x:v>Không hạ SUCCESS; giữ bằng chứng mâu thuẫn và review khi cần.</x:v>
      </x:c>
      <x:c r="N175" s="9" t="str">
        <x:v>HTTP request/response đã che token; bản ghi trước/sau tại DB sở hữu; correlationId và log/audit liên quan.</x:v>
      </x:c>
      <x:c r="O175" s="9" t="str">
        <x:v>FR12; NFR03; NFR12</x:v>
      </x:c>
      <x:c r="P175" s="9" t="str">
        <x:v>UC07; AC06</x:v>
      </x:c>
      <x:c r="Q175" s="9" t="str">
        <x:v>19,30</x:v>
      </x:c>
      <x:c r="R175" s="9" t="str">
        <x:v>Khôi phục dependency/fault injection nếu có; dùng bộ ID mới cho ca kế tiếp. Không xóa lịch sử/audit bằng API nghiệp vụ.</x:v>
      </x:c>
      <x:c r="S175" s="11" t="str"/>
      <x:c r="T175" s="11" t="str"/>
      <x:c r="U175" s="11" t="str"/>
      <x:c r="V175" s="11" t="str"/>
      <x:c r="W175" s="12"/>
      <x:c r="X175" s="9" t="str">
        <x:v>API05; API07 pricing; MSD 7.2–7.4</x:v>
      </x:c>
    </x:row>
    <x:row r="176" ht="52" customHeight="1">
      <x:c r="A176" s="10" t="str">
        <x:v>TC13-PAY-026</x:v>
      </x:c>
      <x:c r="B176" s="10" t="str">
        <x:v>PAY</x:v>
      </x:c>
      <x:c r="C176" s="10" t="str">
        <x:v>Attempt cũ SUCCESS sau attempt mới</x:v>
      </x:c>
      <x:c r="D176" s="10" t="str">
        <x:v>P1</x:v>
      </x:c>
      <x:c r="E176" s="10" t="str">
        <x:v>NEEDS_DECISION</x:v>
      </x:c>
      <x:c r="F176" s="10" t="str">
        <x:v>NOT_RUN</x:v>
      </x:c>
      <x:c r="G176" s="10" t="str">
        <x:v>D02</x:v>
      </x:c>
      <x:c r="H176" s="10" t="str">
        <x:v>FUNCTIONAL</x:v>
      </x:c>
      <x:c r="I176" s="10" t="str">
        <x:v>API05 fare/payments; API07 pricing</x:v>
      </x:c>
      <x:c r="J176" s="10" t="str">
        <x:v>BASE; T_DONE thuộc C_A/D_A; JourneyMetrics theo ca; Payment fixtures độc lập.</x:v>
      </x:c>
      <x:c r="K176" s="10" t="str">
        <x:v>A1 FAILED đã retry A2, callback A1 SUCCESS muộn</x:v>
      </x:c>
      <x:c r="L176" s="10" t="str">
        <x:v>1. Xử lý callback</x:v>
      </x:c>
      <x:c r="M176" s="10" t="str">
        <x:v>Lưu kết quả A1; requiresReview=true; nếu Payment SUCCESS giữ nguyên, nếu chưa rõ tổng hợp UNKNOWN; dừng job chưa gửi.</x:v>
      </x:c>
      <x:c r="N176" s="10" t="str">
        <x:v>HTTP request/response đã che token; bản ghi trước/sau tại DB sở hữu; correlationId và log/audit liên quan.</x:v>
      </x:c>
      <x:c r="O176" s="10" t="str">
        <x:v>FR12; NFR03; NFR12</x:v>
      </x:c>
      <x:c r="P176" s="10" t="str">
        <x:v>UC07; AC06</x:v>
      </x:c>
      <x:c r="Q176" s="10" t="str">
        <x:v>19,30</x:v>
      </x:c>
      <x:c r="R176" s="10" t="str">
        <x:v>Khôi phục dependency/fault injection nếu có; dùng bộ ID mới cho ca kế tiếp. Không xóa lịch sử/audit bằng API nghiệp vụ.</x:v>
      </x:c>
      <x:c r="S176" s="11" t="str"/>
      <x:c r="T176" s="11" t="str"/>
      <x:c r="U176" s="11" t="str"/>
      <x:c r="V176" s="11" t="str"/>
      <x:c r="W176" s="12"/>
      <x:c r="X176" s="10" t="str">
        <x:v>API05; API07 pricing; MSD 7.2–7.4</x:v>
      </x:c>
    </x:row>
    <x:row r="177" ht="52" customHeight="1">
      <x:c r="A177" s="9" t="str">
        <x:v>TC13-PAY-027</x:v>
      </x:c>
      <x:c r="B177" s="9" t="str">
        <x:v>PAY</x:v>
      </x:c>
      <x:c r="C177" s="9" t="str">
        <x:v>ACK chỉ sau lưu bền vững</x:v>
      </x:c>
      <x:c r="D177" s="9" t="str">
        <x:v>P1</x:v>
      </x:c>
      <x:c r="E177" s="9" t="str">
        <x:v>NEEDS_DECISION</x:v>
      </x:c>
      <x:c r="F177" s="9" t="str">
        <x:v>NOT_RUN</x:v>
      </x:c>
      <x:c r="G177" s="9" t="str">
        <x:v>D02</x:v>
      </x:c>
      <x:c r="H177" s="9" t="str">
        <x:v>FUNCTIONAL</x:v>
      </x:c>
      <x:c r="I177" s="9" t="str">
        <x:v>API05 fare/payments; API07 pricing</x:v>
      </x:c>
      <x:c r="J177" s="9" t="str">
        <x:v>BASE; T_DONE thuộc C_A/D_A; JourneyMetrics theo ca; Payment fixtures độc lập.</x:v>
      </x:c>
      <x:c r="K177" s="9" t="str">
        <x:v>Ngắt DB Payment khi nhận callback</x:v>
      </x:c>
      <x:c r="L177" s="9" t="str">
        <x:v>1. Gửi callback; khôi phục và provider retry</x:v>
      </x:c>
      <x:c r="M177" s="9" t="str">
        <x:v>Không ACK thành công khi chưa lưu; retry xử lý đúng một lần nghiệp vụ.</x:v>
      </x:c>
      <x:c r="N177" s="9" t="str">
        <x:v>HTTP request/response đã che token; bản ghi trước/sau tại DB sở hữu; correlationId và log/audit liên quan.</x:v>
      </x:c>
      <x:c r="O177" s="9" t="str">
        <x:v>FR12; NFR03; NFR12</x:v>
      </x:c>
      <x:c r="P177" s="9" t="str">
        <x:v>UC07; AC06</x:v>
      </x:c>
      <x:c r="Q177" s="9" t="str">
        <x:v>19,30</x:v>
      </x:c>
      <x:c r="R177" s="9" t="str">
        <x:v>Khôi phục dependency/fault injection nếu có; dùng bộ ID mới cho ca kế tiếp. Không xóa lịch sử/audit bằng API nghiệp vụ.</x:v>
      </x:c>
      <x:c r="S177" s="11" t="str"/>
      <x:c r="T177" s="11" t="str"/>
      <x:c r="U177" s="11" t="str"/>
      <x:c r="V177" s="11" t="str"/>
      <x:c r="W177" s="12"/>
      <x:c r="X177" s="9" t="str">
        <x:v>API05; API07 pricing; MSD 7.2–7.4</x:v>
      </x:c>
    </x:row>
    <x:row r="178" ht="52" customHeight="1">
      <x:c r="A178" s="10" t="str">
        <x:v>TC13-PAY-028</x:v>
      </x:c>
      <x:c r="B178" s="10" t="str">
        <x:v>PAY</x:v>
      </x:c>
      <x:c r="C178" s="10" t="str">
        <x:v>Webhook qua gRPC giữ raw bytes</x:v>
      </x:c>
      <x:c r="D178" s="10" t="str">
        <x:v>P1</x:v>
      </x:c>
      <x:c r="E178" s="10" t="str">
        <x:v>NEEDS_DECISION</x:v>
      </x:c>
      <x:c r="F178" s="10" t="str">
        <x:v>NOT_RUN</x:v>
      </x:c>
      <x:c r="G178" s="10" t="str">
        <x:v>D02,D04</x:v>
      </x:c>
      <x:c r="H178" s="10" t="str">
        <x:v>FUNCTIONAL</x:v>
      </x:c>
      <x:c r="I178" s="10" t="str">
        <x:v>API05 fare/payments; API07 pricing</x:v>
      </x:c>
      <x:c r="J178" s="10" t="str">
        <x:v>BASE; T_DONE thuộc C_A/D_A; JourneyMetrics theo ca; Payment fixtures độc lập.</x:v>
      </x:c>
      <x:c r="K178" s="10" t="str">
        <x:v>Payload có whitespace/thứ tự ký cụ thể</x:v>
      </x:c>
      <x:c r="L178" s="10" t="str">
        <x:v>1. Gửi Gateway; so raw hash ở Payment</x:v>
      </x:c>
      <x:c r="M178" s="10" t="str">
        <x:v>Bytes/header cần ký giữ nguyên; không parse/serialize lại trước verify.</x:v>
      </x:c>
      <x:c r="N178" s="10" t="str">
        <x:v>HTTP request/response đã che token; bản ghi trước/sau tại DB sở hữu; correlationId và log/audit liên quan.</x:v>
      </x:c>
      <x:c r="O178" s="10" t="str">
        <x:v>FR12; NFR03; NFR12</x:v>
      </x:c>
      <x:c r="P178" s="10" t="str">
        <x:v>UC07; AC06</x:v>
      </x:c>
      <x:c r="Q178" s="10" t="str">
        <x:v>19,30</x:v>
      </x:c>
      <x:c r="R178" s="10" t="str">
        <x:v>Khôi phục dependency/fault injection nếu có; dùng bộ ID mới cho ca kế tiếp. Không xóa lịch sử/audit bằng API nghiệp vụ.</x:v>
      </x:c>
      <x:c r="S178" s="11" t="str"/>
      <x:c r="T178" s="11" t="str"/>
      <x:c r="U178" s="11" t="str"/>
      <x:c r="V178" s="11" t="str"/>
      <x:c r="W178" s="12"/>
      <x:c r="X178" s="10" t="str">
        <x:v>API05; API07 pricing; MSD 7.2–7.4</x:v>
      </x:c>
    </x:row>
    <x:row r="179" ht="52" customHeight="1">
      <x:c r="A179" s="9" t="str">
        <x:v>TC13-PAY-029</x:v>
      </x:c>
      <x:c r="B179" s="9" t="str">
        <x:v>PAY</x:v>
      </x:c>
      <x:c r="C179" s="9" t="str">
        <x:v>GET không khởi tạo thu</x:v>
      </x:c>
      <x:c r="D179" s="9" t="str">
        <x:v>P1</x:v>
      </x:c>
      <x:c r="E179" s="9" t="str">
        <x:v>DEFINED</x:v>
      </x:c>
      <x:c r="F179" s="9" t="str">
        <x:v>NOT_RUN</x:v>
      </x:c>
      <x:c r="G179" s="9" t="str"/>
      <x:c r="H179" s="9" t="str">
        <x:v>FUNCTIONAL</x:v>
      </x:c>
      <x:c r="I179" s="9" t="str">
        <x:v>API05 fare/payments; API07 pricing</x:v>
      </x:c>
      <x:c r="J179" s="9" t="str">
        <x:v>BASE; T_DONE thuộc C_A/D_A; JourneyMetrics theo ca; Payment fixtures độc lập.</x:v>
      </x:c>
      <x:c r="K179" s="9" t="str">
        <x:v>Payment UNKNOWN hoặc chưa có Fare</x:v>
      </x:c>
      <x:c r="L179" s="9" t="str">
        <x:v>1. Lặp GET fare/payment/attempts</x:v>
      </x:c>
      <x:c r="M179" s="9" t="str">
        <x:v>Không tạo attempt, Fare hay gọi charge; không side effect thu tiền.</x:v>
      </x:c>
      <x:c r="N179" s="9" t="str">
        <x:v>HTTP request/response đã che token; bản ghi trước/sau tại DB sở hữu; correlationId và log/audit liên quan.</x:v>
      </x:c>
      <x:c r="O179" s="9" t="str">
        <x:v>FR10; FR12; NFR03</x:v>
      </x:c>
      <x:c r="P179" s="9" t="str">
        <x:v>UC07; AC06</x:v>
      </x:c>
      <x:c r="Q179" s="9" t="str">
        <x:v>30</x:v>
      </x:c>
      <x:c r="R179" s="9" t="str">
        <x:v>Khôi phục dependency/fault injection nếu có; dùng bộ ID mới cho ca kế tiếp. Không xóa lịch sử/audit bằng API nghiệp vụ.</x:v>
      </x:c>
      <x:c r="S179" s="11" t="str"/>
      <x:c r="T179" s="11" t="str"/>
      <x:c r="U179" s="11" t="str"/>
      <x:c r="V179" s="11" t="str"/>
      <x:c r="W179" s="12"/>
      <x:c r="X179" s="9" t="str">
        <x:v>API05; API07 pricing; MSD 7.2–7.4</x:v>
      </x:c>
    </x:row>
    <x:row r="180" ht="52" customHeight="1">
      <x:c r="A180" s="10" t="str">
        <x:v>TC13-PAY-030</x:v>
      </x:c>
      <x:c r="B180" s="10" t="str">
        <x:v>PAY</x:v>
      </x:c>
      <x:c r="C180" s="10" t="str">
        <x:v>Biểu giá không hồi tố</x:v>
      </x:c>
      <x:c r="D180" s="10" t="str">
        <x:v>P1</x:v>
      </x:c>
      <x:c r="E180" s="10" t="str">
        <x:v>DEFINED</x:v>
      </x:c>
      <x:c r="F180" s="10" t="str">
        <x:v>NOT_RUN</x:v>
      </x:c>
      <x:c r="G180" s="10" t="str"/>
      <x:c r="H180" s="10" t="str">
        <x:v>FUNCTIONAL</x:v>
      </x:c>
      <x:c r="I180" s="10" t="str">
        <x:v>API05 fare/payments; API07 pricing</x:v>
      </x:c>
      <x:c r="J180" s="10" t="str">
        <x:v>BASE; T_DONE thuộc C_A/D_A; JourneyMetrics theo ca; Payment fixtures độc lập.</x:v>
      </x:c>
      <x:c r="K180" s="10" t="str">
        <x:v>effectiveFrom quá khứ, tương lai; cùng vehicleType/time</x:v>
      </x:c>
      <x:c r="L180" s="10" t="str">
        <x:v>1. O_A POST pricing từng biến thể</x:v>
      </x:c>
      <x:c r="M180" s="10" t="str">
        <x:v>Quá khứ và trùng bị từ chối; bản tương lai bất biến, chỉ hiệu lực từ thời điểm quy định.</x:v>
      </x:c>
      <x:c r="N180" s="10" t="str">
        <x:v>HTTP request/response đã che token; bản ghi trước/sau tại DB sở hữu; correlationId và log/audit liên quan.</x:v>
      </x:c>
      <x:c r="O180" s="10" t="str">
        <x:v>FR21</x:v>
      </x:c>
      <x:c r="P180" s="10" t="str">
        <x:v>UC14; AC12</x:v>
      </x:c>
      <x:c r="Q180" s="10" t="str"/>
      <x:c r="R180" s="10" t="str">
        <x:v>Khôi phục dependency/fault injection nếu có; dùng bộ ID mới cho ca kế tiếp. Không xóa lịch sử/audit bằng API nghiệp vụ.</x:v>
      </x:c>
      <x:c r="S180" s="11" t="str"/>
      <x:c r="T180" s="11" t="str"/>
      <x:c r="U180" s="11" t="str"/>
      <x:c r="V180" s="11" t="str"/>
      <x:c r="W180" s="12"/>
      <x:c r="X180" s="10" t="str">
        <x:v>API05; API07 pricing; MSD 7.2–7.4</x:v>
      </x:c>
    </x:row>
    <x:row r="181" ht="52" customHeight="1">
      <x:c r="A181" s="9" t="str">
        <x:v>TC13-NOTI-001</x:v>
      </x:c>
      <x:c r="B181" s="9" t="str">
        <x:v>NOTI</x:v>
      </x:c>
      <x:c r="C181" s="9" t="str">
        <x:v>Nguồn v2 hợp lệ</x:v>
      </x:c>
      <x:c r="D181" s="9" t="str">
        <x:v>P1</x:v>
      </x:c>
      <x:c r="E181" s="9" t="str">
        <x:v>NEEDS_DECISION</x:v>
      </x:c>
      <x:c r="F181" s="9" t="str">
        <x:v>NOT_RUN</x:v>
      </x:c>
      <x:c r="G181" s="9" t="str">
        <x:v>D09</x:v>
      </x:c>
      <x:c r="H181" s="9" t="str">
        <x:v>FUNCTIONAL</x:v>
      </x:c>
      <x:c r="I181" s="9" t="str">
        <x:v>API06 notifications; RabbitMQ NotificationDomainEvent v2</x:v>
      </x:c>
      <x:c r="J181" s="9" t="str">
        <x:v>BASE; outbox/inbox và broker quyền riêng; N_SENT/N_PENDING/N_FAILED.</x:v>
      </x:c>
      <x:c r="K181" s="9" t="str">
        <x:v>schemaVersion=2; từng source trong producerMatrix</x:v>
      </x:c>
      <x:c r="L181" s="9" t="str">
        <x:v>1. Phát event của Booking/Trip/Payment/Driver từ credential đúng</x:v>
      </x:c>
      <x:c r="M181" s="9" t="str">
        <x:v>Lưu inbox và job trước ACK; tạo đúng recipient Account; không cần CAB_CORE.</x:v>
      </x:c>
      <x:c r="N181" s="9" t="str">
        <x:v>HTTP request/response đã che token; bản ghi trước/sau tại DB sở hữu; correlationId và log/audit liên quan.</x:v>
      </x:c>
      <x:c r="O181" s="9" t="str">
        <x:v>FR13; NFR03; NFR12</x:v>
      </x:c>
      <x:c r="P181" s="9" t="str">
        <x:v>UC15; AC13; AC19</x:v>
      </x:c>
      <x:c r="Q181" s="9" t="str">
        <x:v>7</x:v>
      </x:c>
      <x:c r="R181" s="9" t="str">
        <x:v>Khôi phục dependency/fault injection nếu có; dùng bộ ID mới cho ca kế tiếp. Không xóa lịch sử/audit bằng API nghiệp vụ.</x:v>
      </x:c>
      <x:c r="S181" s="11" t="str"/>
      <x:c r="T181" s="11" t="str"/>
      <x:c r="U181" s="11" t="str"/>
      <x:c r="V181" s="11" t="str"/>
      <x:c r="W181" s="12"/>
      <x:c r="X181" s="9" t="str">
        <x:v>API06 x-rabbitmq-contract; MSD 8</x:v>
      </x:c>
    </x:row>
    <x:row r="182" ht="52" customHeight="1">
      <x:c r="A182" s="10" t="str">
        <x:v>TC13-NOTI-002</x:v>
      </x:c>
      <x:c r="B182" s="10" t="str">
        <x:v>NOTI</x:v>
      </x:c>
      <x:c r="C182" s="10" t="str">
        <x:v>Sai nguồn hoặc schema</x:v>
      </x:c>
      <x:c r="D182" s="10" t="str">
        <x:v>P1</x:v>
      </x:c>
      <x:c r="E182" s="10" t="str">
        <x:v>NEEDS_DECISION</x:v>
      </x:c>
      <x:c r="F182" s="10" t="str">
        <x:v>NOT_RUN</x:v>
      </x:c>
      <x:c r="G182" s="10" t="str">
        <x:v>D09</x:v>
      </x:c>
      <x:c r="H182" s="10" t="str">
        <x:v>FUNCTIONAL</x:v>
      </x:c>
      <x:c r="I182" s="10" t="str">
        <x:v>API06 notifications; RabbitMQ NotificationDomainEvent v2</x:v>
      </x:c>
      <x:c r="J182" s="10" t="str">
        <x:v>BASE; outbox/inbox và broker quyền riêng; N_SENT/N_PENDING/N_FAILED.</x:v>
      </x:c>
      <x:c r="K182" s="10" t="str">
        <x:v>source giả, eventType không thuộc source hoặc version=1</x:v>
      </x:c>
      <x:c r="L182" s="10" t="str">
        <x:v>1. Phát message bằng route test</x:v>
      </x:c>
      <x:c r="M182" s="10" t="str">
        <x:v>Không tạo thông báo hợp lệ; cách ly/DLQ bền vững, không tin riêng trường source.</x:v>
      </x:c>
      <x:c r="N182" s="10" t="str">
        <x:v>HTTP request/response đã che token; bản ghi trước/sau tại DB sở hữu; correlationId và log/audit liên quan.</x:v>
      </x:c>
      <x:c r="O182" s="10" t="str">
        <x:v>FR13; NFR03; NFR12</x:v>
      </x:c>
      <x:c r="P182" s="10" t="str">
        <x:v>UC15; AC13; AC19</x:v>
      </x:c>
      <x:c r="Q182" s="10" t="str">
        <x:v>7</x:v>
      </x:c>
      <x:c r="R182" s="10" t="str">
        <x:v>Khôi phục dependency/fault injection nếu có; dùng bộ ID mới cho ca kế tiếp. Không xóa lịch sử/audit bằng API nghiệp vụ.</x:v>
      </x:c>
      <x:c r="S182" s="11" t="str"/>
      <x:c r="T182" s="11" t="str"/>
      <x:c r="U182" s="11" t="str"/>
      <x:c r="V182" s="11" t="str"/>
      <x:c r="W182" s="12"/>
      <x:c r="X182" s="10" t="str">
        <x:v>API06 x-rabbitmq-contract; MSD 8</x:v>
      </x:c>
    </x:row>
    <x:row r="183" ht="52" customHeight="1">
      <x:c r="A183" s="9" t="str">
        <x:v>TC13-NOTI-003</x:v>
      </x:c>
      <x:c r="B183" s="9" t="str">
        <x:v>NOTI</x:v>
      </x:c>
      <x:c r="C183" s="9" t="str">
        <x:v>Event lặp cùng payload</x:v>
      </x:c>
      <x:c r="D183" s="9" t="str">
        <x:v>P1</x:v>
      </x:c>
      <x:c r="E183" s="9" t="str">
        <x:v>DEFINED</x:v>
      </x:c>
      <x:c r="F183" s="9" t="str">
        <x:v>NOT_RUN</x:v>
      </x:c>
      <x:c r="G183" s="9" t="str"/>
      <x:c r="H183" s="9" t="str">
        <x:v>FUNCTIONAL</x:v>
      </x:c>
      <x:c r="I183" s="9" t="str">
        <x:v>API06 notifications; RabbitMQ NotificationDomainEvent v2</x:v>
      </x:c>
      <x:c r="J183" s="9" t="str">
        <x:v>BASE; outbox/inbox và broker quyền riêng; N_SENT/N_PENDING/N_FAILED.</x:v>
      </x:c>
      <x:c r="K183" s="9" t="str">
        <x:v>Cùng eventId và nội dung chuẩn hóa</x:v>
      </x:c>
      <x:c r="L183" s="9" t="str">
        <x:v>1. Gửi hai lần</x:v>
      </x:c>
      <x:c r="M183" s="9" t="str">
        <x:v>Một inbox và một Notification mỗi eventId/recipient/channel; không reset isRead/readAt.</x:v>
      </x:c>
      <x:c r="N183" s="9" t="str">
        <x:v>HTTP request/response đã che token; bản ghi trước/sau tại DB sở hữu; correlationId và log/audit liên quan.</x:v>
      </x:c>
      <x:c r="O183" s="9" t="str">
        <x:v>FR13; NFR03; NFR12</x:v>
      </x:c>
      <x:c r="P183" s="9" t="str">
        <x:v>UC15; AC13; AC19</x:v>
      </x:c>
      <x:c r="Q183" s="9" t="str">
        <x:v>7</x:v>
      </x:c>
      <x:c r="R183" s="9" t="str">
        <x:v>Khôi phục dependency/fault injection nếu có; dùng bộ ID mới cho ca kế tiếp. Không xóa lịch sử/audit bằng API nghiệp vụ.</x:v>
      </x:c>
      <x:c r="S183" s="11" t="str"/>
      <x:c r="T183" s="11" t="str"/>
      <x:c r="U183" s="11" t="str"/>
      <x:c r="V183" s="11" t="str"/>
      <x:c r="W183" s="12"/>
      <x:c r="X183" s="9" t="str">
        <x:v>API06 x-rabbitmq-contract; MSD 8</x:v>
      </x:c>
    </x:row>
    <x:row r="184" ht="52" customHeight="1">
      <x:c r="A184" s="10" t="str">
        <x:v>TC13-NOTI-004</x:v>
      </x:c>
      <x:c r="B184" s="10" t="str">
        <x:v>NOTI</x:v>
      </x:c>
      <x:c r="C184" s="10" t="str">
        <x:v>Event ID trùng nội dung khác</x:v>
      </x:c>
      <x:c r="D184" s="10" t="str">
        <x:v>P1</x:v>
      </x:c>
      <x:c r="E184" s="10" t="str">
        <x:v>DEFINED</x:v>
      </x:c>
      <x:c r="F184" s="10" t="str">
        <x:v>NOT_RUN</x:v>
      </x:c>
      <x:c r="G184" s="10" t="str"/>
      <x:c r="H184" s="10" t="str">
        <x:v>FUNCTIONAL</x:v>
      </x:c>
      <x:c r="I184" s="10" t="str">
        <x:v>API06 notifications; RabbitMQ NotificationDomainEvent v2</x:v>
      </x:c>
      <x:c r="J184" s="10" t="str">
        <x:v>BASE; outbox/inbox và broker quyền riêng; N_SENT/N_PENDING/N_FAILED.</x:v>
      </x:c>
      <x:c r="K184" s="10" t="str">
        <x:v>Cùng eventId, đổi recipient hoặc snapshot</x:v>
      </x:c>
      <x:c r="L184" s="10" t="str">
        <x:v>1. Phát sau event gốc</x:v>
      </x:c>
      <x:c r="M184" s="10" t="str">
        <x:v>Không ghi đè; lưu xung đột để kiểm tra; không mở rộng người nhận.</x:v>
      </x:c>
      <x:c r="N184" s="10" t="str">
        <x:v>HTTP request/response đã che token; bản ghi trước/sau tại DB sở hữu; correlationId và log/audit liên quan.</x:v>
      </x:c>
      <x:c r="O184" s="10" t="str">
        <x:v>FR13; NFR03; NFR12</x:v>
      </x:c>
      <x:c r="P184" s="10" t="str">
        <x:v>UC15; AC13; AC19</x:v>
      </x:c>
      <x:c r="Q184" s="10" t="str">
        <x:v>7</x:v>
      </x:c>
      <x:c r="R184" s="10" t="str">
        <x:v>Khôi phục dependency/fault injection nếu có; dùng bộ ID mới cho ca kế tiếp. Không xóa lịch sử/audit bằng API nghiệp vụ.</x:v>
      </x:c>
      <x:c r="S184" s="11" t="str"/>
      <x:c r="T184" s="11" t="str"/>
      <x:c r="U184" s="11" t="str"/>
      <x:c r="V184" s="11" t="str"/>
      <x:c r="W184" s="12"/>
      <x:c r="X184" s="10" t="str">
        <x:v>API06 x-rabbitmq-contract; MSD 8</x:v>
      </x:c>
    </x:row>
    <x:row r="185" ht="52" customHeight="1">
      <x:c r="A185" s="9" t="str">
        <x:v>TC13-NOTI-005</x:v>
      </x:c>
      <x:c r="B185" s="9" t="str">
        <x:v>NOTI</x:v>
      </x:c>
      <x:c r="C185" s="9" t="str">
        <x:v>Fan-out hai người crash</x:v>
      </x:c>
      <x:c r="D185" s="9" t="str">
        <x:v>P1</x:v>
      </x:c>
      <x:c r="E185" s="9" t="str">
        <x:v>DEFINED</x:v>
      </x:c>
      <x:c r="F185" s="9" t="str">
        <x:v>NOT_RUN</x:v>
      </x:c>
      <x:c r="G185" s="9" t="str"/>
      <x:c r="H185" s="9" t="str">
        <x:v>FUNCTIONAL</x:v>
      </x:c>
      <x:c r="I185" s="9" t="str">
        <x:v>API06 notifications; RabbitMQ NotificationDomainEvent v2</x:v>
      </x:c>
      <x:c r="J185" s="9" t="str">
        <x:v>BASE; outbox/inbox và broker quyền riêng; N_SENT/N_PENDING/N_FAILED.</x:v>
      </x:c>
      <x:c r="K185" s="9" t="str">
        <x:v>TRIP_COMPLETED cho C_A,D_A</x:v>
      </x:c>
      <x:c r="L185" s="9" t="str">
        <x:v>1. Crash sau người nhận đầu; restart</x:v>
      </x:c>
      <x:c r="M185" s="9" t="str">
        <x:v>Đủ hai thông báo riêng sau phục hồi; người đầu không trùng; trạng thái đọc độc lập.</x:v>
      </x:c>
      <x:c r="N185" s="9" t="str">
        <x:v>HTTP request/response đã che token; bản ghi trước/sau tại DB sở hữu; correlationId và log/audit liên quan.</x:v>
      </x:c>
      <x:c r="O185" s="9" t="str">
        <x:v>FR13; NFR03; NFR12</x:v>
      </x:c>
      <x:c r="P185" s="9" t="str">
        <x:v>UC15; AC13; AC19</x:v>
      </x:c>
      <x:c r="Q185" s="9" t="str">
        <x:v>7</x:v>
      </x:c>
      <x:c r="R185" s="9" t="str">
        <x:v>Khôi phục dependency/fault injection nếu có; dùng bộ ID mới cho ca kế tiếp. Không xóa lịch sử/audit bằng API nghiệp vụ.</x:v>
      </x:c>
      <x:c r="S185" s="11" t="str"/>
      <x:c r="T185" s="11" t="str"/>
      <x:c r="U185" s="11" t="str"/>
      <x:c r="V185" s="11" t="str"/>
      <x:c r="W185" s="12"/>
      <x:c r="X185" s="9" t="str">
        <x:v>API06 x-rabbitmq-contract; MSD 8</x:v>
      </x:c>
    </x:row>
    <x:row r="186" ht="52" customHeight="1">
      <x:c r="A186" s="10" t="str">
        <x:v>TC13-NOTI-006</x:v>
      </x:c>
      <x:c r="B186" s="10" t="str">
        <x:v>NOTI</x:v>
      </x:c>
      <x:c r="C186" s="10" t="str">
        <x:v>SENT không đồng nghĩa đã đọc</x:v>
      </x:c>
      <x:c r="D186" s="10" t="str">
        <x:v>P1</x:v>
      </x:c>
      <x:c r="E186" s="10" t="str">
        <x:v>DEFINED</x:v>
      </x:c>
      <x:c r="F186" s="10" t="str">
        <x:v>NOT_RUN</x:v>
      </x:c>
      <x:c r="G186" s="10" t="str"/>
      <x:c r="H186" s="10" t="str">
        <x:v>FUNCTIONAL</x:v>
      </x:c>
      <x:c r="I186" s="10" t="str">
        <x:v>API06 notifications; RabbitMQ NotificationDomainEvent v2</x:v>
      </x:c>
      <x:c r="J186" s="10" t="str">
        <x:v>BASE; outbox/inbox và broker quyền riêng; N_SENT/N_PENDING/N_FAILED.</x:v>
      </x:c>
      <x:c r="K186" s="10" t="str">
        <x:v>Notification đã công bố, client offline</x:v>
      </x:c>
      <x:c r="L186" s="10" t="str">
        <x:v>1. GET hộp thư sau reconnect</x:v>
      </x:c>
      <x:c r="M186" s="10" t="str">
        <x:v>Có SENT, isRead=false; websocket lỗi không chuyển FAILED.</x:v>
      </x:c>
      <x:c r="N186" s="10" t="str">
        <x:v>HTTP request/response đã che token; bản ghi trước/sau tại DB sở hữu; correlationId và log/audit liên quan.</x:v>
      </x:c>
      <x:c r="O186" s="10" t="str">
        <x:v>FR13; NFR03; NFR12</x:v>
      </x:c>
      <x:c r="P186" s="10" t="str">
        <x:v>UC15; AC13; AC19</x:v>
      </x:c>
      <x:c r="Q186" s="10" t="str">
        <x:v>7</x:v>
      </x:c>
      <x:c r="R186" s="10" t="str">
        <x:v>Khôi phục dependency/fault injection nếu có; dùng bộ ID mới cho ca kế tiếp. Không xóa lịch sử/audit bằng API nghiệp vụ.</x:v>
      </x:c>
      <x:c r="S186" s="11" t="str"/>
      <x:c r="T186" s="11" t="str"/>
      <x:c r="U186" s="11" t="str"/>
      <x:c r="V186" s="11" t="str"/>
      <x:c r="W186" s="12"/>
      <x:c r="X186" s="10" t="str">
        <x:v>API06 x-rabbitmq-contract; MSD 8</x:v>
      </x:c>
    </x:row>
    <x:row r="187" ht="52" customHeight="1">
      <x:c r="A187" s="9" t="str">
        <x:v>TC13-NOTI-007</x:v>
      </x:c>
      <x:c r="B187" s="9" t="str">
        <x:v>NOTI</x:v>
      </x:c>
      <x:c r="C187" s="9" t="str">
        <x:v>Hộp thư chỉ SENT của mình</x:v>
      </x:c>
      <x:c r="D187" s="9" t="str">
        <x:v>P1</x:v>
      </x:c>
      <x:c r="E187" s="9" t="str">
        <x:v>DEFINED</x:v>
      </x:c>
      <x:c r="F187" s="9" t="str">
        <x:v>NOT_RUN</x:v>
      </x:c>
      <x:c r="G187" s="9" t="str"/>
      <x:c r="H187" s="9" t="str">
        <x:v>FUNCTIONAL</x:v>
      </x:c>
      <x:c r="I187" s="9" t="str">
        <x:v>API06 notifications; RabbitMQ NotificationDomainEvent v2</x:v>
      </x:c>
      <x:c r="J187" s="9" t="str">
        <x:v>BASE; outbox/inbox và broker quyền riêng; N_SENT/N_PENDING/N_FAILED.</x:v>
      </x:c>
      <x:c r="K187" s="9" t="str">
        <x:v>C_A có SENT/PENDING/FAILED; C_B có SENT</x:v>
      </x:c>
      <x:c r="L187" s="9" t="str">
        <x:v>1. GET C_A; thử recipientAccountId=C_B</x:v>
      </x:c>
      <x:c r="M187" s="9" t="str">
        <x:v>Chỉ SENT C_A; query ngoài hợp đồng bị 400; không đọc hộp thư người khác kể cả OPERATOR.</x:v>
      </x:c>
      <x:c r="N187" s="9" t="str">
        <x:v>HTTP request/response đã che token; bản ghi trước/sau tại DB sở hữu; correlationId và log/audit liên quan.</x:v>
      </x:c>
      <x:c r="O187" s="9" t="str">
        <x:v>FR13; NFR04</x:v>
      </x:c>
      <x:c r="P187" s="9" t="str">
        <x:v>UC15; AC13</x:v>
      </x:c>
      <x:c r="Q187" s="9" t="str"/>
      <x:c r="R187" s="9" t="str">
        <x:v>Khôi phục dependency/fault injection nếu có; dùng bộ ID mới cho ca kế tiếp. Không xóa lịch sử/audit bằng API nghiệp vụ.</x:v>
      </x:c>
      <x:c r="S187" s="11" t="str"/>
      <x:c r="T187" s="11" t="str"/>
      <x:c r="U187" s="11" t="str"/>
      <x:c r="V187" s="11" t="str"/>
      <x:c r="W187" s="12"/>
      <x:c r="X187" s="9" t="str">
        <x:v>API06 x-rabbitmq-contract; MSD 8</x:v>
      </x:c>
    </x:row>
    <x:row r="188" ht="52" customHeight="1">
      <x:c r="A188" s="10" t="str">
        <x:v>TC13-NOTI-008</x:v>
      </x:c>
      <x:c r="B188" s="10" t="str">
        <x:v>NOTI</x:v>
      </x:c>
      <x:c r="C188" s="10" t="str">
        <x:v>Đánh dấu đọc lặp</x:v>
      </x:c>
      <x:c r="D188" s="10" t="str">
        <x:v>P1</x:v>
      </x:c>
      <x:c r="E188" s="10" t="str">
        <x:v>DEFINED</x:v>
      </x:c>
      <x:c r="F188" s="10" t="str">
        <x:v>NOT_RUN</x:v>
      </x:c>
      <x:c r="G188" s="10" t="str"/>
      <x:c r="H188" s="10" t="str">
        <x:v>FUNCTIONAL</x:v>
      </x:c>
      <x:c r="I188" s="10" t="str">
        <x:v>API06 notifications; RabbitMQ NotificationDomainEvent v2</x:v>
      </x:c>
      <x:c r="J188" s="10" t="str">
        <x:v>BASE; outbox/inbox và broker quyền riêng; N_SENT/N_PENDING/N_FAILED.</x:v>
      </x:c>
      <x:c r="K188" s="10" t="str">
        <x:v>N_SENT thuộc C_A</x:v>
      </x:c>
      <x:c r="L188" s="10" t="str">
        <x:v>1. PATCH read hai lần và đồng thời</x:v>
      </x:c>
      <x:c r="M188" s="10" t="str">
        <x:v>Giữ readAt lần thành công đầu; không đổi nội dung/publishedAt; không thêm thông báo.</x:v>
      </x:c>
      <x:c r="N188" s="10" t="str">
        <x:v>HTTP request/response đã che token; bản ghi trước/sau tại DB sở hữu; correlationId và log/audit liên quan.</x:v>
      </x:c>
      <x:c r="O188" s="10" t="str">
        <x:v>FR13; NFR04</x:v>
      </x:c>
      <x:c r="P188" s="10" t="str">
        <x:v>UC15; AC13</x:v>
      </x:c>
      <x:c r="Q188" s="10" t="str"/>
      <x:c r="R188" s="10" t="str">
        <x:v>Khôi phục dependency/fault injection nếu có; dùng bộ ID mới cho ca kế tiếp. Không xóa lịch sử/audit bằng API nghiệp vụ.</x:v>
      </x:c>
      <x:c r="S188" s="11" t="str"/>
      <x:c r="T188" s="11" t="str"/>
      <x:c r="U188" s="11" t="str"/>
      <x:c r="V188" s="11" t="str"/>
      <x:c r="W188" s="12"/>
      <x:c r="X188" s="10" t="str">
        <x:v>API06 x-rabbitmq-contract; MSD 8</x:v>
      </x:c>
    </x:row>
    <x:row r="189" ht="52" customHeight="1">
      <x:c r="A189" s="9" t="str">
        <x:v>TC13-NOTI-009</x:v>
      </x:c>
      <x:c r="B189" s="9" t="str">
        <x:v>NOTI</x:v>
      </x:c>
      <x:c r="C189" s="9" t="str">
        <x:v>Read không nhận body</x:v>
      </x:c>
      <x:c r="D189" s="9" t="str">
        <x:v>P1</x:v>
      </x:c>
      <x:c r="E189" s="9" t="str">
        <x:v>DEFINED</x:v>
      </x:c>
      <x:c r="F189" s="9" t="str">
        <x:v>NOT_RUN</x:v>
      </x:c>
      <x:c r="G189" s="9" t="str"/>
      <x:c r="H189" s="9" t="str">
        <x:v>FUNCTIONAL</x:v>
      </x:c>
      <x:c r="I189" s="9" t="str">
        <x:v>API06 notifications; RabbitMQ NotificationDomainEvent v2</x:v>
      </x:c>
      <x:c r="J189" s="9" t="str">
        <x:v>BASE; outbox/inbox và broker quyền riêng; N_SENT/N_PENDING/N_FAILED.</x:v>
      </x:c>
      <x:c r="K189" s="9" t="str">
        <x:v>Body isRead=false hoặc recipientAccountId</x:v>
      </x:c>
      <x:c r="L189" s="9" t="str">
        <x:v>1. PATCH read</x:v>
      </x:c>
      <x:c r="M189" s="9" t="str">
        <x:v>400; không cho đánh dấu chưa đọc hoặc đổi chủ.</x:v>
      </x:c>
      <x:c r="N189" s="9" t="str">
        <x:v>HTTP request/response đã che token; bản ghi trước/sau tại DB sở hữu; correlationId và log/audit liên quan.</x:v>
      </x:c>
      <x:c r="O189" s="9" t="str">
        <x:v>FR13; NFR04</x:v>
      </x:c>
      <x:c r="P189" s="9" t="str">
        <x:v>UC15; AC13</x:v>
      </x:c>
      <x:c r="Q189" s="9" t="str"/>
      <x:c r="R189" s="9" t="str">
        <x:v>Khôi phục dependency/fault injection nếu có; dùng bộ ID mới cho ca kế tiếp. Không xóa lịch sử/audit bằng API nghiệp vụ.</x:v>
      </x:c>
      <x:c r="S189" s="11" t="str"/>
      <x:c r="T189" s="11" t="str"/>
      <x:c r="U189" s="11" t="str"/>
      <x:c r="V189" s="11" t="str"/>
      <x:c r="W189" s="12"/>
      <x:c r="X189" s="9" t="str">
        <x:v>API06 x-rabbitmq-contract; MSD 8</x:v>
      </x:c>
    </x:row>
    <x:row r="190" ht="52" customHeight="1">
      <x:c r="A190" s="10" t="str">
        <x:v>TC13-NOTI-010</x:v>
      </x:c>
      <x:c r="B190" s="10" t="str">
        <x:v>NOTI</x:v>
      </x:c>
      <x:c r="C190" s="10" t="str">
        <x:v>Offer notification trễ</x:v>
      </x:c>
      <x:c r="D190" s="10" t="str">
        <x:v>P1</x:v>
      </x:c>
      <x:c r="E190" s="10" t="str">
        <x:v>DEFINED</x:v>
      </x:c>
      <x:c r="F190" s="10" t="str">
        <x:v>NOT_RUN</x:v>
      </x:c>
      <x:c r="G190" s="10" t="str"/>
      <x:c r="H190" s="10" t="str">
        <x:v>FUNCTIONAL</x:v>
      </x:c>
      <x:c r="I190" s="10" t="str">
        <x:v>API06 notifications; RabbitMQ NotificationDomainEvent v2</x:v>
      </x:c>
      <x:c r="J190" s="10" t="str">
        <x:v>BASE; outbox/inbox và broker quyền riêng; N_SENT/N_PENDING/N_FAILED.</x:v>
      </x:c>
      <x:c r="K190" s="10" t="str">
        <x:v>TRIP_REQUEST_RECEIVED sau expiresAt</x:v>
      </x:c>
      <x:c r="L190" s="10" t="str">
        <x:v>1. Đọc thông báo rồi accept offer</x:v>
      </x:c>
      <x:c r="M190" s="10" t="str">
        <x:v>Không gia hạn lời mời; API Dispatch từ chối accept quá hạn.</x:v>
      </x:c>
      <x:c r="N190" s="10" t="str">
        <x:v>HTTP request/response đã che token; bản ghi trước/sau tại DB sở hữu; correlationId và log/audit liên quan.</x:v>
      </x:c>
      <x:c r="O190" s="10" t="str">
        <x:v>FR13; FR05</x:v>
      </x:c>
      <x:c r="P190" s="10" t="str">
        <x:v>UC15; UC05; AC13; AC03</x:v>
      </x:c>
      <x:c r="Q190" s="10" t="str">
        <x:v>15,16</x:v>
      </x:c>
      <x:c r="R190" s="10" t="str">
        <x:v>Khôi phục dependency/fault injection nếu có; dùng bộ ID mới cho ca kế tiếp. Không xóa lịch sử/audit bằng API nghiệp vụ.</x:v>
      </x:c>
      <x:c r="S190" s="11" t="str"/>
      <x:c r="T190" s="11" t="str"/>
      <x:c r="U190" s="11" t="str"/>
      <x:c r="V190" s="11" t="str"/>
      <x:c r="W190" s="12"/>
      <x:c r="X190" s="10" t="str">
        <x:v>API06 x-rabbitmq-contract; MSD 8</x:v>
      </x:c>
    </x:row>
    <x:row r="191" ht="52" customHeight="1">
      <x:c r="A191" s="9" t="str">
        <x:v>TC13-NOTI-011</x:v>
      </x:c>
      <x:c r="B191" s="9" t="str">
        <x:v>NOTI</x:v>
      </x:c>
      <x:c r="C191" s="9" t="str">
        <x:v>Broker lỗi vẫn đọc inbox</x:v>
      </x:c>
      <x:c r="D191" s="9" t="str">
        <x:v>P1</x:v>
      </x:c>
      <x:c r="E191" s="9" t="str">
        <x:v>DEFINED</x:v>
      </x:c>
      <x:c r="F191" s="9" t="str">
        <x:v>NOT_RUN</x:v>
      </x:c>
      <x:c r="G191" s="9" t="str"/>
      <x:c r="H191" s="9" t="str">
        <x:v>FUNCTIONAL</x:v>
      </x:c>
      <x:c r="I191" s="9" t="str">
        <x:v>API06 notifications; RabbitMQ NotificationDomainEvent v2</x:v>
      </x:c>
      <x:c r="J191" s="9" t="str">
        <x:v>BASE; outbox/inbox và broker quyền riêng; N_SENT/N_PENDING/N_FAILED.</x:v>
      </x:c>
      <x:c r="K191" s="9" t="str">
        <x:v>N_SENT đã bền vững; broker ngừng, Identity/DB còn hoạt động</x:v>
      </x:c>
      <x:c r="L191" s="9" t="str">
        <x:v>1. GET notifications</x:v>
      </x:c>
      <x:c r="M191" s="9" t="str">
        <x:v>200 hộp thư đã có; không yêu cầu broker để đọc lịch sử.</x:v>
      </x:c>
      <x:c r="N191" s="9" t="str">
        <x:v>HTTP request/response đã che token; bản ghi trước/sau tại DB sở hữu; correlationId và log/audit liên quan.</x:v>
      </x:c>
      <x:c r="O191" s="9" t="str">
        <x:v>FR13; NFR03; NFR12</x:v>
      </x:c>
      <x:c r="P191" s="9" t="str">
        <x:v>UC15; AC13; AC19</x:v>
      </x:c>
      <x:c r="Q191" s="9" t="str">
        <x:v>7</x:v>
      </x:c>
      <x:c r="R191" s="9" t="str">
        <x:v>Khôi phục dependency/fault injection nếu có; dùng bộ ID mới cho ca kế tiếp. Không xóa lịch sử/audit bằng API nghiệp vụ.</x:v>
      </x:c>
      <x:c r="S191" s="11" t="str"/>
      <x:c r="T191" s="11" t="str"/>
      <x:c r="U191" s="11" t="str"/>
      <x:c r="V191" s="11" t="str"/>
      <x:c r="W191" s="12"/>
      <x:c r="X191" s="9" t="str">
        <x:v>API06 x-rabbitmq-contract; MSD 8</x:v>
      </x:c>
    </x:row>
    <x:row r="192" ht="52" customHeight="1">
      <x:c r="A192" s="10" t="str">
        <x:v>TC13-NOTI-012</x:v>
      </x:c>
      <x:c r="B192" s="10" t="str">
        <x:v>NOTI</x:v>
      </x:c>
      <x:c r="C192" s="10" t="str">
        <x:v>Thứ tự event đảo</x:v>
      </x:c>
      <x:c r="D192" s="10" t="str">
        <x:v>P1</x:v>
      </x:c>
      <x:c r="E192" s="10" t="str">
        <x:v>DEFINED</x:v>
      </x:c>
      <x:c r="F192" s="10" t="str">
        <x:v>NOT_RUN</x:v>
      </x:c>
      <x:c r="G192" s="10" t="str"/>
      <x:c r="H192" s="10" t="str">
        <x:v>FUNCTIONAL</x:v>
      </x:c>
      <x:c r="I192" s="10" t="str">
        <x:v>API06 notifications; RabbitMQ NotificationDomainEvent v2</x:v>
      </x:c>
      <x:c r="J192" s="10" t="str">
        <x:v>BASE; outbox/inbox và broker quyền riêng; N_SENT/N_PENDING/N_FAILED.</x:v>
      </x:c>
      <x:c r="K192" s="10" t="str">
        <x:v>Hai event cùng aggregate v10,v9 nhận ngược</x:v>
      </x:c>
      <x:c r="L192" s="10" t="str">
        <x:v>1. Consume và mở hộp thư</x:v>
      </x:c>
      <x:c r="M192" s="10" t="str">
        <x:v>Không bỏ thông báo lịch sử hợp lệ chỉ vì version thấp; giữ occurredAt; không đổi trạng thái nghiệp vụ từ thông báo.</x:v>
      </x:c>
      <x:c r="N192" s="10" t="str">
        <x:v>HTTP request/response đã che token; bản ghi trước/sau tại DB sở hữu; correlationId và log/audit liên quan.</x:v>
      </x:c>
      <x:c r="O192" s="10" t="str">
        <x:v>FR13; NFR03; NFR12</x:v>
      </x:c>
      <x:c r="P192" s="10" t="str">
        <x:v>UC15; AC13; AC19</x:v>
      </x:c>
      <x:c r="Q192" s="10" t="str">
        <x:v>7</x:v>
      </x:c>
      <x:c r="R192" s="10" t="str">
        <x:v>Khôi phục dependency/fault injection nếu có; dùng bộ ID mới cho ca kế tiếp. Không xóa lịch sử/audit bằng API nghiệp vụ.</x:v>
      </x:c>
      <x:c r="S192" s="11" t="str"/>
      <x:c r="T192" s="11" t="str"/>
      <x:c r="U192" s="11" t="str"/>
      <x:c r="V192" s="11" t="str"/>
      <x:c r="W192" s="12"/>
      <x:c r="X192" s="10" t="str">
        <x:v>API06 x-rabbitmq-contract; MSD 8</x:v>
      </x:c>
    </x:row>
    <x:row r="193" ht="52" customHeight="1">
      <x:c r="A193" s="9" t="str">
        <x:v>TC13-NOTI-013</x:v>
      </x:c>
      <x:c r="B193" s="9" t="str">
        <x:v>NOTI</x:v>
      </x:c>
      <x:c r="C193" s="9" t="str">
        <x:v>DRIVER_ASSIGNED khác aggregate/reference</x:v>
      </x:c>
      <x:c r="D193" s="9" t="str">
        <x:v>P1</x:v>
      </x:c>
      <x:c r="E193" s="9" t="str">
        <x:v>NEEDS_DECISION</x:v>
      </x:c>
      <x:c r="F193" s="9" t="str">
        <x:v>NOT_RUN</x:v>
      </x:c>
      <x:c r="G193" s="9" t="str">
        <x:v>D09</x:v>
      </x:c>
      <x:c r="H193" s="9" t="str">
        <x:v>FUNCTIONAL</x:v>
      </x:c>
      <x:c r="I193" s="9" t="str">
        <x:v>API06 notifications; RabbitMQ NotificationDomainEvent v2</x:v>
      </x:c>
      <x:c r="J193" s="9" t="str">
        <x:v>BASE; outbox/inbox và broker quyền riêng; N_SENT/N_PENDING/N_FAILED.</x:v>
      </x:c>
      <x:c r="K193" s="9" t="str">
        <x:v>aggregate BOOKING/bookingId; reference TRIP/tripId</x:v>
      </x:c>
      <x:c r="L193" s="9" t="str">
        <x:v>1. Phát event v2 hợp lệ</x:v>
      </x:c>
      <x:c r="M193" s="9" t="str">
        <x:v>Không ép aggregateId=referenceId; gửi Customer đúng Trip.</x:v>
      </x:c>
      <x:c r="N193" s="9" t="str">
        <x:v>HTTP request/response đã che token; bản ghi trước/sau tại DB sở hữu; correlationId và log/audit liên quan.</x:v>
      </x:c>
      <x:c r="O193" s="9" t="str">
        <x:v>FR13; NFR03; NFR12</x:v>
      </x:c>
      <x:c r="P193" s="9" t="str">
        <x:v>UC15; AC13; AC19</x:v>
      </x:c>
      <x:c r="Q193" s="9" t="str">
        <x:v>7</x:v>
      </x:c>
      <x:c r="R193" s="9" t="str">
        <x:v>Khôi phục dependency/fault injection nếu có; dùng bộ ID mới cho ca kế tiếp. Không xóa lịch sử/audit bằng API nghiệp vụ.</x:v>
      </x:c>
      <x:c r="S193" s="11" t="str"/>
      <x:c r="T193" s="11" t="str"/>
      <x:c r="U193" s="11" t="str"/>
      <x:c r="V193" s="11" t="str"/>
      <x:c r="W193" s="12"/>
      <x:c r="X193" s="9" t="str">
        <x:v>API06 x-rabbitmq-contract; MSD 8</x:v>
      </x:c>
    </x:row>
    <x:row r="194" ht="52" customHeight="1">
      <x:c r="A194" s="10" t="str">
        <x:v>TC13-NOTI-014</x:v>
      </x:c>
      <x:c r="B194" s="10" t="str">
        <x:v>NOTI</x:v>
      </x:c>
      <x:c r="C194" s="10" t="str">
        <x:v>Phục hồi FAILED có audit</x:v>
      </x:c>
      <x:c r="D194" s="10" t="str">
        <x:v>P1</x:v>
      </x:c>
      <x:c r="E194" s="10" t="str">
        <x:v>NEEDS_DECISION</x:v>
      </x:c>
      <x:c r="F194" s="10" t="str">
        <x:v>NOT_RUN</x:v>
      </x:c>
      <x:c r="G194" s="10" t="str">
        <x:v>D08</x:v>
      </x:c>
      <x:c r="H194" s="10" t="str">
        <x:v>FUNCTIONAL</x:v>
      </x:c>
      <x:c r="I194" s="10" t="str">
        <x:v>API06 notifications; RabbitMQ NotificationDomainEvent v2</x:v>
      </x:c>
      <x:c r="J194" s="10" t="str">
        <x:v>BASE; outbox/inbox và broker quyền riêng; N_SENT/N_PENDING/N_FAILED.</x:v>
      </x:c>
      <x:c r="K194" s="10" t="str">
        <x:v>Notification FAILED</x:v>
      </x:c>
      <x:c r="L194" s="10" t="str">
        <x:v>1. Chạy thao tác phục hồi có quyền theo quy trình</x:v>
      </x:c>
      <x:c r="M194" s="10" t="str">
        <x:v>Giữ notificationId; không đổi nội dung lịch sử/reset read; có audit; retry/backoff cần chốt.</x:v>
      </x:c>
      <x:c r="N194" s="10" t="str">
        <x:v>HTTP request/response đã che token; bản ghi trước/sau tại DB sở hữu; correlationId và log/audit liên quan.</x:v>
      </x:c>
      <x:c r="O194" s="10" t="str">
        <x:v>FR13; NFR03; NFR12</x:v>
      </x:c>
      <x:c r="P194" s="10" t="str">
        <x:v>UC15; AC13; AC19</x:v>
      </x:c>
      <x:c r="Q194" s="10" t="str">
        <x:v>7</x:v>
      </x:c>
      <x:c r="R194" s="10" t="str">
        <x:v>Khôi phục dependency/fault injection nếu có; dùng bộ ID mới cho ca kế tiếp. Không xóa lịch sử/audit bằng API nghiệp vụ.</x:v>
      </x:c>
      <x:c r="S194" s="11" t="str"/>
      <x:c r="T194" s="11" t="str"/>
      <x:c r="U194" s="11" t="str"/>
      <x:c r="V194" s="11" t="str"/>
      <x:c r="W194" s="12"/>
      <x:c r="X194" s="10" t="str">
        <x:v>API06 x-rabbitmq-contract; MSD 8</x:v>
      </x:c>
    </x:row>
    <x:row r="195" ht="52" customHeight="1">
      <x:c r="A195" s="9" t="str">
        <x:v>TC13-RATE-001</x:v>
      </x:c>
      <x:c r="B195" s="9" t="str">
        <x:v>RATE</x:v>
      </x:c>
      <x:c r="C195" s="9" t="str">
        <x:v>Đánh giá chưa thanh toán</x:v>
      </x:c>
      <x:c r="D195" s="9" t="str">
        <x:v>P1</x:v>
      </x:c>
      <x:c r="E195" s="9" t="str">
        <x:v>DEFINED</x:v>
      </x:c>
      <x:c r="F195" s="9" t="str">
        <x:v>NOT_RUN</x:v>
      </x:c>
      <x:c r="G195" s="9" t="str"/>
      <x:c r="H195" s="9" t="str">
        <x:v>FUNCTIONAL</x:v>
      </x:c>
      <x:c r="I195" s="9" t="str">
        <x:v>API08 rating; gRPC Identity/Trip</x:v>
      </x:c>
      <x:c r="J195" s="9" t="str">
        <x:v>BASE; T_DONE thuộc C_A/D_A; chưa có Rating trừ khi ca nêu khác.</x:v>
      </x:c>
      <x:c r="K195" s="9" t="str">
        <x:v>T_DONE; Payment PENDING/UNKNOWN hoặc chưa tồn tại</x:v>
      </x:c>
      <x:c r="L195" s="9" t="str">
        <x:v>1. C_A POST rating score=5</x:v>
      </x:c>
      <x:c r="M195" s="9" t="str">
        <x:v>201; không phụ thuộc Fare/Payment hay closure đã SUCCEEDED.</x:v>
      </x:c>
      <x:c r="N195" s="9" t="str">
        <x:v>HTTP request/response đã che token; bản ghi trước/sau tại DB sở hữu; correlationId và log/audit liên quan.</x:v>
      </x:c>
      <x:c r="O195" s="9" t="str">
        <x:v>FR16; NFR04</x:v>
      </x:c>
      <x:c r="P195" s="9" t="str">
        <x:v>UC08; AC07; AC18</x:v>
      </x:c>
      <x:c r="Q195" s="9" t="str">
        <x:v>20</x:v>
      </x:c>
      <x:c r="R195" s="9" t="str">
        <x:v>Khôi phục dependency/fault injection nếu có; dùng bộ ID mới cho ca kế tiếp. Không xóa lịch sử/audit bằng API nghiệp vụ.</x:v>
      </x:c>
      <x:c r="S195" s="11" t="str"/>
      <x:c r="T195" s="11" t="str"/>
      <x:c r="U195" s="11" t="str"/>
      <x:c r="V195" s="11" t="str"/>
      <x:c r="W195" s="12"/>
      <x:c r="X195" s="9" t="str">
        <x:v>API08; MSD 6.8</x:v>
      </x:c>
    </x:row>
    <x:row r="196" ht="52" customHeight="1">
      <x:c r="A196" s="10" t="str">
        <x:v>TC13-RATE-002</x:v>
      </x:c>
      <x:c r="B196" s="10" t="str">
        <x:v>RATE</x:v>
      </x:c>
      <x:c r="C196" s="10" t="str">
        <x:v>Điểm biên và kiểu dữ liệu</x:v>
      </x:c>
      <x:c r="D196" s="10" t="str">
        <x:v>P1</x:v>
      </x:c>
      <x:c r="E196" s="10" t="str">
        <x:v>DEFINED</x:v>
      </x:c>
      <x:c r="F196" s="10" t="str">
        <x:v>NOT_RUN</x:v>
      </x:c>
      <x:c r="G196" s="10" t="str"/>
      <x:c r="H196" s="10" t="str">
        <x:v>FUNCTIONAL</x:v>
      </x:c>
      <x:c r="I196" s="10" t="str">
        <x:v>API08 rating; gRPC Identity/Trip</x:v>
      </x:c>
      <x:c r="J196" s="10" t="str">
        <x:v>BASE; T_DONE thuộc C_A/D_A; chưa có Rating trừ khi ca nêu khác.</x:v>
      </x:c>
      <x:c r="K196" s="10" t="str">
        <x:v>0,1,5,6,2.5,"5",true</x:v>
      </x:c>
      <x:c r="L196" s="10" t="str">
        <x:v>1. Gửi mỗi giá trị trên Trip độc lập</x:v>
      </x:c>
      <x:c r="M196" s="10" t="str">
        <x:v>Chỉ số nguyên 1..5 hợp lệ; không ép chuỗi/boolean thành score.</x:v>
      </x:c>
      <x:c r="N196" s="10" t="str">
        <x:v>HTTP request/response đã che token; bản ghi trước/sau tại DB sở hữu; correlationId và log/audit liên quan.</x:v>
      </x:c>
      <x:c r="O196" s="10" t="str">
        <x:v>FR16; NFR04</x:v>
      </x:c>
      <x:c r="P196" s="10" t="str">
        <x:v>UC08; AC07; AC18</x:v>
      </x:c>
      <x:c r="Q196" s="10" t="str">
        <x:v>20</x:v>
      </x:c>
      <x:c r="R196" s="10" t="str">
        <x:v>Khôi phục dependency/fault injection nếu có; dùng bộ ID mới cho ca kế tiếp. Không xóa lịch sử/audit bằng API nghiệp vụ.</x:v>
      </x:c>
      <x:c r="S196" s="11" t="str"/>
      <x:c r="T196" s="11" t="str"/>
      <x:c r="U196" s="11" t="str"/>
      <x:c r="V196" s="11" t="str"/>
      <x:c r="W196" s="12"/>
      <x:c r="X196" s="10" t="str">
        <x:v>API08; MSD 6.8</x:v>
      </x:c>
    </x:row>
    <x:row r="197" ht="52" customHeight="1">
      <x:c r="A197" s="9" t="str">
        <x:v>TC13-RATE-003</x:v>
      </x:c>
      <x:c r="B197" s="9" t="str">
        <x:v>RATE</x:v>
      </x:c>
      <x:c r="C197" s="9" t="str">
        <x:v>Comment chuẩn hóa</x:v>
      </x:c>
      <x:c r="D197" s="9" t="str">
        <x:v>P1</x:v>
      </x:c>
      <x:c r="E197" s="9" t="str">
        <x:v>DEFINED</x:v>
      </x:c>
      <x:c r="F197" s="9" t="str">
        <x:v>NOT_RUN</x:v>
      </x:c>
      <x:c r="G197" s="9" t="str"/>
      <x:c r="H197" s="9" t="str">
        <x:v>FUNCTIONAL</x:v>
      </x:c>
      <x:c r="I197" s="9" t="str">
        <x:v>API08 rating; gRPC Identity/Trip</x:v>
      </x:c>
      <x:c r="J197" s="9" t="str">
        <x:v>BASE; T_DONE thuộc C_A/D_A; chưa có Rating trừ khi ca nêu khác.</x:v>
      </x:c>
      <x:c r="K197" s="9" t="str">
        <x:v>Rỗng, toàn khoảng trắng, 1000 ký tự, 1001 ký tự, null</x:v>
      </x:c>
      <x:c r="L197" s="9" t="str">
        <x:v>1. POST các biến thể</x:v>
      </x:c>
      <x:c r="M197" s="9" t="str">
        <x:v>Rỗng/whitespace được bỏ; 1000 chấp nhận, 1001 trước trim và null bị 400.</x:v>
      </x:c>
      <x:c r="N197" s="9" t="str">
        <x:v>HTTP request/response đã che token; bản ghi trước/sau tại DB sở hữu; correlationId và log/audit liên quan.</x:v>
      </x:c>
      <x:c r="O197" s="9" t="str">
        <x:v>FR16; NFR04</x:v>
      </x:c>
      <x:c r="P197" s="9" t="str">
        <x:v>UC08; AC07; AC18</x:v>
      </x:c>
      <x:c r="Q197" s="9" t="str">
        <x:v>20</x:v>
      </x:c>
      <x:c r="R197" s="9" t="str">
        <x:v>Khôi phục dependency/fault injection nếu có; dùng bộ ID mới cho ca kế tiếp. Không xóa lịch sử/audit bằng API nghiệp vụ.</x:v>
      </x:c>
      <x:c r="S197" s="11" t="str"/>
      <x:c r="T197" s="11" t="str"/>
      <x:c r="U197" s="11" t="str"/>
      <x:c r="V197" s="11" t="str"/>
      <x:c r="W197" s="12"/>
      <x:c r="X197" s="9" t="str">
        <x:v>API08; MSD 6.8</x:v>
      </x:c>
    </x:row>
    <x:row r="198" ht="52" customHeight="1">
      <x:c r="A198" s="10" t="str">
        <x:v>TC13-RATE-004</x:v>
      </x:c>
      <x:c r="B198" s="10" t="str">
        <x:v>RATE</x:v>
      </x:c>
      <x:c r="C198" s="10" t="str">
        <x:v>Trip chưa đủ điều kiện</x:v>
      </x:c>
      <x:c r="D198" s="10" t="str">
        <x:v>P1</x:v>
      </x:c>
      <x:c r="E198" s="10" t="str">
        <x:v>DEFINED</x:v>
      </x:c>
      <x:c r="F198" s="10" t="str">
        <x:v>NOT_RUN</x:v>
      </x:c>
      <x:c r="G198" s="10" t="str"/>
      <x:c r="H198" s="10" t="str">
        <x:v>FUNCTIONAL</x:v>
      </x:c>
      <x:c r="I198" s="10" t="str">
        <x:v>API08 rating; gRPC Identity/Trip</x:v>
      </x:c>
      <x:c r="J198" s="10" t="str">
        <x:v>BASE; T_DONE thuộc C_A/D_A; chưa có Rating trừ khi ca nêu khác.</x:v>
      </x:c>
      <x:c r="K198" s="10" t="str">
        <x:v>CANCELLED, ERROR đã đóng, IN_PROGRESS</x:v>
      </x:c>
      <x:c r="L198" s="10" t="str">
        <x:v>1. POST rating</x:v>
      </x:c>
      <x:c r="M198" s="10" t="str">
        <x:v>409 TRIP_NOT_COMPLETED; không mở đánh giá cho ERROR đã đóng.</x:v>
      </x:c>
      <x:c r="N198" s="10" t="str">
        <x:v>HTTP request/response đã che token; bản ghi trước/sau tại DB sở hữu; correlationId và log/audit liên quan.</x:v>
      </x:c>
      <x:c r="O198" s="10" t="str">
        <x:v>FR16; NFR04</x:v>
      </x:c>
      <x:c r="P198" s="10" t="str">
        <x:v>UC08; AC07; AC18</x:v>
      </x:c>
      <x:c r="Q198" s="10" t="str">
        <x:v>20</x:v>
      </x:c>
      <x:c r="R198" s="10" t="str">
        <x:v>Khôi phục dependency/fault injection nếu có; dùng bộ ID mới cho ca kế tiếp. Không xóa lịch sử/audit bằng API nghiệp vụ.</x:v>
      </x:c>
      <x:c r="S198" s="11" t="str"/>
      <x:c r="T198" s="11" t="str"/>
      <x:c r="U198" s="11" t="str"/>
      <x:c r="V198" s="11" t="str"/>
      <x:c r="W198" s="12"/>
      <x:c r="X198" s="10" t="str">
        <x:v>API08; MSD 6.8</x:v>
      </x:c>
    </x:row>
    <x:row r="199" ht="52" customHeight="1">
      <x:c r="A199" s="9" t="str">
        <x:v>TC13-RATE-005</x:v>
      </x:c>
      <x:c r="B199" s="9" t="str">
        <x:v>RATE</x:v>
      </x:c>
      <x:c r="C199" s="9" t="str">
        <x:v>Một đánh giá mỗi Trip</x:v>
      </x:c>
      <x:c r="D199" s="9" t="str">
        <x:v>P1</x:v>
      </x:c>
      <x:c r="E199" s="9" t="str">
        <x:v>DEFINED</x:v>
      </x:c>
      <x:c r="F199" s="9" t="str">
        <x:v>NOT_RUN</x:v>
      </x:c>
      <x:c r="G199" s="9" t="str"/>
      <x:c r="H199" s="9" t="str">
        <x:v>FUNCTIONAL</x:v>
      </x:c>
      <x:c r="I199" s="9" t="str">
        <x:v>API08 rating; gRPC Identity/Trip</x:v>
      </x:c>
      <x:c r="J199" s="9" t="str">
        <x:v>BASE; T_DONE thuộc C_A/D_A; chưa có Rating trừ khi ca nêu khác.</x:v>
      </x:c>
      <x:c r="K199" s="9" t="str">
        <x:v>Hai key khác nhau cùng Trip</x:v>
      </x:c>
      <x:c r="L199" s="9" t="str">
        <x:v>1. POST đồng thời</x:v>
      </x:c>
      <x:c r="M199" s="9" t="str">
        <x:v>Một Rating; ca còn lại 409 RATING_ALREADY_EXISTS, không 500 do unique race.</x:v>
      </x:c>
      <x:c r="N199" s="9" t="str">
        <x:v>HTTP request/response đã che token; bản ghi trước/sau tại DB sở hữu; correlationId và log/audit liên quan.</x:v>
      </x:c>
      <x:c r="O199" s="9" t="str">
        <x:v>FR16; NFR04</x:v>
      </x:c>
      <x:c r="P199" s="9" t="str">
        <x:v>UC08; AC07; AC18</x:v>
      </x:c>
      <x:c r="Q199" s="9" t="str">
        <x:v>20</x:v>
      </x:c>
      <x:c r="R199" s="9" t="str">
        <x:v>Khôi phục dependency/fault injection nếu có; dùng bộ ID mới cho ca kế tiếp. Không xóa lịch sử/audit bằng API nghiệp vụ.</x:v>
      </x:c>
      <x:c r="S199" s="11" t="str"/>
      <x:c r="T199" s="11" t="str"/>
      <x:c r="U199" s="11" t="str"/>
      <x:c r="V199" s="11" t="str"/>
      <x:c r="W199" s="12"/>
      <x:c r="X199" s="9" t="str">
        <x:v>API08; MSD 6.8</x:v>
      </x:c>
    </x:row>
    <x:row r="200" ht="52" customHeight="1">
      <x:c r="A200" s="10" t="str">
        <x:v>TC13-RATE-006</x:v>
      </x:c>
      <x:c r="B200" s="10" t="str">
        <x:v>RATE</x:v>
      </x:c>
      <x:c r="C200" s="10" t="str">
        <x:v>Replay đánh giá</x:v>
      </x:c>
      <x:c r="D200" s="10" t="str">
        <x:v>P1</x:v>
      </x:c>
      <x:c r="E200" s="10" t="str">
        <x:v>DEFINED</x:v>
      </x:c>
      <x:c r="F200" s="10" t="str">
        <x:v>NOT_RUN</x:v>
      </x:c>
      <x:c r="G200" s="10" t="str"/>
      <x:c r="H200" s="10" t="str">
        <x:v>FUNCTIONAL</x:v>
      </x:c>
      <x:c r="I200" s="10" t="str">
        <x:v>API08 rating; gRPC Identity/Trip</x:v>
      </x:c>
      <x:c r="J200" s="10" t="str">
        <x:v>BASE; T_DONE thuộc C_A/D_A; chưa có Rating trừ khi ca nêu khác.</x:v>
      </x:c>
      <x:c r="K200" s="10" t="str">
        <x:v>Cùng key/body đã tạo</x:v>
      </x:c>
      <x:c r="L200" s="10" t="str">
        <x:v>1. POST lại</x:v>
      </x:c>
      <x:c r="M200" s="10" t="str">
        <x:v>201 snapshot cũ; không thêm Rating/audit.</x:v>
      </x:c>
      <x:c r="N200" s="10" t="str">
        <x:v>HTTP request/response đã che token; bản ghi trước/sau tại DB sở hữu; correlationId và log/audit liên quan.</x:v>
      </x:c>
      <x:c r="O200" s="10" t="str">
        <x:v>FR16; NFR04</x:v>
      </x:c>
      <x:c r="P200" s="10" t="str">
        <x:v>UC08; AC07; AC18</x:v>
      </x:c>
      <x:c r="Q200" s="10" t="str">
        <x:v>20</x:v>
      </x:c>
      <x:c r="R200" s="10" t="str">
        <x:v>Khôi phục dependency/fault injection nếu có; dùng bộ ID mới cho ca kế tiếp. Không xóa lịch sử/audit bằng API nghiệp vụ.</x:v>
      </x:c>
      <x:c r="S200" s="11" t="str"/>
      <x:c r="T200" s="11" t="str"/>
      <x:c r="U200" s="11" t="str"/>
      <x:c r="V200" s="11" t="str"/>
      <x:c r="W200" s="12"/>
      <x:c r="X200" s="10" t="str">
        <x:v>API08; MSD 6.8</x:v>
      </x:c>
    </x:row>
    <x:row r="201" ht="52" customHeight="1">
      <x:c r="A201" s="9" t="str">
        <x:v>TC13-RATE-007</x:v>
      </x:c>
      <x:c r="B201" s="9" t="str">
        <x:v>RATE</x:v>
      </x:c>
      <x:c r="C201" s="9" t="str">
        <x:v>Không nhận chủ thể giả</x:v>
      </x:c>
      <x:c r="D201" s="9" t="str">
        <x:v>P1</x:v>
      </x:c>
      <x:c r="E201" s="9" t="str">
        <x:v>DEFINED</x:v>
      </x:c>
      <x:c r="F201" s="9" t="str">
        <x:v>NOT_RUN</x:v>
      </x:c>
      <x:c r="G201" s="9" t="str"/>
      <x:c r="H201" s="9" t="str">
        <x:v>FUNCTIONAL</x:v>
      </x:c>
      <x:c r="I201" s="9" t="str">
        <x:v>API08 rating; gRPC Identity/Trip</x:v>
      </x:c>
      <x:c r="J201" s="9" t="str">
        <x:v>BASE; T_DONE thuộc C_A/D_A; chưa có Rating trừ khi ca nêu khác.</x:v>
      </x:c>
      <x:c r="K201" s="9" t="str">
        <x:v>Body thêm customerId,driverId,tripStatus</x:v>
      </x:c>
      <x:c r="L201" s="9" t="str">
        <x:v>1. POST</x:v>
      </x:c>
      <x:c r="M201" s="9" t="str">
        <x:v>400; Driver/Customer lấy từ Trip có thẩm quyền.</x:v>
      </x:c>
      <x:c r="N201" s="9" t="str">
        <x:v>HTTP request/response đã che token; bản ghi trước/sau tại DB sở hữu; correlationId và log/audit liên quan.</x:v>
      </x:c>
      <x:c r="O201" s="9" t="str">
        <x:v>FR16; NFR04</x:v>
      </x:c>
      <x:c r="P201" s="9" t="str">
        <x:v>UC08; AC07; AC18</x:v>
      </x:c>
      <x:c r="Q201" s="9" t="str">
        <x:v>20</x:v>
      </x:c>
      <x:c r="R201" s="9" t="str">
        <x:v>Khôi phục dependency/fault injection nếu có; dùng bộ ID mới cho ca kế tiếp. Không xóa lịch sử/audit bằng API nghiệp vụ.</x:v>
      </x:c>
      <x:c r="S201" s="11" t="str"/>
      <x:c r="T201" s="11" t="str"/>
      <x:c r="U201" s="11" t="str"/>
      <x:c r="V201" s="11" t="str"/>
      <x:c r="W201" s="12"/>
      <x:c r="X201" s="9" t="str">
        <x:v>API08; MSD 6.8</x:v>
      </x:c>
    </x:row>
    <x:row r="202" ht="52" customHeight="1">
      <x:c r="A202" s="10" t="str">
        <x:v>TC13-RATE-008</x:v>
      </x:c>
      <x:c r="B202" s="10" t="str">
        <x:v>RATE</x:v>
      </x:c>
      <x:c r="C202" s="10" t="str">
        <x:v>Quyền xem đánh giá</x:v>
      </x:c>
      <x:c r="D202" s="10" t="str">
        <x:v>P1</x:v>
      </x:c>
      <x:c r="E202" s="10" t="str">
        <x:v>DEFINED</x:v>
      </x:c>
      <x:c r="F202" s="10" t="str">
        <x:v>NOT_RUN</x:v>
      </x:c>
      <x:c r="G202" s="10" t="str"/>
      <x:c r="H202" s="10" t="str">
        <x:v>FUNCTIONAL</x:v>
      </x:c>
      <x:c r="I202" s="10" t="str">
        <x:v>API08 rating; gRPC Identity/Trip</x:v>
      </x:c>
      <x:c r="J202" s="10" t="str">
        <x:v>BASE; T_DONE thuộc C_A/D_A; chưa có Rating trừ khi ca nêu khác.</x:v>
      </x:c>
      <x:c r="K202" s="10" t="str">
        <x:v>C_B ngoài chuyến; D_A và O_A có quyền</x:v>
      </x:c>
      <x:c r="L202" s="10" t="str">
        <x:v>1. GET rating</x:v>
      </x:c>
      <x:c r="M202" s="10" t="str">
        <x:v>C_B 404 TRIP_NOT_FOUND; người có quyền chưa có Rating nhận RATING_NOT_FOUND.</x:v>
      </x:c>
      <x:c r="N202" s="10" t="str">
        <x:v>HTTP request/response đã che token; bản ghi trước/sau tại DB sở hữu; correlationId và log/audit liên quan.</x:v>
      </x:c>
      <x:c r="O202" s="10" t="str">
        <x:v>FR16; NFR04</x:v>
      </x:c>
      <x:c r="P202" s="10" t="str">
        <x:v>UC08; AC07; AC18</x:v>
      </x:c>
      <x:c r="Q202" s="10" t="str">
        <x:v>20</x:v>
      </x:c>
      <x:c r="R202" s="10" t="str">
        <x:v>Khôi phục dependency/fault injection nếu có; dùng bộ ID mới cho ca kế tiếp. Không xóa lịch sử/audit bằng API nghiệp vụ.</x:v>
      </x:c>
      <x:c r="S202" s="11" t="str"/>
      <x:c r="T202" s="11" t="str"/>
      <x:c r="U202" s="11" t="str"/>
      <x:c r="V202" s="11" t="str"/>
      <x:c r="W202" s="12"/>
      <x:c r="X202" s="10" t="str">
        <x:v>API08; MSD 6.8</x:v>
      </x:c>
    </x:row>
    <x:row r="203" ht="52" customHeight="1">
      <x:c r="A203" s="9" t="str">
        <x:v>TC13-RATE-009</x:v>
      </x:c>
      <x:c r="B203" s="9" t="str">
        <x:v>RATE</x:v>
      </x:c>
      <x:c r="C203" s="9" t="str">
        <x:v>Identity/Trip unavailable</x:v>
      </x:c>
      <x:c r="D203" s="9" t="str">
        <x:v>P1</x:v>
      </x:c>
      <x:c r="E203" s="9" t="str">
        <x:v>DEFINED</x:v>
      </x:c>
      <x:c r="F203" s="9" t="str">
        <x:v>NOT_RUN</x:v>
      </x:c>
      <x:c r="G203" s="9" t="str"/>
      <x:c r="H203" s="9" t="str">
        <x:v>FUNCTIONAL</x:v>
      </x:c>
      <x:c r="I203" s="9" t="str">
        <x:v>API08 rating; gRPC Identity/Trip</x:v>
      </x:c>
      <x:c r="J203" s="9" t="str">
        <x:v>BASE; T_DONE thuộc C_A/D_A; chưa có Rating trừ khi ca nêu khác.</x:v>
      </x:c>
      <x:c r="K203" s="9" t="str">
        <x:v>Ngắt từng RPC xác minh</x:v>
      </x:c>
      <x:c r="L203" s="9" t="str">
        <x:v>1. POST và GET Rating</x:v>
      </x:c>
      <x:c r="M203" s="9" t="str">
        <x:v>503; không tạo Rating từ payload client, không giả 404/score=0/danh sách rỗng.</x:v>
      </x:c>
      <x:c r="N203" s="9" t="str">
        <x:v>HTTP request/response đã che token; bản ghi trước/sau tại DB sở hữu; correlationId và log/audit liên quan.</x:v>
      </x:c>
      <x:c r="O203" s="9" t="str">
        <x:v>FR16; NFR04</x:v>
      </x:c>
      <x:c r="P203" s="9" t="str">
        <x:v>UC08; AC07; AC18</x:v>
      </x:c>
      <x:c r="Q203" s="9" t="str">
        <x:v>20</x:v>
      </x:c>
      <x:c r="R203" s="9" t="str">
        <x:v>Khôi phục dependency/fault injection nếu có; dùng bộ ID mới cho ca kế tiếp. Không xóa lịch sử/audit bằng API nghiệp vụ.</x:v>
      </x:c>
      <x:c r="S203" s="11" t="str"/>
      <x:c r="T203" s="11" t="str"/>
      <x:c r="U203" s="11" t="str"/>
      <x:c r="V203" s="11" t="str"/>
      <x:c r="W203" s="12"/>
      <x:c r="X203" s="9" t="str">
        <x:v>API08; MSD 6.8</x:v>
      </x:c>
    </x:row>
    <x:row r="204" ht="52" customHeight="1">
      <x:c r="A204" s="10" t="str">
        <x:v>TC13-RATE-010</x:v>
      </x:c>
      <x:c r="B204" s="10" t="str">
        <x:v>RATE</x:v>
      </x:c>
      <x:c r="C204" s="10" t="str">
        <x:v>Driver lịch sử bất biến</x:v>
      </x:c>
      <x:c r="D204" s="10" t="str">
        <x:v>P1</x:v>
      </x:c>
      <x:c r="E204" s="10" t="str">
        <x:v>DEFINED</x:v>
      </x:c>
      <x:c r="F204" s="10" t="str">
        <x:v>NOT_RUN</x:v>
      </x:c>
      <x:c r="G204" s="10" t="str"/>
      <x:c r="H204" s="10" t="str">
        <x:v>FUNCTIONAL</x:v>
      </x:c>
      <x:c r="I204" s="10" t="str">
        <x:v>API08 rating; gRPC Identity/Trip</x:v>
      </x:c>
      <x:c r="J204" s="10" t="str">
        <x:v>BASE; T_DONE thuộc C_A/D_A; chưa có Rating trừ khi ca nêu khác.</x:v>
      </x:c>
      <x:c r="K204" s="10" t="str">
        <x:v>D_A đổi xe sau T_DONE</x:v>
      </x:c>
      <x:c r="L204" s="10" t="str">
        <x:v>1. Đọc Rating và danh sách drivers/me/ratings</x:v>
      </x:c>
      <x:c r="M204" s="10" t="str">
        <x:v>driverId vẫn D_A của Trip cũ, không phụ thuộc VehicleAssignment hiện tại.</x:v>
      </x:c>
      <x:c r="N204" s="10" t="str">
        <x:v>HTTP request/response đã che token; bản ghi trước/sau tại DB sở hữu; correlationId và log/audit liên quan.</x:v>
      </x:c>
      <x:c r="O204" s="10" t="str">
        <x:v>FR16; NFR04</x:v>
      </x:c>
      <x:c r="P204" s="10" t="str">
        <x:v>UC08; AC07; AC18</x:v>
      </x:c>
      <x:c r="Q204" s="10" t="str">
        <x:v>20</x:v>
      </x:c>
      <x:c r="R204" s="10" t="str">
        <x:v>Khôi phục dependency/fault injection nếu có; dùng bộ ID mới cho ca kế tiếp. Không xóa lịch sử/audit bằng API nghiệp vụ.</x:v>
      </x:c>
      <x:c r="S204" s="11" t="str"/>
      <x:c r="T204" s="11" t="str"/>
      <x:c r="U204" s="11" t="str"/>
      <x:c r="V204" s="11" t="str"/>
      <x:c r="W204" s="12"/>
      <x:c r="X204" s="10" t="str">
        <x:v>API08; MSD 6.8</x:v>
      </x:c>
    </x:row>
    <x:row r="205" ht="52" customHeight="1">
      <x:c r="A205" s="9" t="str">
        <x:v>TC13-RATE-011</x:v>
      </x:c>
      <x:c r="B205" s="9" t="str">
        <x:v>RATE</x:v>
      </x:c>
      <x:c r="C205" s="9" t="str">
        <x:v>Service token sai audience</x:v>
      </x:c>
      <x:c r="D205" s="9" t="str">
        <x:v>P1</x:v>
      </x:c>
      <x:c r="E205" s="9" t="str">
        <x:v>NEEDS_DECISION</x:v>
      </x:c>
      <x:c r="F205" s="9" t="str">
        <x:v>NOT_RUN</x:v>
      </x:c>
      <x:c r="G205" s="9" t="str">
        <x:v>D04</x:v>
      </x:c>
      <x:c r="H205" s="9" t="str">
        <x:v>FUNCTIONAL</x:v>
      </x:c>
      <x:c r="I205" s="9" t="str">
        <x:v>API08 rating; gRPC Identity/Trip</x:v>
      </x:c>
      <x:c r="J205" s="9" t="str">
        <x:v>BASE; T_DONE thuộc C_A/D_A; chưa có Rating trừ khi ca nêu khác.</x:v>
      </x:c>
      <x:c r="K205" s="9" t="str">
        <x:v>Rating gọi Identity/Trip bằng service JWT sai scope/audience</x:v>
      </x:c>
      <x:c r="L205" s="9" t="str">
        <x:v>1. Gọi API rating tương ứng</x:v>
      </x:c>
      <x:c r="M205" s="9" t="str">
        <x:v>Lỗi cấu hình service ánh xạ 503; không đổ thành 401 user JWT.</x:v>
      </x:c>
      <x:c r="N205" s="9" t="str">
        <x:v>HTTP request/response đã che token; bản ghi trước/sau tại DB sở hữu; correlationId và log/audit liên quan.</x:v>
      </x:c>
      <x:c r="O205" s="9" t="str">
        <x:v>FR16; NFR04</x:v>
      </x:c>
      <x:c r="P205" s="9" t="str">
        <x:v>UC08; AC07; AC18</x:v>
      </x:c>
      <x:c r="Q205" s="9" t="str">
        <x:v>20</x:v>
      </x:c>
      <x:c r="R205" s="9" t="str">
        <x:v>Khôi phục dependency/fault injection nếu có; dùng bộ ID mới cho ca kế tiếp. Không xóa lịch sử/audit bằng API nghiệp vụ.</x:v>
      </x:c>
      <x:c r="S205" s="11" t="str"/>
      <x:c r="T205" s="11" t="str"/>
      <x:c r="U205" s="11" t="str"/>
      <x:c r="V205" s="11" t="str"/>
      <x:c r="W205" s="12"/>
      <x:c r="X205" s="9" t="str">
        <x:v>API08; MSD 6.8</x:v>
      </x:c>
    </x:row>
    <x:row r="206" ht="52" customHeight="1">
      <x:c r="A206" s="10" t="str">
        <x:v>TC13-SAGA-001</x:v>
      </x:c>
      <x:c r="B206" s="10" t="str">
        <x:v>SAGA</x:v>
      </x:c>
      <x:c r="C206" s="10" t="str">
        <x:v>Crash ở mọi bước đăng ký</x:v>
      </x:c>
      <x:c r="D206" s="10" t="str">
        <x:v>P0</x:v>
      </x:c>
      <x:c r="E206" s="10" t="str">
        <x:v>NEEDS_DECISION</x:v>
      </x:c>
      <x:c r="F206" s="10" t="str">
        <x:v>NOT_RUN</x:v>
      </x:c>
      <x:c r="G206" s="10" t="str">
        <x:v>D04,D05,D06</x:v>
      </x:c>
      <x:c r="H206" s="10" t="str">
        <x:v>RESILIENCE</x:v>
      </x:c>
      <x:c r="I206" s="10" t="str">
        <x:v>gRPC nội bộ và worker của Identity/Customer/Driver/Booking/Trip/Payment</x:v>
      </x:c>
      <x:c r="J206" s="10" t="str">
        <x:v>BASE; test harness fault injection có thể chặn trước/sau từng commit; chỉ môi trường test CAB.</x:v>
      </x:c>
      <x:c r="K206" s="10" t="str">
        <x:v>Mỗi commit Identity, Customer/Driver, finalize</x:v>
      </x:c>
      <x:c r="L206" s="10" t="str">
        <x:v>1. Lặp độc lập: dừng coordinator sau commit rồi restart</x:v>
      </x:c>
      <x:c r="M206" s="10" t="str">
        <x:v>Cùng operation/accountId, không hồ sơ trùng; chưa đủ liên kết không login; chỉ bù sau xác minh kết quả.</x:v>
      </x:c>
      <x:c r="N206" s="10" t="str">
        <x:v>HTTP request/response đã che token; bản ghi trước/sau tại DB sở hữu; correlationId và log/audit liên quan.</x:v>
      </x:c>
      <x:c r="O206" s="10" t="str">
        <x:v>FR28; NFR02; NFR03; NFR18</x:v>
      </x:c>
      <x:c r="P206" s="10" t="str">
        <x:v>UC22; AC21; AC19</x:v>
      </x:c>
      <x:c r="Q206" s="10" t="str">
        <x:v>4,15,16,18,30</x:v>
      </x:c>
      <x:c r="R206" s="10" t="str">
        <x:v>Khôi phục dependency/fault injection nếu có; dùng bộ ID mới cho ca kế tiếp. Không xóa lịch sử/audit bằng API nghiệp vụ.</x:v>
      </x:c>
      <x:c r="S206" s="11" t="str"/>
      <x:c r="T206" s="11" t="str"/>
      <x:c r="U206" s="11" t="str"/>
      <x:c r="V206" s="11" t="str"/>
      <x:c r="W206" s="12"/>
      <x:c r="X206" s="10" t="str">
        <x:v>MSD 6,14,D04–D08; SRS FR28</x:v>
      </x:c>
    </x:row>
    <x:row r="207" ht="52" customHeight="1">
      <x:c r="A207" s="9" t="str">
        <x:v>TC13-SAGA-002</x:v>
      </x:c>
      <x:c r="B207" s="9" t="str">
        <x:v>SAGA</x:v>
      </x:c>
      <x:c r="C207" s="9" t="str">
        <x:v>Crash ở mọi bước assignment</x:v>
      </x:c>
      <x:c r="D207" s="9" t="str">
        <x:v>P0</x:v>
      </x:c>
      <x:c r="E207" s="9" t="str">
        <x:v>NEEDS_DECISION</x:v>
      </x:c>
      <x:c r="F207" s="9" t="str">
        <x:v>NOT_RUN</x:v>
      </x:c>
      <x:c r="G207" s="9" t="str">
        <x:v>D04,D06</x:v>
      </x:c>
      <x:c r="H207" s="9" t="str">
        <x:v>RESILIENCE</x:v>
      </x:c>
      <x:c r="I207" s="9" t="str">
        <x:v>gRPC nội bộ và worker của Identity/Customer/Driver/Booking/Trip/Payment</x:v>
      </x:c>
      <x:c r="J207" s="9" t="str">
        <x:v>BASE; test harness fault injection có thể chặn trước/sau từng commit; chỉ môi trường test CAB.</x:v>
      </x:c>
      <x:c r="K207" s="9" t="str">
        <x:v>reserve, prepare, bind guard, confirm reservation, activate, finalize Booking</x:v>
      </x:c>
      <x:c r="L207" s="9" t="str">
        <x:v>1. Fault injection lần lượt sau mỗi bước rồi restart</x:v>
      </x:c>
      <x:c r="M207" s="9" t="str">
        <x:v>Không quá một Trip/Driver/Vehicle; phục hồi bằng cùng assignmentId; sau activate chỉ forward recovery.</x:v>
      </x:c>
      <x:c r="N207" s="9" t="str">
        <x:v>HTTP request/response đã che token; bản ghi trước/sau tại DB sở hữu; correlationId và log/audit liên quan.</x:v>
      </x:c>
      <x:c r="O207" s="9" t="str">
        <x:v>FR28; NFR02; NFR03; NFR18</x:v>
      </x:c>
      <x:c r="P207" s="9" t="str">
        <x:v>UC22; AC21; AC19</x:v>
      </x:c>
      <x:c r="Q207" s="9" t="str">
        <x:v>4,15,16,18,30</x:v>
      </x:c>
      <x:c r="R207" s="9" t="str">
        <x:v>Khôi phục dependency/fault injection nếu có; dùng bộ ID mới cho ca kế tiếp. Không xóa lịch sử/audit bằng API nghiệp vụ.</x:v>
      </x:c>
      <x:c r="S207" s="11" t="str"/>
      <x:c r="T207" s="11" t="str"/>
      <x:c r="U207" s="11" t="str"/>
      <x:c r="V207" s="11" t="str"/>
      <x:c r="W207" s="12"/>
      <x:c r="X207" s="9" t="str">
        <x:v>MSD 6,14,D04–D08; SRS FR28</x:v>
      </x:c>
    </x:row>
    <x:row r="208" ht="52" customHeight="1">
      <x:c r="A208" s="10" t="str">
        <x:v>TC13-SAGA-003</x:v>
      </x:c>
      <x:c r="B208" s="10" t="str">
        <x:v>SAGA</x:v>
      </x:c>
      <x:c r="C208" s="10" t="str">
        <x:v>Mất response reserve</x:v>
      </x:c>
      <x:c r="D208" s="10" t="str">
        <x:v>P0</x:v>
      </x:c>
      <x:c r="E208" s="10" t="str">
        <x:v>NEEDS_DECISION</x:v>
      </x:c>
      <x:c r="F208" s="10" t="str">
        <x:v>NOT_RUN</x:v>
      </x:c>
      <x:c r="G208" s="10" t="str">
        <x:v>D04,D06</x:v>
      </x:c>
      <x:c r="H208" s="10" t="str">
        <x:v>RESILIENCE</x:v>
      </x:c>
      <x:c r="I208" s="10" t="str">
        <x:v>gRPC nội bộ và worker của Identity/Customer/Driver/Booking/Trip/Payment</x:v>
      </x:c>
      <x:c r="J208" s="10" t="str">
        <x:v>BASE; test harness fault injection có thể chặn trước/sau từng commit; chỉ môi trường test CAB.</x:v>
      </x:c>
      <x:c r="K208" s="10" t="str">
        <x:v>Driver đã commit giữ quyền; phản hồi bị cắt</x:v>
      </x:c>
      <x:c r="L208" s="10" t="str">
        <x:v>1. Booking retry/query cùng operation</x:v>
      </x:c>
      <x:c r="M208" s="10" t="str">
        <x:v>Không tạo reservation khác; không chọn ứng viên mới trước khi rõ kết quả.</x:v>
      </x:c>
      <x:c r="N208" s="10" t="str">
        <x:v>HTTP request/response đã che token; bản ghi trước/sau tại DB sở hữu; correlationId và log/audit liên quan.</x:v>
      </x:c>
      <x:c r="O208" s="10" t="str">
        <x:v>FR28; NFR02; NFR03; NFR18</x:v>
      </x:c>
      <x:c r="P208" s="10" t="str">
        <x:v>UC22; AC21; AC19</x:v>
      </x:c>
      <x:c r="Q208" s="10" t="str">
        <x:v>4,15,16,18,30</x:v>
      </x:c>
      <x:c r="R208" s="10" t="str">
        <x:v>Khôi phục dependency/fault injection nếu có; dùng bộ ID mới cho ca kế tiếp. Không xóa lịch sử/audit bằng API nghiệp vụ.</x:v>
      </x:c>
      <x:c r="S208" s="11" t="str"/>
      <x:c r="T208" s="11" t="str"/>
      <x:c r="U208" s="11" t="str"/>
      <x:c r="V208" s="11" t="str"/>
      <x:c r="W208" s="12"/>
      <x:c r="X208" s="10" t="str">
        <x:v>MSD 6,14,D04–D08; SRS FR28</x:v>
      </x:c>
    </x:row>
    <x:row r="209" ht="52" customHeight="1">
      <x:c r="A209" s="9" t="str">
        <x:v>TC13-SAGA-004</x:v>
      </x:c>
      <x:c r="B209" s="9" t="str">
        <x:v>SAGA</x:v>
      </x:c>
      <x:c r="C209" s="9" t="str">
        <x:v>Prepare bị hủy rồi activate trễ</x:v>
      </x:c>
      <x:c r="D209" s="9" t="str">
        <x:v>P0</x:v>
      </x:c>
      <x:c r="E209" s="9" t="str">
        <x:v>NEEDS_DECISION</x:v>
      </x:c>
      <x:c r="F209" s="9" t="str">
        <x:v>NOT_RUN</x:v>
      </x:c>
      <x:c r="G209" s="9" t="str">
        <x:v>D06</x:v>
      </x:c>
      <x:c r="H209" s="9" t="str">
        <x:v>RESILIENCE</x:v>
      </x:c>
      <x:c r="I209" s="9" t="str">
        <x:v>gRPC nội bộ và worker của Identity/Customer/Driver/Booking/Trip/Payment</x:v>
      </x:c>
      <x:c r="J209" s="9" t="str">
        <x:v>BASE; test harness fault injection có thể chặn trước/sau từng commit; chỉ môi trường test CAB.</x:v>
      </x:c>
      <x:c r="K209" s="9" t="str">
        <x:v>Đã ghi tombstone/generation hủy preparation</x:v>
      </x:c>
      <x:c r="L209" s="9" t="str">
        <x:v>1. Phát lại activate từ coordinator cũ</x:v>
      </x:c>
      <x:c r="M209" s="9" t="str">
        <x:v>Từ chối lệnh cũ; không hồi sinh Trip hoặc chiếm tài nguyên mới.</x:v>
      </x:c>
      <x:c r="N209" s="9" t="str">
        <x:v>HTTP request/response đã che token; bản ghi trước/sau tại DB sở hữu; correlationId và log/audit liên quan.</x:v>
      </x:c>
      <x:c r="O209" s="9" t="str">
        <x:v>FR28; NFR02; NFR03; NFR18</x:v>
      </x:c>
      <x:c r="P209" s="9" t="str">
        <x:v>UC22; AC21; AC19</x:v>
      </x:c>
      <x:c r="Q209" s="9" t="str">
        <x:v>4,15,16,18,30</x:v>
      </x:c>
      <x:c r="R209" s="9" t="str">
        <x:v>Khôi phục dependency/fault injection nếu có; dùng bộ ID mới cho ca kế tiếp. Không xóa lịch sử/audit bằng API nghiệp vụ.</x:v>
      </x:c>
      <x:c r="S209" s="11" t="str"/>
      <x:c r="T209" s="11" t="str"/>
      <x:c r="U209" s="11" t="str"/>
      <x:c r="V209" s="11" t="str"/>
      <x:c r="W209" s="12"/>
      <x:c r="X209" s="9" t="str">
        <x:v>MSD 6,14,D04–D08; SRS FR28</x:v>
      </x:c>
    </x:row>
    <x:row r="210" ht="52" customHeight="1">
      <x:c r="A210" s="10" t="str">
        <x:v>TC13-SAGA-005</x:v>
      </x:c>
      <x:c r="B210" s="10" t="str">
        <x:v>SAGA</x:v>
      </x:c>
      <x:c r="C210" s="10" t="str">
        <x:v>Lease hết không giải phóng quyền</x:v>
      </x:c>
      <x:c r="D210" s="10" t="str">
        <x:v>P0</x:v>
      </x:c>
      <x:c r="E210" s="10" t="str">
        <x:v>NEEDS_DECISION</x:v>
      </x:c>
      <x:c r="F210" s="10" t="str">
        <x:v>NOT_RUN</x:v>
      </x:c>
      <x:c r="G210" s="10" t="str">
        <x:v>D06</x:v>
      </x:c>
      <x:c r="H210" s="10" t="str">
        <x:v>RESILIENCE</x:v>
      </x:c>
      <x:c r="I210" s="10" t="str">
        <x:v>gRPC nội bộ và worker của Identity/Customer/Driver/Booking/Trip/Payment</x:v>
      </x:c>
      <x:c r="J210" s="10" t="str">
        <x:v>BASE; test harness fault injection có thể chặn trước/sau từng commit; chỉ môi trường test CAB.</x:v>
      </x:c>
      <x:c r="K210" s="10" t="str">
        <x:v>Reservation đã bind Trip active; worker lease hết</x:v>
      </x:c>
      <x:c r="L210" s="10" t="str">
        <x:v>1. Chạy worker tiếp quản; thử assign mới</x:v>
      </x:c>
      <x:c r="M210" s="10" t="str">
        <x:v>Lease chỉ chuyển quyền xử lý job; Driver/Vehicle/Customer vẫn bị giữ cho Trip hiện tại.</x:v>
      </x:c>
      <x:c r="N210" s="10" t="str">
        <x:v>HTTP request/response đã che token; bản ghi trước/sau tại DB sở hữu; correlationId và log/audit liên quan.</x:v>
      </x:c>
      <x:c r="O210" s="10" t="str">
        <x:v>FR28; NFR02; NFR03; NFR18</x:v>
      </x:c>
      <x:c r="P210" s="10" t="str">
        <x:v>UC22; AC21; AC19</x:v>
      </x:c>
      <x:c r="Q210" s="10" t="str">
        <x:v>4,15,16,18,30</x:v>
      </x:c>
      <x:c r="R210" s="10" t="str">
        <x:v>Khôi phục dependency/fault injection nếu có; dùng bộ ID mới cho ca kế tiếp. Không xóa lịch sử/audit bằng API nghiệp vụ.</x:v>
      </x:c>
      <x:c r="S210" s="11" t="str"/>
      <x:c r="T210" s="11" t="str"/>
      <x:c r="U210" s="11" t="str"/>
      <x:c r="V210" s="11" t="str"/>
      <x:c r="W210" s="12"/>
      <x:c r="X210" s="10" t="str">
        <x:v>MSD 6,14,D04–D08; SRS FR28</x:v>
      </x:c>
    </x:row>
    <x:row r="211" ht="52" customHeight="1">
      <x:c r="A211" s="9" t="str">
        <x:v>TC13-SAGA-006</x:v>
      </x:c>
      <x:c r="B211" s="9" t="str">
        <x:v>SAGA</x:v>
      </x:c>
      <x:c r="C211" s="9" t="str">
        <x:v>Lệnh release cũ đến sau chuyến mới</x:v>
      </x:c>
      <x:c r="D211" s="9" t="str">
        <x:v>P0</x:v>
      </x:c>
      <x:c r="E211" s="9" t="str">
        <x:v>NEEDS_DECISION</x:v>
      </x:c>
      <x:c r="F211" s="9" t="str">
        <x:v>NOT_RUN</x:v>
      </x:c>
      <x:c r="G211" s="9" t="str">
        <x:v>D04,D06</x:v>
      </x:c>
      <x:c r="H211" s="9" t="str">
        <x:v>RESILIENCE</x:v>
      </x:c>
      <x:c r="I211" s="9" t="str">
        <x:v>gRPC nội bộ và worker của Identity/Customer/Driver/Booking/Trip/Payment</x:v>
      </x:c>
      <x:c r="J211" s="9" t="str">
        <x:v>BASE; test harness fault injection có thể chặn trước/sau từng commit; chỉ môi trường test CAB.</x:v>
      </x:c>
      <x:c r="K211" s="9" t="str">
        <x:v>T1 closure đã xong, T2 giữ tài nguyên</x:v>
      </x:c>
      <x:c r="L211" s="9" t="str">
        <x:v>1. Replay release T1/version cũ</x:v>
      </x:c>
      <x:c r="M211" s="9" t="str">
        <x:v>Xác nhận dựa bằng chứng lịch sử hoặc từ chối phù hợp; không release T2.</x:v>
      </x:c>
      <x:c r="N211" s="9" t="str">
        <x:v>HTTP request/response đã che token; bản ghi trước/sau tại DB sở hữu; correlationId và log/audit liên quan.</x:v>
      </x:c>
      <x:c r="O211" s="9" t="str">
        <x:v>FR28; NFR02; NFR03; NFR18</x:v>
      </x:c>
      <x:c r="P211" s="9" t="str">
        <x:v>UC22; AC21; AC19</x:v>
      </x:c>
      <x:c r="Q211" s="9" t="str">
        <x:v>4,15,16,18,30</x:v>
      </x:c>
      <x:c r="R211" s="9" t="str">
        <x:v>Khôi phục dependency/fault injection nếu có; dùng bộ ID mới cho ca kế tiếp. Không xóa lịch sử/audit bằng API nghiệp vụ.</x:v>
      </x:c>
      <x:c r="S211" s="11" t="str"/>
      <x:c r="T211" s="11" t="str"/>
      <x:c r="U211" s="11" t="str"/>
      <x:c r="V211" s="11" t="str"/>
      <x:c r="W211" s="12"/>
      <x:c r="X211" s="9" t="str">
        <x:v>MSD 6,14,D04–D08; SRS FR28</x:v>
      </x:c>
    </x:row>
    <x:row r="212" ht="52" customHeight="1">
      <x:c r="A212" s="10" t="str">
        <x:v>TC13-SAGA-007</x:v>
      </x:c>
      <x:c r="B212" s="10" t="str">
        <x:v>SAGA</x:v>
      </x:c>
      <x:c r="C212" s="10" t="str">
        <x:v>Bù assignment để tiếp tục tìm</x:v>
      </x:c>
      <x:c r="D212" s="10" t="str">
        <x:v>P0</x:v>
      </x:c>
      <x:c r="E212" s="10" t="str">
        <x:v>NEEDS_DECISION</x:v>
      </x:c>
      <x:c r="F212" s="10" t="str">
        <x:v>NOT_RUN</x:v>
      </x:c>
      <x:c r="G212" s="10" t="str">
        <x:v>D06</x:v>
      </x:c>
      <x:c r="H212" s="10" t="str">
        <x:v>RESILIENCE</x:v>
      </x:c>
      <x:c r="I212" s="10" t="str">
        <x:v>gRPC nội bộ và worker của Identity/Customer/Driver/Booking/Trip/Payment</x:v>
      </x:c>
      <x:c r="J212" s="10" t="str">
        <x:v>BASE; test harness fault injection có thể chặn trước/sau từng commit; chỉ môi trường test CAB.</x:v>
      </x:c>
      <x:c r="K212" s="10" t="str">
        <x:v>Trip chưa active, binding guard đã đổi</x:v>
      </x:c>
      <x:c r="L212" s="10" t="str">
        <x:v>1. Bù preparation/reservation rồi tiếp tục ứng viên mới</x:v>
      </x:c>
      <x:c r="M212" s="10" t="str">
        <x:v>Guard trở về quyền Booking đúng version; không mất quyền Customer và không mở Booking chồng lấn.</x:v>
      </x:c>
      <x:c r="N212" s="10" t="str">
        <x:v>HTTP request/response đã che token; bản ghi trước/sau tại DB sở hữu; correlationId và log/audit liên quan.</x:v>
      </x:c>
      <x:c r="O212" s="10" t="str">
        <x:v>FR28; NFR02; NFR03; NFR18</x:v>
      </x:c>
      <x:c r="P212" s="10" t="str">
        <x:v>UC22; AC21; AC19</x:v>
      </x:c>
      <x:c r="Q212" s="10" t="str">
        <x:v>4,15,16,18,30</x:v>
      </x:c>
      <x:c r="R212" s="10" t="str">
        <x:v>Khôi phục dependency/fault injection nếu có; dùng bộ ID mới cho ca kế tiếp. Không xóa lịch sử/audit bằng API nghiệp vụ.</x:v>
      </x:c>
      <x:c r="S212" s="11" t="str"/>
      <x:c r="T212" s="11" t="str"/>
      <x:c r="U212" s="11" t="str"/>
      <x:c r="V212" s="11" t="str"/>
      <x:c r="W212" s="12"/>
      <x:c r="X212" s="10" t="str">
        <x:v>MSD 6,14,D04–D08; SRS FR28</x:v>
      </x:c>
    </x:row>
    <x:row r="213" ht="52" customHeight="1">
      <x:c r="A213" s="9" t="str">
        <x:v>TC13-SAGA-008</x:v>
      </x:c>
      <x:c r="B213" s="9" t="str">
        <x:v>SAGA</x:v>
      </x:c>
      <x:c r="C213" s="9" t="str">
        <x:v>Hết retry không giả thành thành công</x:v>
      </x:c>
      <x:c r="D213" s="9" t="str">
        <x:v>P0</x:v>
      </x:c>
      <x:c r="E213" s="9" t="str">
        <x:v>NEEDS_DECISION</x:v>
      </x:c>
      <x:c r="F213" s="9" t="str">
        <x:v>NOT_RUN</x:v>
      </x:c>
      <x:c r="G213" s="9" t="str">
        <x:v>D06,D08</x:v>
      </x:c>
      <x:c r="H213" s="9" t="str">
        <x:v>RESILIENCE</x:v>
      </x:c>
      <x:c r="I213" s="9" t="str">
        <x:v>gRPC nội bộ và worker của Identity/Customer/Driver/Booking/Trip/Payment</x:v>
      </x:c>
      <x:c r="J213" s="9" t="str">
        <x:v>BASE; test harness fault injection có thể chặn trước/sau từng commit; chỉ môi trường test CAB.</x:v>
      </x:c>
      <x:c r="K213" s="9" t="str">
        <x:v>Dependency không phục hồi đến ngưỡng</x:v>
      </x:c>
      <x:c r="L213" s="9" t="str">
        <x:v>1. Chạy worker qua retry budget</x:v>
      </x:c>
      <x:c r="M213" s="9" t="str">
        <x:v>Giữ bằng chứng/trạng thái chờ hoặc MANUAL_REVIEW theo quyết định; cảnh báo, không SUCCEEDED/FAILED giả khi kết quả chưa rõ.</x:v>
      </x:c>
      <x:c r="N213" s="9" t="str">
        <x:v>HTTP request/response đã che token; bản ghi trước/sau tại DB sở hữu; correlationId và log/audit liên quan.</x:v>
      </x:c>
      <x:c r="O213" s="9" t="str">
        <x:v>FR28; NFR02; NFR03; NFR18</x:v>
      </x:c>
      <x:c r="P213" s="9" t="str">
        <x:v>UC22; AC21; AC19</x:v>
      </x:c>
      <x:c r="Q213" s="9" t="str">
        <x:v>4,15,16,18,30</x:v>
      </x:c>
      <x:c r="R213" s="9" t="str">
        <x:v>Khôi phục dependency/fault injection nếu có; dùng bộ ID mới cho ca kế tiếp. Không xóa lịch sử/audit bằng API nghiệp vụ.</x:v>
      </x:c>
      <x:c r="S213" s="11" t="str"/>
      <x:c r="T213" s="11" t="str"/>
      <x:c r="U213" s="11" t="str"/>
      <x:c r="V213" s="11" t="str"/>
      <x:c r="W213" s="12"/>
      <x:c r="X213" s="9" t="str">
        <x:v>MSD 6,14,D04–D08; SRS FR28</x:v>
      </x:c>
    </x:row>
    <x:row r="214" ht="52" customHeight="1">
      <x:c r="A214" s="10" t="str">
        <x:v>TC13-SAGA-009</x:v>
      </x:c>
      <x:c r="B214" s="10" t="str">
        <x:v>SAGA</x:v>
      </x:c>
      <x:c r="C214" s="10" t="str">
        <x:v>Khóa Account đua với commit</x:v>
      </x:c>
      <x:c r="D214" s="10" t="str">
        <x:v>P0</x:v>
      </x:c>
      <x:c r="E214" s="10" t="str">
        <x:v>NEEDS_DECISION</x:v>
      </x:c>
      <x:c r="F214" s="10" t="str">
        <x:v>NOT_RUN</x:v>
      </x:c>
      <x:c r="G214" s="10" t="str">
        <x:v>D07</x:v>
      </x:c>
      <x:c r="H214" s="10" t="str">
        <x:v>RESILIENCE</x:v>
      </x:c>
      <x:c r="I214" s="10" t="str">
        <x:v>gRPC nội bộ và worker của Identity/Customer/Driver/Booking/Trip/Payment</x:v>
      </x:c>
      <x:c r="J214" s="10" t="str">
        <x:v>BASE; test harness fault injection có thể chặn trước/sau từng commit; chỉ môi trường test CAB.</x:v>
      </x:c>
      <x:c r="K214" s="10" t="str">
        <x:v>Request đã xác minh Session nhưng chưa commit ở Trip/Payment</x:v>
      </x:c>
      <x:c r="L214" s="10" t="str">
        <x:v>1. Khóa Account rồi cho request tiếp tục</x:v>
      </x:c>
      <x:c r="M214" s="10" t="str">
        <x:v>Đối chiếu điểm cấp quyền/chính sách in-flight được duyệt; không giả transaction nguyên tử xuyên DB.</x:v>
      </x:c>
      <x:c r="N214" s="10" t="str">
        <x:v>HTTP request/response đã che token; bản ghi trước/sau tại DB sở hữu; correlationId và log/audit liên quan.</x:v>
      </x:c>
      <x:c r="O214" s="10" t="str">
        <x:v>FR28; NFR02; NFR03; NFR18</x:v>
      </x:c>
      <x:c r="P214" s="10" t="str">
        <x:v>UC22; AC21; AC19</x:v>
      </x:c>
      <x:c r="Q214" s="10" t="str">
        <x:v>4,15,16,18,30</x:v>
      </x:c>
      <x:c r="R214" s="10" t="str">
        <x:v>Khôi phục dependency/fault injection nếu có; dùng bộ ID mới cho ca kế tiếp. Không xóa lịch sử/audit bằng API nghiệp vụ.</x:v>
      </x:c>
      <x:c r="S214" s="11" t="str"/>
      <x:c r="T214" s="11" t="str"/>
      <x:c r="U214" s="11" t="str"/>
      <x:c r="V214" s="11" t="str"/>
      <x:c r="W214" s="12"/>
      <x:c r="X214" s="10" t="str">
        <x:v>MSD 6,14,D04–D08; SRS FR28</x:v>
      </x:c>
    </x:row>
    <x:row r="215" ht="52" customHeight="1">
      <x:c r="A215" s="9" t="str">
        <x:v>TC13-SAGA-010</x:v>
      </x:c>
      <x:c r="B215" s="9" t="str">
        <x:v>SAGA</x:v>
      </x:c>
      <x:c r="C215" s="9" t="str">
        <x:v>Không giữ transaction chờ RPC</x:v>
      </x:c>
      <x:c r="D215" s="9" t="str">
        <x:v>P0</x:v>
      </x:c>
      <x:c r="E215" s="9" t="str">
        <x:v>DEFINED</x:v>
      </x:c>
      <x:c r="F215" s="9" t="str">
        <x:v>NOT_RUN</x:v>
      </x:c>
      <x:c r="G215" s="9" t="str"/>
      <x:c r="H215" s="9" t="str">
        <x:v>RESILIENCE</x:v>
      </x:c>
      <x:c r="I215" s="9" t="str">
        <x:v>gRPC nội bộ và worker của Identity/Customer/Driver/Booking/Trip/Payment</x:v>
      </x:c>
      <x:c r="J215" s="9" t="str">
        <x:v>BASE; test harness fault injection có thể chặn trước/sau từng commit; chỉ môi trường test CAB.</x:v>
      </x:c>
      <x:c r="K215" s="9" t="str">
        <x:v>RPC/provider bị delay</x:v>
      </x:c>
      <x:c r="L215" s="9" t="str">
        <x:v>1. Đo transaction/lock tại service gọi</x:v>
      </x:c>
      <x:c r="M215" s="9" t="str">
        <x:v>Không giữ transaction DB xuyên thời gian chờ mạng; commit sau kiểm tra version lại theo nghiệp vụ.</x:v>
      </x:c>
      <x:c r="N215" s="9" t="str">
        <x:v>HTTP request/response đã che token; bản ghi trước/sau tại DB sở hữu; correlationId và log/audit liên quan.</x:v>
      </x:c>
      <x:c r="O215" s="9" t="str">
        <x:v>FR28; NFR02; NFR03; NFR18</x:v>
      </x:c>
      <x:c r="P215" s="9" t="str">
        <x:v>UC22; AC21; AC19</x:v>
      </x:c>
      <x:c r="Q215" s="9" t="str">
        <x:v>4,15,16,18,30</x:v>
      </x:c>
      <x:c r="R215" s="9" t="str">
        <x:v>Khôi phục dependency/fault injection nếu có; dùng bộ ID mới cho ca kế tiếp. Không xóa lịch sử/audit bằng API nghiệp vụ.</x:v>
      </x:c>
      <x:c r="S215" s="11" t="str"/>
      <x:c r="T215" s="11" t="str"/>
      <x:c r="U215" s="11" t="str"/>
      <x:c r="V215" s="11" t="str"/>
      <x:c r="W215" s="12"/>
      <x:c r="X215" s="9" t="str">
        <x:v>MSD 6,14,D04–D08; SRS FR28</x:v>
      </x:c>
    </x:row>
    <x:row r="216" ht="52" customHeight="1">
      <x:c r="A216" s="10" t="str">
        <x:v>TC13-SAGA-011</x:v>
      </x:c>
      <x:c r="B216" s="10" t="str">
        <x:v>SAGA</x:v>
      </x:c>
      <x:c r="C216" s="10" t="str">
        <x:v>Lệnh ghi retry giữ ID</x:v>
      </x:c>
      <x:c r="D216" s="10" t="str">
        <x:v>P0</x:v>
      </x:c>
      <x:c r="E216" s="10" t="str">
        <x:v>NEEDS_DECISION</x:v>
      </x:c>
      <x:c r="F216" s="10" t="str">
        <x:v>NOT_RUN</x:v>
      </x:c>
      <x:c r="G216" s="10" t="str">
        <x:v>D04,D08</x:v>
      </x:c>
      <x:c r="H216" s="10" t="str">
        <x:v>RESILIENCE</x:v>
      </x:c>
      <x:c r="I216" s="10" t="str">
        <x:v>gRPC nội bộ và worker của Identity/Customer/Driver/Booking/Trip/Payment</x:v>
      </x:c>
      <x:c r="J216" s="10" t="str">
        <x:v>BASE; test harness fault injection có thể chặn trước/sau từng commit; chỉ môi trường test CAB.</x:v>
      </x:c>
      <x:c r="K216" s="10" t="str">
        <x:v>Timeout RPC ghi có operationId</x:v>
      </x:c>
      <x:c r="L216" s="10" t="str">
        <x:v>1. Retry qua policy backoff</x:v>
      </x:c>
      <x:c r="M216" s="10" t="str">
        <x:v>Cùng operationId/key/generation; không tự retry ghi thiếu idempotency; deadline hữu hạn.</x:v>
      </x:c>
      <x:c r="N216" s="10" t="str">
        <x:v>HTTP request/response đã che token; bản ghi trước/sau tại DB sở hữu; correlationId và log/audit liên quan.</x:v>
      </x:c>
      <x:c r="O216" s="10" t="str">
        <x:v>FR28; NFR02; NFR03; NFR18</x:v>
      </x:c>
      <x:c r="P216" s="10" t="str">
        <x:v>UC22; AC21; AC19</x:v>
      </x:c>
      <x:c r="Q216" s="10" t="str">
        <x:v>4,15,16,18,30</x:v>
      </x:c>
      <x:c r="R216" s="10" t="str">
        <x:v>Khôi phục dependency/fault injection nếu có; dùng bộ ID mới cho ca kế tiếp. Không xóa lịch sử/audit bằng API nghiệp vụ.</x:v>
      </x:c>
      <x:c r="S216" s="11" t="str"/>
      <x:c r="T216" s="11" t="str"/>
      <x:c r="U216" s="11" t="str"/>
      <x:c r="V216" s="11" t="str"/>
      <x:c r="W216" s="12"/>
      <x:c r="X216" s="10" t="str">
        <x:v>MSD 6,14,D04–D08; SRS FR28</x:v>
      </x:c>
    </x:row>
    <x:row r="217" ht="52" customHeight="1">
      <x:c r="A217" s="9" t="str">
        <x:v>TC13-SEC-001</x:v>
      </x:c>
      <x:c r="B217" s="9" t="str">
        <x:v>SEC</x:v>
      </x:c>
      <x:c r="C217" s="9" t="str">
        <x:v>JWT bị sửa payload</x:v>
      </x:c>
      <x:c r="D217" s="9" t="str">
        <x:v>P0</x:v>
      </x:c>
      <x:c r="E217" s="9" t="str">
        <x:v>DEFINED</x:v>
      </x:c>
      <x:c r="F217" s="9" t="str">
        <x:v>NOT_RUN</x:v>
      </x:c>
      <x:c r="G217" s="9" t="str"/>
      <x:c r="H217" s="9" t="str">
        <x:v>SECURITY</x:v>
      </x:c>
      <x:c r="I217" s="9" t="str">
        <x:v>Gateway và API01–08</x:v>
      </x:c>
      <x:c r="J217" s="9" t="str">
        <x:v>BASE; tài khoản test, token hợp lệ và biến thể giả; chỉ dữ liệu giả/môi trường kiểm thử.</x:v>
      </x:c>
      <x:c r="K217" s="9" t="str">
        <x:v>Sửa sub/role của JWT không ký lại</x:v>
      </x:c>
      <x:c r="L217" s="9" t="str">
        <x:v>1. Gọi API bảo vệ của mỗi nhóm</x:v>
      </x:c>
      <x:c r="M217" s="9" t="str">
        <x:v>401; không nhận quyền từ payload chưa xác minh.</x:v>
      </x:c>
      <x:c r="N217" s="9" t="str">
        <x:v>HTTP request/response đã che token; bản ghi trước/sau tại DB sở hữu; correlationId và log/audit liên quan.</x:v>
      </x:c>
      <x:c r="O217" s="9" t="str">
        <x:v>NFR04</x:v>
      </x:c>
      <x:c r="P217" s="9" t="str">
        <x:v>AC20</x:v>
      </x:c>
      <x:c r="Q217" s="9" t="str">
        <x:v>27</x:v>
      </x:c>
      <x:c r="R217" s="9" t="str">
        <x:v>Khôi phục dependency/fault injection nếu có; dùng bộ ID mới cho ca kế tiếp. Không xóa lịch sử/audit bằng API nghiệp vụ.</x:v>
      </x:c>
      <x:c r="S217" s="11" t="str"/>
      <x:c r="T217" s="11" t="str"/>
      <x:c r="U217" s="11" t="str"/>
      <x:c r="V217" s="11" t="str"/>
      <x:c r="W217" s="12"/>
      <x:c r="X217" s="9" t="str">
        <x:v>SRS B10; MSD 10; API01–08</x:v>
      </x:c>
    </x:row>
    <x:row r="218" ht="52" customHeight="1">
      <x:c r="A218" s="10" t="str">
        <x:v>TC13-SEC-002</x:v>
      </x:c>
      <x:c r="B218" s="10" t="str">
        <x:v>SEC</x:v>
      </x:c>
      <x:c r="C218" s="10" t="str">
        <x:v>JWT thuật toán/issuer/audience sai</x:v>
      </x:c>
      <x:c r="D218" s="10" t="str">
        <x:v>P0</x:v>
      </x:c>
      <x:c r="E218" s="10" t="str">
        <x:v>DEFINED</x:v>
      </x:c>
      <x:c r="F218" s="10" t="str">
        <x:v>NOT_RUN</x:v>
      </x:c>
      <x:c r="G218" s="10" t="str"/>
      <x:c r="H218" s="10" t="str">
        <x:v>SECURITY</x:v>
      </x:c>
      <x:c r="I218" s="10" t="str">
        <x:v>Gateway và API01–08</x:v>
      </x:c>
      <x:c r="J218" s="10" t="str">
        <x:v>BASE; tài khoản test, token hợp lệ và biến thể giả; chỉ dữ liệu giả/môi trường kiểm thử.</x:v>
      </x:c>
      <x:c r="K218" s="10" t="str">
        <x:v>alg ngoài allowlist; iss/aud sai; token hết hạn</x:v>
      </x:c>
      <x:c r="L218" s="10" t="str">
        <x:v>1. Gọi accounts/me và một lệnh ghi</x:v>
      </x:c>
      <x:c r="M218" s="10" t="str">
        <x:v>401; không có tác động nghiệp vụ.</x:v>
      </x:c>
      <x:c r="N218" s="10" t="str">
        <x:v>HTTP request/response đã che token; bản ghi trước/sau tại DB sở hữu; correlationId và log/audit liên quan.</x:v>
      </x:c>
      <x:c r="O218" s="10" t="str">
        <x:v>NFR04</x:v>
      </x:c>
      <x:c r="P218" s="10" t="str">
        <x:v>AC20</x:v>
      </x:c>
      <x:c r="Q218" s="10" t="str">
        <x:v>27</x:v>
      </x:c>
      <x:c r="R218" s="10" t="str">
        <x:v>Khôi phục dependency/fault injection nếu có; dùng bộ ID mới cho ca kế tiếp. Không xóa lịch sử/audit bằng API nghiệp vụ.</x:v>
      </x:c>
      <x:c r="S218" s="11" t="str"/>
      <x:c r="T218" s="11" t="str"/>
      <x:c r="U218" s="11" t="str"/>
      <x:c r="V218" s="11" t="str"/>
      <x:c r="W218" s="12"/>
      <x:c r="X218" s="10" t="str">
        <x:v>SRS B10; MSD 10; API01–08</x:v>
      </x:c>
    </x:row>
    <x:row r="219" ht="52" customHeight="1">
      <x:c r="A219" s="9" t="str">
        <x:v>TC13-SEC-003</x:v>
      </x:c>
      <x:c r="B219" s="9" t="str">
        <x:v>SEC</x:v>
      </x:c>
      <x:c r="C219" s="9" t="str">
        <x:v>Phiên thu hồi dù JWT còn hạn</x:v>
      </x:c>
      <x:c r="D219" s="9" t="str">
        <x:v>P0</x:v>
      </x:c>
      <x:c r="E219" s="9" t="str">
        <x:v>DEFINED</x:v>
      </x:c>
      <x:c r="F219" s="9" t="str">
        <x:v>NOT_RUN</x:v>
      </x:c>
      <x:c r="G219" s="9" t="str"/>
      <x:c r="H219" s="9" t="str">
        <x:v>SECURITY</x:v>
      </x:c>
      <x:c r="I219" s="9" t="str">
        <x:v>Gateway và API01–08</x:v>
      </x:c>
      <x:c r="J219" s="9" t="str">
        <x:v>BASE; tài khoản test, token hợp lệ và biến thể giả; chỉ dữ liệu giả/môi trường kiểm thử.</x:v>
      </x:c>
      <x:c r="K219" s="9" t="str">
        <x:v>Access token exp tương lai; Session revoked</x:v>
      </x:c>
      <x:c r="L219" s="9" t="str">
        <x:v>1. Gọi API bảo vệ</x:v>
      </x:c>
      <x:c r="M219" s="9" t="str">
        <x:v>Mất quyền; không chỉ kiểm chữ ký/exp.</x:v>
      </x:c>
      <x:c r="N219" s="9" t="str">
        <x:v>HTTP request/response đã che token; bản ghi trước/sau tại DB sở hữu; correlationId và log/audit liên quan.</x:v>
      </x:c>
      <x:c r="O219" s="9" t="str">
        <x:v>FR01; NFR04</x:v>
      </x:c>
      <x:c r="P219" s="9" t="str">
        <x:v>UC01; AC01; AC18; AC20</x:v>
      </x:c>
      <x:c r="Q219" s="9" t="str">
        <x:v>28</x:v>
      </x:c>
      <x:c r="R219" s="9" t="str">
        <x:v>Khôi phục dependency/fault injection nếu có; dùng bộ ID mới cho ca kế tiếp. Không xóa lịch sử/audit bằng API nghiệp vụ.</x:v>
      </x:c>
      <x:c r="S219" s="11" t="str"/>
      <x:c r="T219" s="11" t="str"/>
      <x:c r="U219" s="11" t="str"/>
      <x:c r="V219" s="11" t="str"/>
      <x:c r="W219" s="12"/>
      <x:c r="X219" s="9" t="str">
        <x:v>SRS B10; MSD 10; API01–08</x:v>
      </x:c>
    </x:row>
    <x:row r="220" ht="52" customHeight="1">
      <x:c r="A220" s="10" t="str">
        <x:v>TC13-SEC-004</x:v>
      </x:c>
      <x:c r="B220" s="10" t="str">
        <x:v>SEC</x:v>
      </x:c>
      <x:c r="C220" s="10" t="str">
        <x:v>Giả header danh tính</x:v>
      </x:c>
      <x:c r="D220" s="10" t="str">
        <x:v>P0</x:v>
      </x:c>
      <x:c r="E220" s="10" t="str">
        <x:v>DEFINED</x:v>
      </x:c>
      <x:c r="F220" s="10" t="str">
        <x:v>NOT_RUN</x:v>
      </x:c>
      <x:c r="G220" s="10" t="str"/>
      <x:c r="H220" s="10" t="str">
        <x:v>SECURITY</x:v>
      </x:c>
      <x:c r="I220" s="10" t="str">
        <x:v>Gateway và API01–08</x:v>
      </x:c>
      <x:c r="J220" s="10" t="str">
        <x:v>BASE; tài khoản test, token hợp lệ và biến thể giả; chỉ dữ liệu giả/môi trường kiểm thử.</x:v>
      </x:c>
      <x:c r="K220" s="10" t="str">
        <x:v>Token C_A; thêm X-Account-Id O_A và role OPERATOR</x:v>
      </x:c>
      <x:c r="L220" s="10" t="str">
        <x:v>1. Gọi operations và API sở hữu</x:v>
      </x:c>
      <x:c r="M220" s="10" t="str">
        <x:v>Gateway loại header giả; sai role 403; không giả mạo caller nội bộ.</x:v>
      </x:c>
      <x:c r="N220" s="10" t="str">
        <x:v>HTTP request/response đã che token; bản ghi trước/sau tại DB sở hữu; correlationId và log/audit liên quan.</x:v>
      </x:c>
      <x:c r="O220" s="10" t="str">
        <x:v>FR01; NFR04</x:v>
      </x:c>
      <x:c r="P220" s="10" t="str">
        <x:v>UC01; AC01; AC18; AC20</x:v>
      </x:c>
      <x:c r="Q220" s="10" t="str">
        <x:v>28</x:v>
      </x:c>
      <x:c r="R220" s="10" t="str">
        <x:v>Khôi phục dependency/fault injection nếu có; dùng bộ ID mới cho ca kế tiếp. Không xóa lịch sử/audit bằng API nghiệp vụ.</x:v>
      </x:c>
      <x:c r="S220" s="11" t="str"/>
      <x:c r="T220" s="11" t="str"/>
      <x:c r="U220" s="11" t="str"/>
      <x:c r="V220" s="11" t="str"/>
      <x:c r="W220" s="12"/>
      <x:c r="X220" s="10" t="str">
        <x:v>SRS B10; MSD 10; API01–08</x:v>
      </x:c>
    </x:row>
    <x:row r="221" ht="52" customHeight="1">
      <x:c r="A221" s="9" t="str">
        <x:v>TC13-SEC-005</x:v>
      </x:c>
      <x:c r="B221" s="9" t="str">
        <x:v>SEC</x:v>
      </x:c>
      <x:c r="C221" s="9" t="str">
        <x:v>Ma trận role/object toàn API</x:v>
      </x:c>
      <x:c r="D221" s="9" t="str">
        <x:v>P0</x:v>
      </x:c>
      <x:c r="E221" s="9" t="str">
        <x:v>DEFINED</x:v>
      </x:c>
      <x:c r="F221" s="9" t="str">
        <x:v>NOT_RUN</x:v>
      </x:c>
      <x:c r="G221" s="9" t="str"/>
      <x:c r="H221" s="9" t="str">
        <x:v>SECURITY</x:v>
      </x:c>
      <x:c r="I221" s="9" t="str">
        <x:v>Gateway và API01–08</x:v>
      </x:c>
      <x:c r="J221" s="9" t="str">
        <x:v>BASE; tài khoản test, token hợp lệ và biến thể giả; chỉ dữ liệu giả/môi trường kiểm thử.</x:v>
      </x:c>
      <x:c r="K221" s="9" t="str">
        <x:v>Danh mục endpoint tại Truy_vet_API; C_A,C_B,D_A,D_B,O_A</x:v>
      </x:c>
      <x:c r="L221" s="9" t="str">
        <x:v>1. Với mỗi endpoint bảo vệ: token hợp lệ sai role, đúng role sai chủ, ID không tồn tại</x:v>
      </x:c>
      <x:c r="M221" s="9" t="str">
        <x:v>403 sai role; 404 ngoài object nơi hợp đồng quy định; không lộ PII. Endpoint danh sách chỉ dữ liệu caller.</x:v>
      </x:c>
      <x:c r="N221" s="9" t="str">
        <x:v>HTTP request/response đã che token; bản ghi trước/sau tại DB sở hữu; correlationId và log/audit liên quan.</x:v>
      </x:c>
      <x:c r="O221" s="9" t="str">
        <x:v>FR01; NFR04</x:v>
      </x:c>
      <x:c r="P221" s="9" t="str">
        <x:v>UC01; AC01; AC18; AC20</x:v>
      </x:c>
      <x:c r="Q221" s="9" t="str">
        <x:v>28</x:v>
      </x:c>
      <x:c r="R221" s="9" t="str">
        <x:v>Khôi phục dependency/fault injection nếu có; dùng bộ ID mới cho ca kế tiếp. Không xóa lịch sử/audit bằng API nghiệp vụ.</x:v>
      </x:c>
      <x:c r="S221" s="11" t="str"/>
      <x:c r="T221" s="11" t="str"/>
      <x:c r="U221" s="11" t="str"/>
      <x:c r="V221" s="11" t="str"/>
      <x:c r="W221" s="12"/>
      <x:c r="X221" s="9" t="str">
        <x:v>SRS B10; MSD 10; API01–08</x:v>
      </x:c>
    </x:row>
    <x:row r="222" ht="52" customHeight="1">
      <x:c r="A222" s="10" t="str">
        <x:v>TC13-SEC-006</x:v>
      </x:c>
      <x:c r="B222" s="10" t="str">
        <x:v>SEC</x:v>
      </x:c>
      <x:c r="C222" s="10" t="str">
        <x:v>SQL injection qua login</x:v>
      </x:c>
      <x:c r="D222" s="10" t="str">
        <x:v>P0</x:v>
      </x:c>
      <x:c r="E222" s="10" t="str">
        <x:v>DEFINED</x:v>
      </x:c>
      <x:c r="F222" s="10" t="str">
        <x:v>NOT_RUN</x:v>
      </x:c>
      <x:c r="G222" s="10" t="str"/>
      <x:c r="H222" s="10" t="str">
        <x:v>SECURITY</x:v>
      </x:c>
      <x:c r="I222" s="10" t="str">
        <x:v>Gateway và API01–08</x:v>
      </x:c>
      <x:c r="J222" s="10" t="str">
        <x:v>BASE; tài khoản test, token hợp lệ và biến thể giả; chỉ dữ liệu giả/môi trường kiểm thử.</x:v>
      </x:c>
      <x:c r="K222" s="10" t="str">
        <x:v>emailOrPhone="' OR 1=1 --"; password bất kỳ</x:v>
      </x:c>
      <x:c r="L222" s="10" t="str">
        <x:v>1. POST login; quan sát SQL/log</x:v>
      </x:c>
      <x:c r="M222" s="10" t="str">
        <x:v>400/401 theo validation/auth; không đăng nhập, không lộ SQL/stacktrace hoặc dữ liệu.</x:v>
      </x:c>
      <x:c r="N222" s="10" t="str">
        <x:v>HTTP request/response đã che token; bản ghi trước/sau tại DB sở hữu; correlationId và log/audit liên quan.</x:v>
      </x:c>
      <x:c r="O222" s="10" t="str">
        <x:v>NFR15</x:v>
      </x:c>
      <x:c r="P222" s="10" t="str">
        <x:v>AC20</x:v>
      </x:c>
      <x:c r="Q222" s="10" t="str">
        <x:v>25</x:v>
      </x:c>
      <x:c r="R222" s="10" t="str">
        <x:v>Khôi phục dependency/fault injection nếu có; dùng bộ ID mới cho ca kế tiếp. Không xóa lịch sử/audit bằng API nghiệp vụ.</x:v>
      </x:c>
      <x:c r="S222" s="11" t="str"/>
      <x:c r="T222" s="11" t="str"/>
      <x:c r="U222" s="11" t="str"/>
      <x:c r="V222" s="11" t="str"/>
      <x:c r="W222" s="12"/>
      <x:c r="X222" s="10" t="str">
        <x:v>SRS B10; MSD 10; API01–08</x:v>
      </x:c>
    </x:row>
    <x:row r="223" ht="52" customHeight="1">
      <x:c r="A223" s="9" t="str">
        <x:v>TC13-SEC-007</x:v>
      </x:c>
      <x:c r="B223" s="9" t="str">
        <x:v>SEC</x:v>
      </x:c>
      <x:c r="C223" s="9" t="str">
        <x:v>SQL injection bộ lọc</x:v>
      </x:c>
      <x:c r="D223" s="9" t="str">
        <x:v>P0</x:v>
      </x:c>
      <x:c r="E223" s="9" t="str">
        <x:v>DEFINED</x:v>
      </x:c>
      <x:c r="F223" s="9" t="str">
        <x:v>NOT_RUN</x:v>
      </x:c>
      <x:c r="G223" s="9" t="str"/>
      <x:c r="H223" s="9" t="str">
        <x:v>SECURITY</x:v>
      </x:c>
      <x:c r="I223" s="9" t="str">
        <x:v>Gateway và API01–08</x:v>
      </x:c>
      <x:c r="J223" s="9" t="str">
        <x:v>BASE; tài khoản test, token hợp lệ và biến thể giả; chỉ dữ liệu giả/môi trường kiểm thử.</x:v>
      </x:c>
      <x:c r="K223" s="9" t="str">
        <x:v>ID/cursor/filter chứa ký tự SQL</x:v>
      </x:c>
      <x:c r="L223" s="9" t="str">
        <x:v>1. Gọi các API danh sách và detail</x:v>
      </x:c>
      <x:c r="M223" s="9" t="str">
        <x:v>Từ chối dữ liệu sai hoặc xử lý tham số hóa; không nối SQL từ input.</x:v>
      </x:c>
      <x:c r="N223" s="9" t="str">
        <x:v>HTTP request/response đã che token; bản ghi trước/sau tại DB sở hữu; correlationId và log/audit liên quan.</x:v>
      </x:c>
      <x:c r="O223" s="9" t="str">
        <x:v>NFR15</x:v>
      </x:c>
      <x:c r="P223" s="9" t="str">
        <x:v>AC20</x:v>
      </x:c>
      <x:c r="Q223" s="9" t="str">
        <x:v>25</x:v>
      </x:c>
      <x:c r="R223" s="9" t="str">
        <x:v>Khôi phục dependency/fault injection nếu có; dùng bộ ID mới cho ca kế tiếp. Không xóa lịch sử/audit bằng API nghiệp vụ.</x:v>
      </x:c>
      <x:c r="S223" s="11" t="str"/>
      <x:c r="T223" s="11" t="str"/>
      <x:c r="U223" s="11" t="str"/>
      <x:c r="V223" s="11" t="str"/>
      <x:c r="W223" s="12"/>
      <x:c r="X223" s="9" t="str">
        <x:v>SRS B10; MSD 10; API01–08</x:v>
      </x:c>
    </x:row>
    <x:row r="224" ht="52" customHeight="1">
      <x:c r="A224" s="10" t="str">
        <x:v>TC13-SEC-008</x:v>
      </x:c>
      <x:c r="B224" s="10" t="str">
        <x:v>SEC</x:v>
      </x:c>
      <x:c r="C224" s="10" t="str">
        <x:v>XSS nơi hiển thị</x:v>
      </x:c>
      <x:c r="D224" s="10" t="str">
        <x:v>P0</x:v>
      </x:c>
      <x:c r="E224" s="10" t="str">
        <x:v>NEEDS_DECISION</x:v>
      </x:c>
      <x:c r="F224" s="10" t="str">
        <x:v>NOT_RUN</x:v>
      </x:c>
      <x:c r="G224" s="10" t="str">
        <x:v>D10</x:v>
      </x:c>
      <x:c r="H224" s="10" t="str">
        <x:v>SECURITY</x:v>
      </x:c>
      <x:c r="I224" s="10" t="str">
        <x:v>Gateway và API01–08</x:v>
      </x:c>
      <x:c r="J224" s="10" t="str">
        <x:v>BASE; tài khoản test, token hợp lệ và biến thể giả; chỉ dữ liệu giả/môi trường kiểm thử.</x:v>
      </x:c>
      <x:c r="K224" s="10" t="str">
        <x:v>Tên/note/comment/reason chứa &lt;script&gt;alert('hack')&lt;/script&gt;</x:v>
      </x:c>
      <x:c r="L224" s="10" t="str">
        <x:v>1. Lưu qua API hợp lệ; mở giao diện hiển thị thực</x:v>
      </x:c>
      <x:c r="M224" s="10" t="str">
        <x:v>Không thực thi script; hiển thị text/encode đúng ngữ cảnh. Chỉ ảnh JSON/Postman không đủ minh chứng.</x:v>
      </x:c>
      <x:c r="N224" s="10" t="str">
        <x:v>HTTP request/response đã che token; bản ghi trước/sau tại DB sở hữu; correlationId và log/audit liên quan.</x:v>
      </x:c>
      <x:c r="O224" s="10" t="str">
        <x:v>NFR16</x:v>
      </x:c>
      <x:c r="P224" s="10" t="str">
        <x:v>AC20</x:v>
      </x:c>
      <x:c r="Q224" s="10" t="str">
        <x:v>26</x:v>
      </x:c>
      <x:c r="R224" s="10" t="str">
        <x:v>Khôi phục dependency/fault injection nếu có; dùng bộ ID mới cho ca kế tiếp. Không xóa lịch sử/audit bằng API nghiệp vụ.</x:v>
      </x:c>
      <x:c r="S224" s="11" t="str"/>
      <x:c r="T224" s="11" t="str"/>
      <x:c r="U224" s="11" t="str"/>
      <x:c r="V224" s="11" t="str"/>
      <x:c r="W224" s="12"/>
      <x:c r="X224" s="10" t="str">
        <x:v>SRS B10; MSD 10; API01–08</x:v>
      </x:c>
    </x:row>
    <x:row r="225" ht="52" customHeight="1">
      <x:c r="A225" s="9" t="str">
        <x:v>TC13-SEC-009</x:v>
      </x:c>
      <x:c r="B225" s="9" t="str">
        <x:v>SEC</x:v>
      </x:c>
      <x:c r="C225" s="9" t="str">
        <x:v>Password lưu băm</x:v>
      </x:c>
      <x:c r="D225" s="9" t="str">
        <x:v>P0</x:v>
      </x:c>
      <x:c r="E225" s="9" t="str">
        <x:v>DEFINED</x:v>
      </x:c>
      <x:c r="F225" s="9" t="str">
        <x:v>NOT_RUN</x:v>
      </x:c>
      <x:c r="G225" s="9" t="str"/>
      <x:c r="H225" s="9" t="str">
        <x:v>SECURITY</x:v>
      </x:c>
      <x:c r="I225" s="9" t="str">
        <x:v>Gateway và API01–08</x:v>
      </x:c>
      <x:c r="J225" s="9" t="str">
        <x:v>BASE; tài khoản test, token hợp lệ và biến thể giả; chỉ dữ liệu giả/môi trường kiểm thử.</x:v>
      </x:c>
      <x:c r="K225" s="9" t="str">
        <x:v>Đăng ký Account test; DB read-only</x:v>
      </x:c>
      <x:c r="L225" s="9" t="str">
        <x:v>1. Đọc password storage; so hai password giống nhau</x:v>
      </x:c>
      <x:c r="M225" s="9" t="str">
        <x:v>Không plaintext; Argon2id/salt theo baseline; API vẫn xác minh được.</x:v>
      </x:c>
      <x:c r="N225" s="9" t="str">
        <x:v>HTTP request/response đã che token; bản ghi trước/sau tại DB sở hữu; correlationId và log/audit liên quan.</x:v>
      </x:c>
      <x:c r="O225" s="9" t="str">
        <x:v>NFR05</x:v>
      </x:c>
      <x:c r="P225" s="9" t="str">
        <x:v>AC20</x:v>
      </x:c>
      <x:c r="Q225" s="9" t="str">
        <x:v>24</x:v>
      </x:c>
      <x:c r="R225" s="9" t="str">
        <x:v>Khôi phục dependency/fault injection nếu có; dùng bộ ID mới cho ca kế tiếp. Không xóa lịch sử/audit bằng API nghiệp vụ.</x:v>
      </x:c>
      <x:c r="S225" s="11" t="str"/>
      <x:c r="T225" s="11" t="str"/>
      <x:c r="U225" s="11" t="str"/>
      <x:c r="V225" s="11" t="str"/>
      <x:c r="W225" s="12"/>
      <x:c r="X225" s="9" t="str">
        <x:v>SRS B10; MSD 10; API01–08</x:v>
      </x:c>
    </x:row>
    <x:row r="226" ht="52" customHeight="1">
      <x:c r="A226" s="10" t="str">
        <x:v>TC13-SEC-010</x:v>
      </x:c>
      <x:c r="B226" s="10" t="str">
        <x:v>SEC</x:v>
      </x:c>
      <x:c r="C226" s="10" t="str">
        <x:v>PII mã hóa và lookup</x:v>
      </x:c>
      <x:c r="D226" s="10" t="str">
        <x:v>P0</x:v>
      </x:c>
      <x:c r="E226" s="10" t="str">
        <x:v>DEFINED</x:v>
      </x:c>
      <x:c r="F226" s="10" t="str">
        <x:v>NOT_RUN</x:v>
      </x:c>
      <x:c r="G226" s="10" t="str"/>
      <x:c r="H226" s="10" t="str">
        <x:v>SECURITY</x:v>
      </x:c>
      <x:c r="I226" s="10" t="str">
        <x:v>Gateway và API01–08</x:v>
      </x:c>
      <x:c r="J226" s="10" t="str">
        <x:v>BASE; tài khoản test, token hợp lệ và biến thể giả; chỉ dữ liệu giả/môi trường kiểm thử.</x:v>
      </x:c>
      <x:c r="K226" s="10" t="str">
        <x:v>Email/phone/license test</x:v>
      </x:c>
      <x:c r="L226" s="10" t="str">
        <x:v>1. Đọc DB Identity/Driver và audit/outbox</x:v>
      </x:c>
      <x:c r="M226" s="10" t="str">
        <x:v>Không có bản plaintext phụ; ciphertext có keyVersion, lookup HMAC khóa riêng; không log dữ liệu giải mã.</x:v>
      </x:c>
      <x:c r="N226" s="10" t="str">
        <x:v>HTTP request/response đã che token; bản ghi trước/sau tại DB sở hữu; correlationId và log/audit liên quan.</x:v>
      </x:c>
      <x:c r="O226" s="10" t="str">
        <x:v>NFR05</x:v>
      </x:c>
      <x:c r="P226" s="10" t="str">
        <x:v>AC20</x:v>
      </x:c>
      <x:c r="Q226" s="10" t="str">
        <x:v>24</x:v>
      </x:c>
      <x:c r="R226" s="10" t="str">
        <x:v>Khôi phục dependency/fault injection nếu có; dùng bộ ID mới cho ca kế tiếp. Không xóa lịch sử/audit bằng API nghiệp vụ.</x:v>
      </x:c>
      <x:c r="S226" s="11" t="str"/>
      <x:c r="T226" s="11" t="str"/>
      <x:c r="U226" s="11" t="str"/>
      <x:c r="V226" s="11" t="str"/>
      <x:c r="W226" s="12"/>
      <x:c r="X226" s="10" t="str">
        <x:v>SRS B10; MSD 10; API01–08</x:v>
      </x:c>
    </x:row>
    <x:row r="227" ht="52" customHeight="1">
      <x:c r="A227" s="9" t="str">
        <x:v>TC13-SEC-011</x:v>
      </x:c>
      <x:c r="B227" s="9" t="str">
        <x:v>SEC</x:v>
      </x:c>
      <x:c r="C227" s="9" t="str">
        <x:v>Xoay khóa dữ liệu</x:v>
      </x:c>
      <x:c r="D227" s="9" t="str">
        <x:v>P0</x:v>
      </x:c>
      <x:c r="E227" s="9" t="str">
        <x:v>NEEDS_DECISION</x:v>
      </x:c>
      <x:c r="F227" s="9" t="str">
        <x:v>NOT_RUN</x:v>
      </x:c>
      <x:c r="G227" s="9" t="str">
        <x:v>D08</x:v>
      </x:c>
      <x:c r="H227" s="9" t="str">
        <x:v>SECURITY</x:v>
      </x:c>
      <x:c r="I227" s="9" t="str">
        <x:v>Gateway và API01–08</x:v>
      </x:c>
      <x:c r="J227" s="9" t="str">
        <x:v>BASE; tài khoản test, token hợp lệ và biến thể giả; chỉ dữ liệu giả/môi trường kiểm thử.</x:v>
      </x:c>
      <x:c r="K227" s="9" t="str">
        <x:v>Dữ liệu K1; key K2 theo quy trình được duyệt</x:v>
      </x:c>
      <x:c r="L227" s="9" t="str">
        <x:v>1. Rotate; đọc dữ liệu cũ/mới; kiểm quyền</x:v>
      </x:c>
      <x:c r="M227" s="9" t="str">
        <x:v>Dữ liệu cũ vẫn giải mã đúng khi được phép; secret không nằm DB/Git; có kiểm chứng backup key.</x:v>
      </x:c>
      <x:c r="N227" s="9" t="str">
        <x:v>HTTP request/response đã che token; bản ghi trước/sau tại DB sở hữu; correlationId và log/audit liên quan.</x:v>
      </x:c>
      <x:c r="O227" s="9" t="str">
        <x:v>NFR05</x:v>
      </x:c>
      <x:c r="P227" s="9" t="str">
        <x:v>AC20</x:v>
      </x:c>
      <x:c r="Q227" s="9" t="str">
        <x:v>24</x:v>
      </x:c>
      <x:c r="R227" s="9" t="str">
        <x:v>Khôi phục dependency/fault injection nếu có; dùng bộ ID mới cho ca kế tiếp. Không xóa lịch sử/audit bằng API nghiệp vụ.</x:v>
      </x:c>
      <x:c r="S227" s="11" t="str"/>
      <x:c r="T227" s="11" t="str"/>
      <x:c r="U227" s="11" t="str"/>
      <x:c r="V227" s="11" t="str"/>
      <x:c r="W227" s="12"/>
      <x:c r="X227" s="9" t="str">
        <x:v>SRS B10; MSD 10; API01–08</x:v>
      </x:c>
    </x:row>
    <x:row r="228" ht="52" customHeight="1">
      <x:c r="A228" s="10" t="str">
        <x:v>TC13-SEC-012</x:v>
      </x:c>
      <x:c r="B228" s="10" t="str">
        <x:v>SEC</x:v>
      </x:c>
      <x:c r="C228" s="10" t="str">
        <x:v>Secret trong repository/image</x:v>
      </x:c>
      <x:c r="D228" s="10" t="str">
        <x:v>P0</x:v>
      </x:c>
      <x:c r="E228" s="10" t="str">
        <x:v>DEFINED</x:v>
      </x:c>
      <x:c r="F228" s="10" t="str">
        <x:v>NOT_RUN</x:v>
      </x:c>
      <x:c r="G228" s="10" t="str"/>
      <x:c r="H228" s="10" t="str">
        <x:v>SECURITY</x:v>
      </x:c>
      <x:c r="I228" s="10" t="str">
        <x:v>Gateway và API01–08</x:v>
      </x:c>
      <x:c r="J228" s="10" t="str">
        <x:v>BASE; tài khoản test, token hợp lệ và biến thể giả; chỉ dữ liệu giả/môi trường kiểm thử.</x:v>
      </x:c>
      <x:c r="K228" s="10" t="str">
        <x:v>Mã và image build của CAB</x:v>
      </x:c>
      <x:c r="L228" s="10" t="str">
        <x:v>1. Quét tracked files/layers/log/Postman</x:v>
      </x:c>
      <x:c r="M228" s="10" t="str">
        <x:v>Không chứa .env thật, private key, access/refresh token hoặc OTP; .env.example chỉ placeholder.</x:v>
      </x:c>
      <x:c r="N228" s="10" t="str">
        <x:v>HTTP request/response đã che token; bản ghi trước/sau tại DB sở hữu; correlationId và log/audit liên quan.</x:v>
      </x:c>
      <x:c r="O228" s="10" t="str">
        <x:v>NFR05; NFR14</x:v>
      </x:c>
      <x:c r="P228" s="10" t="str">
        <x:v>AC19; AC20</x:v>
      </x:c>
      <x:c r="Q228" s="10" t="str">
        <x:v>2,24</x:v>
      </x:c>
      <x:c r="R228" s="10" t="str">
        <x:v>Khôi phục dependency/fault injection nếu có; dùng bộ ID mới cho ca kế tiếp. Không xóa lịch sử/audit bằng API nghiệp vụ.</x:v>
      </x:c>
      <x:c r="S228" s="11" t="str"/>
      <x:c r="T228" s="11" t="str"/>
      <x:c r="U228" s="11" t="str"/>
      <x:c r="V228" s="11" t="str"/>
      <x:c r="W228" s="12"/>
      <x:c r="X228" s="10" t="str">
        <x:v>SRS B10; MSD 10; API01–08</x:v>
      </x:c>
    </x:row>
    <x:row r="229" ht="52" customHeight="1">
      <x:c r="A229" s="9" t="str">
        <x:v>TC13-SEC-013</x:v>
      </x:c>
      <x:c r="B229" s="9" t="str">
        <x:v>SEC</x:v>
      </x:c>
      <x:c r="C229" s="9" t="str">
        <x:v>Rate limit Booking</x:v>
      </x:c>
      <x:c r="D229" s="9" t="str">
        <x:v>P0</x:v>
      </x:c>
      <x:c r="E229" s="9" t="str">
        <x:v>NEEDS_DECISION</x:v>
      </x:c>
      <x:c r="F229" s="9" t="str">
        <x:v>NOT_RUN</x:v>
      </x:c>
      <x:c r="G229" s="9" t="str">
        <x:v>D10</x:v>
      </x:c>
      <x:c r="H229" s="9" t="str">
        <x:v>SECURITY</x:v>
      </x:c>
      <x:c r="I229" s="9" t="str">
        <x:v>Gateway và API01–08</x:v>
      </x:c>
      <x:c r="J229" s="9" t="str">
        <x:v>BASE; tài khoản test, token hợp lệ và biến thể giả; chỉ dữ liệu giả/môi trường kiểm thử.</x:v>
      </x:c>
      <x:c r="K229" s="9" t="str">
        <x:v>Cấu hình 10 request/phút/tài khoản; request hợp lệ không vướng guard bằng fixture</x:v>
      </x:c>
      <x:c r="L229" s="9" t="str">
        <x:v>1. Gửi vượt ngưỡng rồi đợi Retry-After</x:v>
      </x:c>
      <x:c r="M229" s="9" t="str">
        <x:v>429 và Retry-After do limiter; không dùng 401/409/503 để thay bằng chứng rate limit.</x:v>
      </x:c>
      <x:c r="N229" s="9" t="str">
        <x:v>HTTP request/response đã che token; bản ghi trước/sau tại DB sở hữu; correlationId và log/audit liên quan.</x:v>
      </x:c>
      <x:c r="O229" s="9" t="str">
        <x:v>NFR17</x:v>
      </x:c>
      <x:c r="P229" s="9" t="str">
        <x:v>AC20</x:v>
      </x:c>
      <x:c r="Q229" s="9" t="str">
        <x:v>29</x:v>
      </x:c>
      <x:c r="R229" s="9" t="str">
        <x:v>Khôi phục dependency/fault injection nếu có; dùng bộ ID mới cho ca kế tiếp. Không xóa lịch sử/audit bằng API nghiệp vụ.</x:v>
      </x:c>
      <x:c r="S229" s="11" t="str"/>
      <x:c r="T229" s="11" t="str"/>
      <x:c r="U229" s="11" t="str"/>
      <x:c r="V229" s="11" t="str"/>
      <x:c r="W229" s="12"/>
      <x:c r="X229" s="9" t="str">
        <x:v>SRS B10; MSD 10; API01–08</x:v>
      </x:c>
    </x:row>
    <x:row r="230" ht="52" customHeight="1">
      <x:c r="A230" s="10" t="str">
        <x:v>TC13-SEC-014</x:v>
      </x:c>
      <x:c r="B230" s="10" t="str">
        <x:v>SEC</x:v>
      </x:c>
      <x:c r="C230" s="10" t="str">
        <x:v>Giả X-Forwarded-For</x:v>
      </x:c>
      <x:c r="D230" s="10" t="str">
        <x:v>P0</x:v>
      </x:c>
      <x:c r="E230" s="10" t="str">
        <x:v>DEFINED</x:v>
      </x:c>
      <x:c r="F230" s="10" t="str">
        <x:v>NOT_RUN</x:v>
      </x:c>
      <x:c r="G230" s="10" t="str"/>
      <x:c r="H230" s="10" t="str">
        <x:v>SECURITY</x:v>
      </x:c>
      <x:c r="I230" s="10" t="str">
        <x:v>Gateway và API01–08</x:v>
      </x:c>
      <x:c r="J230" s="10" t="str">
        <x:v>BASE; tài khoản test, token hợp lệ và biến thể giả; chỉ dữ liệu giả/môi trường kiểm thử.</x:v>
      </x:c>
      <x:c r="K230" s="10" t="str">
        <x:v>Client không phải trusted proxy</x:v>
      </x:c>
      <x:c r="L230" s="10" t="str">
        <x:v>1. Đổi XFF khi gửi vượt limit</x:v>
      </x:c>
      <x:c r="M230" s="10" t="str">
        <x:v>Không vượt limiter bằng IP giả; trust proxy theo cấu hình triển khai.</x:v>
      </x:c>
      <x:c r="N230" s="10" t="str">
        <x:v>HTTP request/response đã che token; bản ghi trước/sau tại DB sở hữu; correlationId và log/audit liên quan.</x:v>
      </x:c>
      <x:c r="O230" s="10" t="str">
        <x:v>NFR17</x:v>
      </x:c>
      <x:c r="P230" s="10" t="str">
        <x:v>AC20</x:v>
      </x:c>
      <x:c r="Q230" s="10" t="str">
        <x:v>29</x:v>
      </x:c>
      <x:c r="R230" s="10" t="str">
        <x:v>Khôi phục dependency/fault injection nếu có; dùng bộ ID mới cho ca kế tiếp. Không xóa lịch sử/audit bằng API nghiệp vụ.</x:v>
      </x:c>
      <x:c r="S230" s="11" t="str"/>
      <x:c r="T230" s="11" t="str"/>
      <x:c r="U230" s="11" t="str"/>
      <x:c r="V230" s="11" t="str"/>
      <x:c r="W230" s="12"/>
      <x:c r="X230" s="10" t="str">
        <x:v>SRS B10; MSD 10; API01–08</x:v>
      </x:c>
    </x:row>
    <x:row r="231" ht="52" customHeight="1">
      <x:c r="A231" s="9" t="str">
        <x:v>TC13-SEC-015</x:v>
      </x:c>
      <x:c r="B231" s="9" t="str">
        <x:v>SEC</x:v>
      </x:c>
      <x:c r="C231" s="9" t="str">
        <x:v>Redis lỗi fail-closed</x:v>
      </x:c>
      <x:c r="D231" s="9" t="str">
        <x:v>P0</x:v>
      </x:c>
      <x:c r="E231" s="9" t="str">
        <x:v>DEFINED</x:v>
      </x:c>
      <x:c r="F231" s="9" t="str">
        <x:v>NOT_RUN</x:v>
      </x:c>
      <x:c r="G231" s="9" t="str"/>
      <x:c r="H231" s="9" t="str">
        <x:v>SECURITY</x:v>
      </x:c>
      <x:c r="I231" s="9" t="str">
        <x:v>Gateway và API01–08</x:v>
      </x:c>
      <x:c r="J231" s="9" t="str">
        <x:v>BASE; tài khoản test, token hợp lệ và biến thể giả; chỉ dữ liệu giả/môi trường kiểm thử.</x:v>
      </x:c>
      <x:c r="K231" s="9" t="str">
        <x:v>Ngắt Redis</x:v>
      </x:c>
      <x:c r="L231" s="9" t="str">
        <x:v>1. Gọi login, OTP, tạo Booking</x:v>
      </x:c>
      <x:c r="M231" s="9" t="str">
        <x:v>503 khi không áp dụng được kiểm soát bắt buộc; không mở cửa không giới hạn.</x:v>
      </x:c>
      <x:c r="N231" s="9" t="str">
        <x:v>HTTP request/response đã che token; bản ghi trước/sau tại DB sở hữu; correlationId và log/audit liên quan.</x:v>
      </x:c>
      <x:c r="O231" s="9" t="str">
        <x:v>NFR17</x:v>
      </x:c>
      <x:c r="P231" s="9" t="str">
        <x:v>AC20</x:v>
      </x:c>
      <x:c r="Q231" s="9" t="str">
        <x:v>29</x:v>
      </x:c>
      <x:c r="R231" s="9" t="str">
        <x:v>Khôi phục dependency/fault injection nếu có; dùng bộ ID mới cho ca kế tiếp. Không xóa lịch sử/audit bằng API nghiệp vụ.</x:v>
      </x:c>
      <x:c r="S231" s="11" t="str"/>
      <x:c r="T231" s="11" t="str"/>
      <x:c r="U231" s="11" t="str"/>
      <x:c r="V231" s="11" t="str"/>
      <x:c r="W231" s="12"/>
      <x:c r="X231" s="9" t="str">
        <x:v>SRS B10; MSD 10; API01–08</x:v>
      </x:c>
    </x:row>
    <x:row r="232" ht="52" customHeight="1">
      <x:c r="A232" s="10" t="str">
        <x:v>TC13-SEC-016</x:v>
      </x:c>
      <x:c r="B232" s="10" t="str">
        <x:v>SEC</x:v>
      </x:c>
      <x:c r="C232" s="10" t="str">
        <x:v>Không lộ secret trong lỗi</x:v>
      </x:c>
      <x:c r="D232" s="10" t="str">
        <x:v>P0</x:v>
      </x:c>
      <x:c r="E232" s="10" t="str">
        <x:v>DEFINED</x:v>
      </x:c>
      <x:c r="F232" s="10" t="str">
        <x:v>NOT_RUN</x:v>
      </x:c>
      <x:c r="G232" s="10" t="str"/>
      <x:c r="H232" s="10" t="str">
        <x:v>SECURITY</x:v>
      </x:c>
      <x:c r="I232" s="10" t="str">
        <x:v>Gateway và API01–08</x:v>
      </x:c>
      <x:c r="J232" s="10" t="str">
        <x:v>BASE; tài khoản test, token hợp lệ và biến thể giả; chỉ dữ liệu giả/môi trường kiểm thử.</x:v>
      </x:c>
      <x:c r="K232" s="10" t="str">
        <x:v>RPC lỗi, DB lỗi và schema lỗi</x:v>
      </x:c>
      <x:c r="L232" s="10" t="str">
        <x:v>1. Gọi API công khai</x:v>
      </x:c>
      <x:c r="M232" s="10" t="str">
        <x:v>Thông báo an toàn/correlationId; không connection string, token, stack trace, raw provider secret.</x:v>
      </x:c>
      <x:c r="N232" s="10" t="str">
        <x:v>HTTP request/response đã che token; bản ghi trước/sau tại DB sở hữu; correlationId và log/audit liên quan.</x:v>
      </x:c>
      <x:c r="O232" s="10" t="str">
        <x:v>NFR04; NFR05</x:v>
      </x:c>
      <x:c r="P232" s="10" t="str">
        <x:v>AC20</x:v>
      </x:c>
      <x:c r="Q232" s="10" t="str">
        <x:v>24</x:v>
      </x:c>
      <x:c r="R232" s="10" t="str">
        <x:v>Khôi phục dependency/fault injection nếu có; dùng bộ ID mới cho ca kế tiếp. Không xóa lịch sử/audit bằng API nghiệp vụ.</x:v>
      </x:c>
      <x:c r="S232" s="11" t="str"/>
      <x:c r="T232" s="11" t="str"/>
      <x:c r="U232" s="11" t="str"/>
      <x:c r="V232" s="11" t="str"/>
      <x:c r="W232" s="12"/>
      <x:c r="X232" s="10" t="str">
        <x:v>SRS B10; MSD 10; API01–08</x:v>
      </x:c>
    </x:row>
    <x:row r="233" ht="52" customHeight="1">
      <x:c r="A233" s="9" t="str">
        <x:v>TC13-SEC-017</x:v>
      </x:c>
      <x:c r="B233" s="9" t="str">
        <x:v>SEC</x:v>
      </x:c>
      <x:c r="C233" s="9" t="str">
        <x:v>HTTPS và cache-control</x:v>
      </x:c>
      <x:c r="D233" s="9" t="str">
        <x:v>P0</x:v>
      </x:c>
      <x:c r="E233" s="9" t="str">
        <x:v>DEFINED</x:v>
      </x:c>
      <x:c r="F233" s="9" t="str">
        <x:v>NOT_RUN</x:v>
      </x:c>
      <x:c r="G233" s="9" t="str"/>
      <x:c r="H233" s="9" t="str">
        <x:v>SECURITY</x:v>
      </x:c>
      <x:c r="I233" s="9" t="str">
        <x:v>Gateway và API01–08</x:v>
      </x:c>
      <x:c r="J233" s="9" t="str">
        <x:v>BASE; tài khoản test, token hợp lệ và biến thể giả; chỉ dữ liệu giả/môi trường kiểm thử.</x:v>
      </x:c>
      <x:c r="K233" s="9" t="str">
        <x:v>Môi trường ngoài local; response token/PII</x:v>
      </x:c>
      <x:c r="L233" s="9" t="str">
        <x:v>1. Kiểm tra transport và headers</x:v>
      </x:c>
      <x:c r="M233" s="9" t="str">
        <x:v>HTTPS; Cache-Control:no-store theo hợp đồng; token không đi query string.</x:v>
      </x:c>
      <x:c r="N233" s="9" t="str">
        <x:v>HTTP request/response đã che token; bản ghi trước/sau tại DB sở hữu; correlationId và log/audit liên quan.</x:v>
      </x:c>
      <x:c r="O233" s="9" t="str">
        <x:v>NFR04; NFR05</x:v>
      </x:c>
      <x:c r="P233" s="9" t="str">
        <x:v>AC20</x:v>
      </x:c>
      <x:c r="Q233" s="9" t="str">
        <x:v>24</x:v>
      </x:c>
      <x:c r="R233" s="9" t="str">
        <x:v>Khôi phục dependency/fault injection nếu có; dùng bộ ID mới cho ca kế tiếp. Không xóa lịch sử/audit bằng API nghiệp vụ.</x:v>
      </x:c>
      <x:c r="S233" s="11" t="str"/>
      <x:c r="T233" s="11" t="str"/>
      <x:c r="U233" s="11" t="str"/>
      <x:c r="V233" s="11" t="str"/>
      <x:c r="W233" s="12"/>
      <x:c r="X233" s="9" t="str">
        <x:v>SRS B10; MSD 10; API01–08</x:v>
      </x:c>
    </x:row>
    <x:row r="234" ht="52" customHeight="1">
      <x:c r="A234" s="10" t="str">
        <x:v>TC13-INFRA-001</x:v>
      </x:c>
      <x:c r="B234" s="10" t="str">
        <x:v>INFRA</x:v>
      </x:c>
      <x:c r="C234" s="10" t="str">
        <x:v>Cấu trúc tám service</x:v>
      </x:c>
      <x:c r="D234" s="10" t="str">
        <x:v>P0</x:v>
      </x:c>
      <x:c r="E234" s="10" t="str">
        <x:v>DEFINED</x:v>
      </x:c>
      <x:c r="F234" s="10" t="str">
        <x:v>NOT_RUN</x:v>
      </x:c>
      <x:c r="G234" s="10" t="str"/>
      <x:c r="H234" s="10" t="str">
        <x:v>INTEGRATION</x:v>
      </x:c>
      <x:c r="I234" s="10" t="str">
        <x:v>Compose; Gateway /health,/ready,/health/services; gRPC; RabbitMQ</x:v>
      </x:c>
      <x:c r="J234" s="10" t="str">
        <x:v>BASE; quyền quản lý riêng Compose project CAB, runtime DB roles và công cụ quan sát.</x:v>
      </x:c>
      <x:c r="K234" s="10" t="str">
        <x:v>Source build hiện tại</x:v>
      </x:c>
      <x:c r="L234" s="10" t="str">
        <x:v>1. Liệt kê service, contracts, Dockerfile và import</x:v>
      </x:c>
      <x:c r="M234" s="10" t="str">
        <x:v>Đúng tám ownership; Dispatch trong Booking, Tracking chia Driver/Trip; không ORM/repository dùng chung để ghi chéo.</x:v>
      </x:c>
      <x:c r="N234" s="10" t="str">
        <x:v>HTTP request/response đã che token; bản ghi trước/sau tại DB sở hữu; correlationId và log/audit liên quan.</x:v>
      </x:c>
      <x:c r="O234" s="10" t="str">
        <x:v>NFR02; NFR14</x:v>
      </x:c>
      <x:c r="P234" s="10" t="str">
        <x:v>AC19</x:v>
      </x:c>
      <x:c r="Q234" s="10" t="str">
        <x:v>1</x:v>
      </x:c>
      <x:c r="R234" s="10" t="str">
        <x:v>Khôi phục dependency/fault injection nếu có; dùng bộ ID mới cho ca kế tiếp. Không xóa lịch sử/audit bằng API nghiệp vụ.</x:v>
      </x:c>
      <x:c r="S234" s="11" t="str"/>
      <x:c r="T234" s="11" t="str"/>
      <x:c r="U234" s="11" t="str"/>
      <x:c r="V234" s="11" t="str"/>
      <x:c r="W234" s="12"/>
      <x:c r="X234" s="10" t="str">
        <x:v>MSD 3,4,8,11,14; API07 health</x:v>
      </x:c>
    </x:row>
    <x:row r="235" ht="52" customHeight="1">
      <x:c r="A235" s="9" t="str">
        <x:v>TC13-INFRA-002</x:v>
      </x:c>
      <x:c r="B235" s="9" t="str">
        <x:v>INFRA</x:v>
      </x:c>
      <x:c r="C235" s="9" t="str">
        <x:v>Compose khởi chạy</x:v>
      </x:c>
      <x:c r="D235" s="9" t="str">
        <x:v>P0</x:v>
      </x:c>
      <x:c r="E235" s="9" t="str">
        <x:v>DEFINED</x:v>
      </x:c>
      <x:c r="F235" s="9" t="str">
        <x:v>NOT_RUN</x:v>
      </x:c>
      <x:c r="G235" s="9" t="str"/>
      <x:c r="H235" s="9" t="str">
        <x:v>INTEGRATION</x:v>
      </x:c>
      <x:c r="I235" s="9" t="str">
        <x:v>Compose; Gateway /health,/ready,/health/services; gRPC; RabbitMQ</x:v>
      </x:c>
      <x:c r="J235" s="9" t="str">
        <x:v>BASE; quyền quản lý riêng Compose project CAB, runtime DB roles và công cụ quan sát.</x:v>
      </x:c>
      <x:c r="K235" s="9" t="str">
        <x:v>Env test và migration/seed đúng hướng dẫn</x:v>
      </x:c>
      <x:c r="L235" s="9" t="str">
        <x:v>1. docker compose up; liệt kê container và health</x:v>
      </x:c>
      <x:c r="M235" s="9" t="str">
        <x:v>12 thành phần thường trực baseline; worker tách phải được ghi riêng, không tính thành MS thứ chín; không cần xóa volume.</x:v>
      </x:c>
      <x:c r="N235" s="9" t="str">
        <x:v>HTTP request/response đã che token; bản ghi trước/sau tại DB sở hữu; correlationId và log/audit liên quan.</x:v>
      </x:c>
      <x:c r="O235" s="9" t="str">
        <x:v>NFR13</x:v>
      </x:c>
      <x:c r="P235" s="9" t="str">
        <x:v>AC19</x:v>
      </x:c>
      <x:c r="Q235" s="9" t="str">
        <x:v>5</x:v>
      </x:c>
      <x:c r="R235" s="9" t="str">
        <x:v>Khôi phục dependency/fault injection nếu có; dùng bộ ID mới cho ca kế tiếp. Không xóa lịch sử/audit bằng API nghiệp vụ.</x:v>
      </x:c>
      <x:c r="S235" s="11" t="str"/>
      <x:c r="T235" s="11" t="str"/>
      <x:c r="U235" s="11" t="str"/>
      <x:c r="V235" s="11" t="str"/>
      <x:c r="W235" s="12"/>
      <x:c r="X235" s="9" t="str">
        <x:v>MSD 3,4,8,11,14; API07 health</x:v>
      </x:c>
    </x:row>
    <x:row r="236" ht="52" customHeight="1">
      <x:c r="A236" s="10" t="str">
        <x:v>TC13-INFRA-003</x:v>
      </x:c>
      <x:c r="B236" s="10" t="str">
        <x:v>INFRA</x:v>
      </x:c>
      <x:c r="C236" s="10" t="str">
        <x:v>Chỉ Gateway public</x:v>
      </x:c>
      <x:c r="D236" s="10" t="str">
        <x:v>P0</x:v>
      </x:c>
      <x:c r="E236" s="10" t="str">
        <x:v>DEFINED</x:v>
      </x:c>
      <x:c r="F236" s="10" t="str">
        <x:v>NOT_RUN</x:v>
      </x:c>
      <x:c r="G236" s="10" t="str"/>
      <x:c r="H236" s="10" t="str">
        <x:v>INTEGRATION</x:v>
      </x:c>
      <x:c r="I236" s="10" t="str">
        <x:v>Compose; Gateway /health,/ready,/health/services; gRPC; RabbitMQ</x:v>
      </x:c>
      <x:c r="J236" s="10" t="str">
        <x:v>BASE; quyền quản lý riêng Compose project CAB, runtime DB roles và công cụ quan sát.</x:v>
      </x:c>
      <x:c r="K236" s="10" t="str">
        <x:v>Cấu hình chạy bài mặc định</x:v>
      </x:c>
      <x:c r="L236" s="10" t="str">
        <x:v>1. Kiểm tra port publish; thử gọi trực tiếp backend từ client</x:v>
      </x:c>
      <x:c r="M236" s="10" t="str">
        <x:v>Chỉ Gateway công bố cổng ứng dụng; backend/hạ tầng nội bộ; debug profile localhost riêng.</x:v>
      </x:c>
      <x:c r="N236" s="10" t="str">
        <x:v>HTTP request/response đã che token; bản ghi trước/sau tại DB sở hữu; correlationId và log/audit liên quan.</x:v>
      </x:c>
      <x:c r="O236" s="10" t="str">
        <x:v>NFR11</x:v>
      </x:c>
      <x:c r="P236" s="10" t="str">
        <x:v>AC19</x:v>
      </x:c>
      <x:c r="Q236" s="10" t="str">
        <x:v>8</x:v>
      </x:c>
      <x:c r="R236" s="10" t="str">
        <x:v>Khôi phục dependency/fault injection nếu có; dùng bộ ID mới cho ca kế tiếp. Không xóa lịch sử/audit bằng API nghiệp vụ.</x:v>
      </x:c>
      <x:c r="S236" s="11" t="str"/>
      <x:c r="T236" s="11" t="str"/>
      <x:c r="U236" s="11" t="str"/>
      <x:c r="V236" s="11" t="str"/>
      <x:c r="W236" s="12"/>
      <x:c r="X236" s="10" t="str">
        <x:v>MSD 3,4,8,11,14; API07 health</x:v>
      </x:c>
    </x:row>
    <x:row r="237" ht="52" customHeight="1">
      <x:c r="A237" s="9" t="str">
        <x:v>TC13-INFRA-004</x:v>
      </x:c>
      <x:c r="B237" s="9" t="str">
        <x:v>INFRA</x:v>
      </x:c>
      <x:c r="C237" s="9" t="str">
        <x:v>Route theo method/path cụ thể</x:v>
      </x:c>
      <x:c r="D237" s="9" t="str">
        <x:v>P0</x:v>
      </x:c>
      <x:c r="E237" s="9" t="str">
        <x:v>NEEDS_DECISION</x:v>
      </x:c>
      <x:c r="F237" s="9" t="str">
        <x:v>NOT_RUN</x:v>
      </x:c>
      <x:c r="G237" s="9" t="str">
        <x:v>G01</x:v>
      </x:c>
      <x:c r="H237" s="9" t="str">
        <x:v>INTEGRATION</x:v>
      </x:c>
      <x:c r="I237" s="9" t="str">
        <x:v>Compose; Gateway /health,/ready,/health/services; gRPC; RabbitMQ</x:v>
      </x:c>
      <x:c r="J237" s="9" t="str">
        <x:v>BASE; quyền quản lý riêng Compose project CAB, runtime DB roles và công cụ quan sát.</x:v>
      </x:c>
      <x:c r="K237" s="9" t="str">
        <x:v>drivers/me, drivers/nearby, trips/id/rating, trips/id/payment</x:v>
      </x:c>
      <x:c r="L237" s="9" t="str">
        <x:v>1. Gọi và xem trace owner</x:v>
      </x:c>
      <x:c r="M237" s="9" t="str">
        <x:v>Không coi me/nearby là ID; Rating/Payment đến service đúng; nearby cần chốt ownership khác tài liệu.</x:v>
      </x:c>
      <x:c r="N237" s="9" t="str">
        <x:v>HTTP request/response đã che token; bản ghi trước/sau tại DB sở hữu; correlationId và log/audit liên quan.</x:v>
      </x:c>
      <x:c r="O237" s="9" t="str">
        <x:v>NFR11</x:v>
      </x:c>
      <x:c r="P237" s="9" t="str">
        <x:v>AC19</x:v>
      </x:c>
      <x:c r="Q237" s="9" t="str">
        <x:v>3,8</x:v>
      </x:c>
      <x:c r="R237" s="9" t="str">
        <x:v>Khôi phục dependency/fault injection nếu có; dùng bộ ID mới cho ca kế tiếp. Không xóa lịch sử/audit bằng API nghiệp vụ.</x:v>
      </x:c>
      <x:c r="S237" s="11" t="str"/>
      <x:c r="T237" s="11" t="str"/>
      <x:c r="U237" s="11" t="str"/>
      <x:c r="V237" s="11" t="str"/>
      <x:c r="W237" s="12"/>
      <x:c r="X237" s="9" t="str">
        <x:v>MSD 3,4,8,11,14; API07 health</x:v>
      </x:c>
    </x:row>
    <x:row r="238" ht="52" customHeight="1">
      <x:c r="A238" s="10" t="str">
        <x:v>TC13-INFRA-005</x:v>
      </x:c>
      <x:c r="B238" s="10" t="str">
        <x:v>INFRA</x:v>
      </x:c>
      <x:c r="C238" s="10" t="str">
        <x:v>Route nội bộ không public</x:v>
      </x:c>
      <x:c r="D238" s="10" t="str">
        <x:v>P0</x:v>
      </x:c>
      <x:c r="E238" s="10" t="str">
        <x:v>DEFINED</x:v>
      </x:c>
      <x:c r="F238" s="10" t="str">
        <x:v>NOT_RUN</x:v>
      </x:c>
      <x:c r="G238" s="10" t="str"/>
      <x:c r="H238" s="10" t="str">
        <x:v>INTEGRATION</x:v>
      </x:c>
      <x:c r="I238" s="10" t="str">
        <x:v>Compose; Gateway /health,/ready,/health/services; gRPC; RabbitMQ</x:v>
      </x:c>
      <x:c r="J238" s="10" t="str">
        <x:v>BASE; quyền quản lý riêng Compose project CAB, runtime DB roles và công cụ quan sát.</x:v>
      </x:c>
      <x:c r="K238" s="10" t="str">
        <x:v>/internal/*; POST dispatch/reconcile/notifications cũ</x:v>
      </x:c>
      <x:c r="L238" s="10" t="str">
        <x:v>1. Gọi qua Gateway bằng user và OPERATOR</x:v>
      </x:c>
      <x:c r="M238" s="10" t="str">
        <x:v>Không proxy vào ca sử dụng nội bộ; không thành công chỉ vì đường dẫn bắt đầu /v1.</x:v>
      </x:c>
      <x:c r="N238" s="10" t="str">
        <x:v>HTTP request/response đã che token; bản ghi trước/sau tại DB sở hữu; correlationId và log/audit liên quan.</x:v>
      </x:c>
      <x:c r="O238" s="10" t="str">
        <x:v>NFR11</x:v>
      </x:c>
      <x:c r="P238" s="10" t="str">
        <x:v>AC19</x:v>
      </x:c>
      <x:c r="Q238" s="10" t="str">
        <x:v>3,8</x:v>
      </x:c>
      <x:c r="R238" s="10" t="str">
        <x:v>Khôi phục dependency/fault injection nếu có; dùng bộ ID mới cho ca kế tiếp. Không xóa lịch sử/audit bằng API nghiệp vụ.</x:v>
      </x:c>
      <x:c r="S238" s="11" t="str"/>
      <x:c r="T238" s="11" t="str"/>
      <x:c r="U238" s="11" t="str"/>
      <x:c r="V238" s="11" t="str"/>
      <x:c r="W238" s="12"/>
      <x:c r="X238" s="10" t="str">
        <x:v>MSD 3,4,8,11,14; API07 health</x:v>
      </x:c>
    </x:row>
    <x:row r="239" ht="52" customHeight="1">
      <x:c r="A239" s="9" t="str">
        <x:v>TC13-INFRA-006</x:v>
      </x:c>
      <x:c r="B239" s="9" t="str">
        <x:v>INFRA</x:v>
      </x:c>
      <x:c r="C239" s="9" t="str">
        <x:v>IPC gRPC thật</x:v>
      </x:c>
      <x:c r="D239" s="9" t="str">
        <x:v>P0</x:v>
      </x:c>
      <x:c r="E239" s="9" t="str">
        <x:v>NEEDS_DECISION</x:v>
      </x:c>
      <x:c r="F239" s="9" t="str">
        <x:v>NOT_RUN</x:v>
      </x:c>
      <x:c r="G239" s="9" t="str">
        <x:v>D04</x:v>
      </x:c>
      <x:c r="H239" s="9" t="str">
        <x:v>INTEGRATION</x:v>
      </x:c>
      <x:c r="I239" s="9" t="str">
        <x:v>Compose; Gateway /health,/ready,/health/services; gRPC; RabbitMQ</x:v>
      </x:c>
      <x:c r="J239" s="9" t="str">
        <x:v>BASE; quyền quản lý riêng Compose project CAB, runtime DB roles và công cụ quan sát.</x:v>
      </x:c>
      <x:c r="K239" s="9" t="str">
        <x:v>Một accept hoặc Rating request</x:v>
      </x:c>
      <x:c r="L239" s="9" t="str">
        <x:v>1. Trace Gateway→service và service→service</x:v>
      </x:c>
      <x:c r="M239" s="9" t="str">
        <x:v>Có lời gọi giữa process, deadline/correlationId và service identity; không dùng gọi hàm cùng process làm bằng chứng.</x:v>
      </x:c>
      <x:c r="N239" s="9" t="str">
        <x:v>HTTP request/response đã che token; bản ghi trước/sau tại DB sở hữu; correlationId và log/audit liên quan.</x:v>
      </x:c>
      <x:c r="O239" s="9" t="str">
        <x:v>NFR12</x:v>
      </x:c>
      <x:c r="P239" s="9" t="str">
        <x:v>AC19</x:v>
      </x:c>
      <x:c r="Q239" s="9" t="str">
        <x:v>4</x:v>
      </x:c>
      <x:c r="R239" s="9" t="str">
        <x:v>Khôi phục dependency/fault injection nếu có; dùng bộ ID mới cho ca kế tiếp. Không xóa lịch sử/audit bằng API nghiệp vụ.</x:v>
      </x:c>
      <x:c r="S239" s="11" t="str"/>
      <x:c r="T239" s="11" t="str"/>
      <x:c r="U239" s="11" t="str"/>
      <x:c r="V239" s="11" t="str"/>
      <x:c r="W239" s="12"/>
      <x:c r="X239" s="9" t="str">
        <x:v>MSD 3,4,8,11,14; API07 health</x:v>
      </x:c>
    </x:row>
    <x:row r="240" ht="52" customHeight="1">
      <x:c r="A240" s="10" t="str">
        <x:v>TC13-INFRA-007</x:v>
      </x:c>
      <x:c r="B240" s="10" t="str">
        <x:v>INFRA</x:v>
      </x:c>
      <x:c r="C240" s="10" t="str">
        <x:v>DB role không truy cập chéo</x:v>
      </x:c>
      <x:c r="D240" s="10" t="str">
        <x:v>P0</x:v>
      </x:c>
      <x:c r="E240" s="10" t="str">
        <x:v>DEFINED</x:v>
      </x:c>
      <x:c r="F240" s="10" t="str">
        <x:v>NOT_RUN</x:v>
      </x:c>
      <x:c r="G240" s="10" t="str"/>
      <x:c r="H240" s="10" t="str">
        <x:v>INTEGRATION</x:v>
      </x:c>
      <x:c r="I240" s="10" t="str">
        <x:v>Compose; Gateway /health,/ready,/health/services; gRPC; RabbitMQ</x:v>
      </x:c>
      <x:c r="J240" s="10" t="str">
        <x:v>BASE; quyền quản lý riêng Compose project CAB, runtime DB roles và công cụ quan sát.</x:v>
      </x:c>
      <x:c r="K240" s="10" t="str">
        <x:v>Runtime role từng MS; tám database</x:v>
      </x:c>
      <x:c r="L240" s="10" t="str">
        <x:v>1. Thử CONNECT/SELECT/INSERT vào DB MS khác và bảng của mình</x:v>
      </x:c>
      <x:c r="M240" s="10" t="str">
        <x:v>Quyền đúng DB mình; đọc/ghi chéo bị từ chối; runtime không superuser.</x:v>
      </x:c>
      <x:c r="N240" s="10" t="str">
        <x:v>HTTP request/response đã che token; bản ghi trước/sau tại DB sở hữu; correlationId và log/audit liên quan.</x:v>
      </x:c>
      <x:c r="O240" s="10" t="str">
        <x:v>NFR02; NFR05</x:v>
      </x:c>
      <x:c r="P240" s="10" t="str">
        <x:v>AC19; AC20</x:v>
      </x:c>
      <x:c r="Q240" s="10" t="str">
        <x:v>24</x:v>
      </x:c>
      <x:c r="R240" s="10" t="str">
        <x:v>Khôi phục dependency/fault injection nếu có; dùng bộ ID mới cho ca kế tiếp. Không xóa lịch sử/audit bằng API nghiệp vụ.</x:v>
      </x:c>
      <x:c r="S240" s="11" t="str"/>
      <x:c r="T240" s="11" t="str"/>
      <x:c r="U240" s="11" t="str"/>
      <x:c r="V240" s="11" t="str"/>
      <x:c r="W240" s="12"/>
      <x:c r="X240" s="10" t="str">
        <x:v>MSD 3,4,8,11,14; API07 health</x:v>
      </x:c>
    </x:row>
    <x:row r="241" ht="52" customHeight="1">
      <x:c r="A241" s="9" t="str">
        <x:v>TC13-INFRA-008</x:v>
      </x:c>
      <x:c r="B241" s="9" t="str">
        <x:v>INFRA</x:v>
      </x:c>
      <x:c r="C241" s="9" t="str">
        <x:v>Liveness không phụ thuộc toàn hệ thống</x:v>
      </x:c>
      <x:c r="D241" s="9" t="str">
        <x:v>P0</x:v>
      </x:c>
      <x:c r="E241" s="9" t="str">
        <x:v>DEFINED</x:v>
      </x:c>
      <x:c r="F241" s="9" t="str">
        <x:v>NOT_RUN</x:v>
      </x:c>
      <x:c r="G241" s="9" t="str"/>
      <x:c r="H241" s="9" t="str">
        <x:v>INTEGRATION</x:v>
      </x:c>
      <x:c r="I241" s="9" t="str">
        <x:v>Compose; Gateway /health,/ready,/health/services; gRPC; RabbitMQ</x:v>
      </x:c>
      <x:c r="J241" s="9" t="str">
        <x:v>BASE; quyền quản lý riêng Compose project CAB, runtime DB roles và công cụ quan sát.</x:v>
      </x:c>
      <x:c r="K241" s="9" t="str">
        <x:v>Gateway sống; dừng RabbitMQ/DB test</x:v>
      </x:c>
      <x:c r="L241" s="9" t="str">
        <x:v>1. GET /health</x:v>
      </x:c>
      <x:c r="M241" s="9" t="str">
        <x:v>200 status=UP nếu Gateway còn phục vụ probe; không biến lỗi phụ thuộc thành chết Gateway.</x:v>
      </x:c>
      <x:c r="N241" s="9" t="str">
        <x:v>HTTP request/response đã che token; bản ghi trước/sau tại DB sở hữu; correlationId và log/audit liên quan.</x:v>
      </x:c>
      <x:c r="O241" s="9" t="str">
        <x:v>FR27; NFR07</x:v>
      </x:c>
      <x:c r="P241" s="9" t="str">
        <x:v>UC21; AC19</x:v>
      </x:c>
      <x:c r="Q241" s="9" t="str">
        <x:v>6</x:v>
      </x:c>
      <x:c r="R241" s="9" t="str">
        <x:v>Khôi phục dependency/fault injection nếu có; dùng bộ ID mới cho ca kế tiếp. Không xóa lịch sử/audit bằng API nghiệp vụ.</x:v>
      </x:c>
      <x:c r="S241" s="11" t="str"/>
      <x:c r="T241" s="11" t="str"/>
      <x:c r="U241" s="11" t="str"/>
      <x:c r="V241" s="11" t="str"/>
      <x:c r="W241" s="12"/>
      <x:c r="X241" s="9" t="str">
        <x:v>MSD 3,4,8,11,14; API07 health</x:v>
      </x:c>
    </x:row>
    <x:row r="242" ht="52" customHeight="1">
      <x:c r="A242" s="10" t="str">
        <x:v>TC13-INFRA-009</x:v>
      </x:c>
      <x:c r="B242" s="10" t="str">
        <x:v>INFRA</x:v>
      </x:c>
      <x:c r="C242" s="10" t="str">
        <x:v>Readiness phản ánh dependency</x:v>
      </x:c>
      <x:c r="D242" s="10" t="str">
        <x:v>P0</x:v>
      </x:c>
      <x:c r="E242" s="10" t="str">
        <x:v>DEFINED</x:v>
      </x:c>
      <x:c r="F242" s="10" t="str">
        <x:v>NOT_RUN</x:v>
      </x:c>
      <x:c r="G242" s="10" t="str"/>
      <x:c r="H242" s="10" t="str">
        <x:v>INTEGRATION</x:v>
      </x:c>
      <x:c r="I242" s="10" t="str">
        <x:v>Compose; Gateway /health,/ready,/health/services; gRPC; RabbitMQ</x:v>
      </x:c>
      <x:c r="J242" s="10" t="str">
        <x:v>BASE; quyền quản lý riêng Compose project CAB, runtime DB roles và công cụ quan sát.</x:v>
      </x:c>
      <x:c r="K242" s="10" t="str">
        <x:v>Lần lượt dừng MS, Redis, RabbitMQ, DB credential lỗi</x:v>
      </x:c>
      <x:c r="L242" s="10" t="str">
        <x:v>1. GET /ready và khôi phục</x:v>
      </x:c>
      <x:c r="M242" s="10" t="str">
        <x:v>503 NOT_READY khi bắt buộc lỗi/unknown; sau phục hồi 200 READY; không dùng cache probe quá hạn.</x:v>
      </x:c>
      <x:c r="N242" s="10" t="str">
        <x:v>HTTP request/response đã che token; bản ghi trước/sau tại DB sở hữu; correlationId và log/audit liên quan.</x:v>
      </x:c>
      <x:c r="O242" s="10" t="str">
        <x:v>FR27; NFR07</x:v>
      </x:c>
      <x:c r="P242" s="10" t="str">
        <x:v>UC21; AC19</x:v>
      </x:c>
      <x:c r="Q242" s="10" t="str">
        <x:v>6</x:v>
      </x:c>
      <x:c r="R242" s="10" t="str">
        <x:v>Khôi phục dependency/fault injection nếu có; dùng bộ ID mới cho ca kế tiếp. Không xóa lịch sử/audit bằng API nghiệp vụ.</x:v>
      </x:c>
      <x:c r="S242" s="11" t="str"/>
      <x:c r="T242" s="11" t="str"/>
      <x:c r="U242" s="11" t="str"/>
      <x:c r="V242" s="11" t="str"/>
      <x:c r="W242" s="12"/>
      <x:c r="X242" s="10" t="str">
        <x:v>MSD 3,4,8,11,14; API07 health</x:v>
      </x:c>
    </x:row>
    <x:row r="243" ht="52" customHeight="1">
      <x:c r="A243" s="9" t="str">
        <x:v>TC13-INFRA-010</x:v>
      </x:c>
      <x:c r="B243" s="9" t="str">
        <x:v>INFRA</x:v>
      </x:c>
      <x:c r="C243" s="9" t="str">
        <x:v>Health chi tiết cần OPERATOR</x:v>
      </x:c>
      <x:c r="D243" s="9" t="str">
        <x:v>P0</x:v>
      </x:c>
      <x:c r="E243" s="9" t="str">
        <x:v>DEFINED</x:v>
      </x:c>
      <x:c r="F243" s="9" t="str">
        <x:v>NOT_RUN</x:v>
      </x:c>
      <x:c r="G243" s="9" t="str"/>
      <x:c r="H243" s="9" t="str">
        <x:v>INTEGRATION</x:v>
      </x:c>
      <x:c r="I243" s="9" t="str">
        <x:v>Compose; Gateway /health,/ready,/health/services; gRPC; RabbitMQ</x:v>
      </x:c>
      <x:c r="J243" s="9" t="str">
        <x:v>BASE; quyền quản lý riêng Compose project CAB, runtime DB roles và công cụ quan sát.</x:v>
      </x:c>
      <x:c r="K243" s="9" t="str">
        <x:v>O_A hợp lệ; C_A; anonymous; Identity unavailable</x:v>
      </x:c>
      <x:c r="L243" s="9" t="str">
        <x:v>1. GET health/services</x:v>
      </x:c>
      <x:c r="M243" s="9" t="str">
        <x:v>Chỉ O_A đã xác minh nhận chi tiết; không thể xác minh thì không lộ health nội bộ.</x:v>
      </x:c>
      <x:c r="N243" s="9" t="str">
        <x:v>HTTP request/response đã che token; bản ghi trước/sau tại DB sở hữu; correlationId và log/audit liên quan.</x:v>
      </x:c>
      <x:c r="O243" s="9" t="str">
        <x:v>FR27; NFR07</x:v>
      </x:c>
      <x:c r="P243" s="9" t="str">
        <x:v>UC21; AC19</x:v>
      </x:c>
      <x:c r="Q243" s="9" t="str">
        <x:v>6</x:v>
      </x:c>
      <x:c r="R243" s="9" t="str">
        <x:v>Khôi phục dependency/fault injection nếu có; dùng bộ ID mới cho ca kế tiếp. Không xóa lịch sử/audit bằng API nghiệp vụ.</x:v>
      </x:c>
      <x:c r="S243" s="11" t="str"/>
      <x:c r="T243" s="11" t="str"/>
      <x:c r="U243" s="11" t="str"/>
      <x:c r="V243" s="11" t="str"/>
      <x:c r="W243" s="12"/>
      <x:c r="X243" s="9" t="str">
        <x:v>MSD 3,4,8,11,14; API07 health</x:v>
      </x:c>
    </x:row>
    <x:row r="244" ht="52" customHeight="1">
      <x:c r="A244" s="10" t="str">
        <x:v>TC13-INFRA-011</x:v>
      </x:c>
      <x:c r="B244" s="10" t="str">
        <x:v>INFRA</x:v>
      </x:c>
      <x:c r="C244" s="10" t="str">
        <x:v>Health đủ thành phần</x:v>
      </x:c>
      <x:c r="D244" s="10" t="str">
        <x:v>P0</x:v>
      </x:c>
      <x:c r="E244" s="10" t="str">
        <x:v>NEEDS_DECISION</x:v>
      </x:c>
      <x:c r="F244" s="10" t="str">
        <x:v>NOT_RUN</x:v>
      </x:c>
      <x:c r="G244" s="10" t="str">
        <x:v>G04</x:v>
      </x:c>
      <x:c r="H244" s="10" t="str">
        <x:v>INTEGRATION</x:v>
      </x:c>
      <x:c r="I244" s="10" t="str">
        <x:v>Compose; Gateway /health,/ready,/health/services; gRPC; RabbitMQ</x:v>
      </x:c>
      <x:c r="J244" s="10" t="str">
        <x:v>BASE; quyền quản lý riêng Compose project CAB, runtime DB roles và công cụ quan sát.</x:v>
      </x:c>
      <x:c r="K244" s="10" t="str">
        <x:v>Baseline 12; một component DOWN/UNKNOWN</x:v>
      </x:c>
      <x:c r="L244" s="10" t="str">
        <x:v>1. GET health/services</x:v>
      </x:c>
      <x:c r="M244" s="10" t="str">
        <x:v>Đủ 12 tên duy nhất theo API07; UP=200, DEGRADED=503; worker gộp theo hợp đồng hiện tại.</x:v>
      </x:c>
      <x:c r="N244" s="10" t="str">
        <x:v>HTTP request/response đã che token; bản ghi trước/sau tại DB sở hữu; correlationId và log/audit liên quan.</x:v>
      </x:c>
      <x:c r="O244" s="10" t="str">
        <x:v>FR27; NFR07</x:v>
      </x:c>
      <x:c r="P244" s="10" t="str">
        <x:v>UC21; AC19</x:v>
      </x:c>
      <x:c r="Q244" s="10" t="str">
        <x:v>6</x:v>
      </x:c>
      <x:c r="R244" s="10" t="str">
        <x:v>Khôi phục dependency/fault injection nếu có; dùng bộ ID mới cho ca kế tiếp. Không xóa lịch sử/audit bằng API nghiệp vụ.</x:v>
      </x:c>
      <x:c r="S244" s="11" t="str"/>
      <x:c r="T244" s="11" t="str"/>
      <x:c r="U244" s="11" t="str"/>
      <x:c r="V244" s="11" t="str"/>
      <x:c r="W244" s="12"/>
      <x:c r="X244" s="10" t="str">
        <x:v>MSD 3,4,8,11,14; API07 health</x:v>
      </x:c>
    </x:row>
    <x:row r="245" ht="52" customHeight="1">
      <x:c r="A245" s="9" t="str">
        <x:v>TC13-INFRA-012</x:v>
      </x:c>
      <x:c r="B245" s="9" t="str">
        <x:v>INFRA</x:v>
      </x:c>
      <x:c r="C245" s="9" t="str">
        <x:v>Worker sống nhưng không tiến triển</x:v>
      </x:c>
      <x:c r="D245" s="9" t="str">
        <x:v>P0</x:v>
      </x:c>
      <x:c r="E245" s="9" t="str">
        <x:v>DEFINED</x:v>
      </x:c>
      <x:c r="F245" s="9" t="str">
        <x:v>NOT_RUN</x:v>
      </x:c>
      <x:c r="G245" s="9" t="str"/>
      <x:c r="H245" s="9" t="str">
        <x:v>INTEGRATION</x:v>
      </x:c>
      <x:c r="I245" s="9" t="str">
        <x:v>Compose; Gateway /health,/ready,/health/services; gRPC; RabbitMQ</x:v>
      </x:c>
      <x:c r="J245" s="9" t="str">
        <x:v>BASE; quyền quản lý riêng Compose project CAB, runtime DB roles và công cụ quan sát.</x:v>
      </x:c>
      <x:c r="K245" s="9" t="str">
        <x:v>Dừng vòng quét job, HTTP vẫn UP</x:v>
      </x:c>
      <x:c r="L245" s="9" t="str">
        <x:v>1. Chờ heartbeat/progress quá hạn; probe</x:v>
      </x:c>
      <x:c r="M245" s="9" t="str">
        <x:v>Readiness phản ánh worker lỗi, không UP chỉ vì API port mở.</x:v>
      </x:c>
      <x:c r="N245" s="9" t="str">
        <x:v>HTTP request/response đã che token; bản ghi trước/sau tại DB sở hữu; correlationId và log/audit liên quan.</x:v>
      </x:c>
      <x:c r="O245" s="9" t="str">
        <x:v>FR27; NFR07</x:v>
      </x:c>
      <x:c r="P245" s="9" t="str">
        <x:v>UC21; AC19</x:v>
      </x:c>
      <x:c r="Q245" s="9" t="str">
        <x:v>6</x:v>
      </x:c>
      <x:c r="R245" s="9" t="str">
        <x:v>Khôi phục dependency/fault injection nếu có; dùng bộ ID mới cho ca kế tiếp. Không xóa lịch sử/audit bằng API nghiệp vụ.</x:v>
      </x:c>
      <x:c r="S245" s="11" t="str"/>
      <x:c r="T245" s="11" t="str"/>
      <x:c r="U245" s="11" t="str"/>
      <x:c r="V245" s="11" t="str"/>
      <x:c r="W245" s="12"/>
      <x:c r="X245" s="9" t="str">
        <x:v>MSD 3,4,8,11,14; API07 health</x:v>
      </x:c>
    </x:row>
    <x:row r="246" ht="52" customHeight="1">
      <x:c r="A246" s="10" t="str">
        <x:v>TC13-INFRA-013</x:v>
      </x:c>
      <x:c r="B246" s="10" t="str">
        <x:v>INFRA</x:v>
      </x:c>
      <x:c r="C246" s="10" t="str">
        <x:v>Broker dừng sau commit</x:v>
      </x:c>
      <x:c r="D246" s="10" t="str">
        <x:v>P0</x:v>
      </x:c>
      <x:c r="E246" s="10" t="str">
        <x:v>DEFINED</x:v>
      </x:c>
      <x:c r="F246" s="10" t="str">
        <x:v>NOT_RUN</x:v>
      </x:c>
      <x:c r="G246" s="10" t="str"/>
      <x:c r="H246" s="10" t="str">
        <x:v>INTEGRATION</x:v>
      </x:c>
      <x:c r="I246" s="10" t="str">
        <x:v>Compose; Gateway /health,/ready,/health/services; gRPC; RabbitMQ</x:v>
      </x:c>
      <x:c r="J246" s="10" t="str">
        <x:v>BASE; quyền quản lý riêng Compose project CAB, runtime DB roles và công cụ quan sát.</x:v>
      </x:c>
      <x:c r="K246" s="10" t="str">
        <x:v>Tạo Booking/Trip change khi RabbitMQ ngừng</x:v>
      </x:c>
      <x:c r="L246" s="10" t="str">
        <x:v>1. Đọc outbox; khởi động broker</x:v>
      </x:c>
      <x:c r="M246" s="10" t="str">
        <x:v>Không mất sự kiện đã commit; publish tiếp cùng eventId; Notification không rollback nghiệp vụ.</x:v>
      </x:c>
      <x:c r="N246" s="10" t="str">
        <x:v>HTTP request/response đã che token; bản ghi trước/sau tại DB sở hữu; correlationId và log/audit liên quan.</x:v>
      </x:c>
      <x:c r="O246" s="10" t="str">
        <x:v>NFR03; NFR12</x:v>
      </x:c>
      <x:c r="P246" s="10" t="str">
        <x:v>AC19</x:v>
      </x:c>
      <x:c r="Q246" s="10" t="str">
        <x:v>7</x:v>
      </x:c>
      <x:c r="R246" s="10" t="str">
        <x:v>Khôi phục dependency/fault injection nếu có; dùng bộ ID mới cho ca kế tiếp. Không xóa lịch sử/audit bằng API nghiệp vụ.</x:v>
      </x:c>
      <x:c r="S246" s="11" t="str"/>
      <x:c r="T246" s="11" t="str"/>
      <x:c r="U246" s="11" t="str"/>
      <x:c r="V246" s="11" t="str"/>
      <x:c r="W246" s="12"/>
      <x:c r="X246" s="10" t="str">
        <x:v>MSD 3,4,8,11,14; API07 health</x:v>
      </x:c>
    </x:row>
    <x:row r="247" ht="52" customHeight="1">
      <x:c r="A247" s="9" t="str">
        <x:v>TC13-INFRA-014</x:v>
      </x:c>
      <x:c r="B247" s="9" t="str">
        <x:v>INFRA</x:v>
      </x:c>
      <x:c r="C247" s="9" t="str">
        <x:v>Publish không có route</x:v>
      </x:c>
      <x:c r="D247" s="9" t="str">
        <x:v>P0</x:v>
      </x:c>
      <x:c r="E247" s="9" t="str">
        <x:v>DEFINED</x:v>
      </x:c>
      <x:c r="F247" s="9" t="str">
        <x:v>NOT_RUN</x:v>
      </x:c>
      <x:c r="G247" s="9" t="str"/>
      <x:c r="H247" s="9" t="str">
        <x:v>INTEGRATION</x:v>
      </x:c>
      <x:c r="I247" s="9" t="str">
        <x:v>Compose; Gateway /health,/ready,/health/services; gRPC; RabbitMQ</x:v>
      </x:c>
      <x:c r="J247" s="9" t="str">
        <x:v>BASE; quyền quản lý riêng Compose project CAB, runtime DB roles và công cụ quan sát.</x:v>
      </x:c>
      <x:c r="K247" s="9" t="str">
        <x:v>Routing test không có queue nhận</x:v>
      </x:c>
      <x:c r="L247" s="9" t="str">
        <x:v>1. Worker publish với confirms/mandatory</x:v>
      </x:c>
      <x:c r="M247" s="9" t="str">
        <x:v>Không đánh dấu outbox gửi thành công chỉ nhờ broker confirm; có retry/cảnh báo.</x:v>
      </x:c>
      <x:c r="N247" s="9" t="str">
        <x:v>HTTP request/response đã che token; bản ghi trước/sau tại DB sở hữu; correlationId và log/audit liên quan.</x:v>
      </x:c>
      <x:c r="O247" s="9" t="str">
        <x:v>NFR03; NFR12</x:v>
      </x:c>
      <x:c r="P247" s="9" t="str">
        <x:v>AC19</x:v>
      </x:c>
      <x:c r="Q247" s="9" t="str">
        <x:v>7</x:v>
      </x:c>
      <x:c r="R247" s="9" t="str">
        <x:v>Khôi phục dependency/fault injection nếu có; dùng bộ ID mới cho ca kế tiếp. Không xóa lịch sử/audit bằng API nghiệp vụ.</x:v>
      </x:c>
      <x:c r="S247" s="11" t="str"/>
      <x:c r="T247" s="11" t="str"/>
      <x:c r="U247" s="11" t="str"/>
      <x:c r="V247" s="11" t="str"/>
      <x:c r="W247" s="12"/>
      <x:c r="X247" s="9" t="str">
        <x:v>MSD 3,4,8,11,14; API07 health</x:v>
      </x:c>
    </x:row>
    <x:row r="248" ht="52" customHeight="1">
      <x:c r="A248" s="10" t="str">
        <x:v>TC13-INFRA-015</x:v>
      </x:c>
      <x:c r="B248" s="10" t="str">
        <x:v>INFRA</x:v>
      </x:c>
      <x:c r="C248" s="10" t="str">
        <x:v>Consumer crash sau commit trước ACK</x:v>
      </x:c>
      <x:c r="D248" s="10" t="str">
        <x:v>P0</x:v>
      </x:c>
      <x:c r="E248" s="10" t="str">
        <x:v>DEFINED</x:v>
      </x:c>
      <x:c r="F248" s="10" t="str">
        <x:v>NOT_RUN</x:v>
      </x:c>
      <x:c r="G248" s="10" t="str"/>
      <x:c r="H248" s="10" t="str">
        <x:v>INTEGRATION</x:v>
      </x:c>
      <x:c r="I248" s="10" t="str">
        <x:v>Compose; Gateway /health,/ready,/health/services; gRPC; RabbitMQ</x:v>
      </x:c>
      <x:c r="J248" s="10" t="str">
        <x:v>BASE; quyền quản lý riêng Compose project CAB, runtime DB roles và công cụ quan sát.</x:v>
      </x:c>
      <x:c r="K248" s="10" t="str">
        <x:v>Inbox/job đã commit</x:v>
      </x:c>
      <x:c r="L248" s="10" t="str">
        <x:v>1. Dừng consumer trước ACK; restart</x:v>
      </x:c>
      <x:c r="M248" s="10" t="str">
        <x:v>Broker giao lại nhưng không nhân đôi inbox/job/tác động.</x:v>
      </x:c>
      <x:c r="N248" s="10" t="str">
        <x:v>HTTP request/response đã che token; bản ghi trước/sau tại DB sở hữu; correlationId và log/audit liên quan.</x:v>
      </x:c>
      <x:c r="O248" s="10" t="str">
        <x:v>NFR03; NFR12</x:v>
      </x:c>
      <x:c r="P248" s="10" t="str">
        <x:v>AC19</x:v>
      </x:c>
      <x:c r="Q248" s="10" t="str">
        <x:v>7</x:v>
      </x:c>
      <x:c r="R248" s="10" t="str">
        <x:v>Khôi phục dependency/fault injection nếu có; dùng bộ ID mới cho ca kế tiếp. Không xóa lịch sử/audit bằng API nghiệp vụ.</x:v>
      </x:c>
      <x:c r="S248" s="11" t="str"/>
      <x:c r="T248" s="11" t="str"/>
      <x:c r="U248" s="11" t="str"/>
      <x:c r="V248" s="11" t="str"/>
      <x:c r="W248" s="12"/>
      <x:c r="X248" s="10" t="str">
        <x:v>MSD 3,4,8,11,14; API07 health</x:v>
      </x:c>
    </x:row>
    <x:row r="249" ht="52" customHeight="1">
      <x:c r="A249" s="9" t="str">
        <x:v>TC13-INFRA-016</x:v>
      </x:c>
      <x:c r="B249" s="9" t="str">
        <x:v>INFRA</x:v>
      </x:c>
      <x:c r="C249" s="9" t="str">
        <x:v>Poison message và DLQ</x:v>
      </x:c>
      <x:c r="D249" s="9" t="str">
        <x:v>P0</x:v>
      </x:c>
      <x:c r="E249" s="9" t="str">
        <x:v>NEEDS_DECISION</x:v>
      </x:c>
      <x:c r="F249" s="9" t="str">
        <x:v>NOT_RUN</x:v>
      </x:c>
      <x:c r="G249" s="9" t="str">
        <x:v>D08,D09</x:v>
      </x:c>
      <x:c r="H249" s="9" t="str">
        <x:v>INTEGRATION</x:v>
      </x:c>
      <x:c r="I249" s="9" t="str">
        <x:v>Compose; Gateway /health,/ready,/health/services; gRPC; RabbitMQ</x:v>
      </x:c>
      <x:c r="J249" s="9" t="str">
        <x:v>BASE; quyền quản lý riêng Compose project CAB, runtime DB roles và công cụ quan sát.</x:v>
      </x:c>
      <x:c r="K249" s="9" t="str">
        <x:v>Schema sai hoặc lỗi quá retry budget</x:v>
      </x:c>
      <x:c r="L249" s="9" t="str">
        <x:v>1. Consume rồi kiểm DLQ và replay có kiểm soát</x:v>
      </x:c>
      <x:c r="M249" s="9" t="str">
        <x:v>Không requeue tức thời vô hạn; giữ lỗi bền vững/eventId gốc; chính sách retry phải duyệt.</x:v>
      </x:c>
      <x:c r="N249" s="9" t="str">
        <x:v>HTTP request/response đã che token; bản ghi trước/sau tại DB sở hữu; correlationId và log/audit liên quan.</x:v>
      </x:c>
      <x:c r="O249" s="9" t="str">
        <x:v>NFR03; NFR12</x:v>
      </x:c>
      <x:c r="P249" s="9" t="str">
        <x:v>AC19</x:v>
      </x:c>
      <x:c r="Q249" s="9" t="str">
        <x:v>7</x:v>
      </x:c>
      <x:c r="R249" s="9" t="str">
        <x:v>Khôi phục dependency/fault injection nếu có; dùng bộ ID mới cho ca kế tiếp. Không xóa lịch sử/audit bằng API nghiệp vụ.</x:v>
      </x:c>
      <x:c r="S249" s="11" t="str"/>
      <x:c r="T249" s="11" t="str"/>
      <x:c r="U249" s="11" t="str"/>
      <x:c r="V249" s="11" t="str"/>
      <x:c r="W249" s="12"/>
      <x:c r="X249" s="9" t="str">
        <x:v>MSD 3,4,8,11,14; API07 health</x:v>
      </x:c>
    </x:row>
    <x:row r="250" ht="52" customHeight="1">
      <x:c r="A250" s="10" t="str">
        <x:v>TC13-INFRA-017</x:v>
      </x:c>
      <x:c r="B250" s="10" t="str">
        <x:v>INFRA</x:v>
      </x:c>
      <x:c r="C250" s="10" t="str">
        <x:v>Restart giữ deadline dispatch</x:v>
      </x:c>
      <x:c r="D250" s="10" t="str">
        <x:v>P0</x:v>
      </x:c>
      <x:c r="E250" s="10" t="str">
        <x:v>DEFINED</x:v>
      </x:c>
      <x:c r="F250" s="10" t="str">
        <x:v>NOT_RUN</x:v>
      </x:c>
      <x:c r="G250" s="10" t="str"/>
      <x:c r="H250" s="10" t="str">
        <x:v>INTEGRATION</x:v>
      </x:c>
      <x:c r="I250" s="10" t="str">
        <x:v>Compose; Gateway /health,/ready,/health/services; gRPC; RabbitMQ</x:v>
      </x:c>
      <x:c r="J250" s="10" t="str">
        <x:v>BASE; quyền quản lý riêng Compose project CAB, runtime DB roles và công cụ quan sát.</x:v>
      </x:c>
      <x:c r="K250" s="10" t="str">
        <x:v>Process đã chạy 100s và 3 offers</x:v>
      </x:c>
      <x:c r="L250" s="10" t="str">
        <x:v>1. Restart Booking worker</x:v>
      </x:c>
      <x:c r="M250" s="10" t="str">
        <x:v>Giữ deadlineAt/attemptCount/attemptedDriverIds; không bắt đầu lại 180s/5 lượt.</x:v>
      </x:c>
      <x:c r="N250" s="10" t="str">
        <x:v>HTTP request/response đã che token; bản ghi trước/sau tại DB sở hữu; correlationId và log/audit liên quan.</x:v>
      </x:c>
      <x:c r="O250" s="10" t="str">
        <x:v>FR04; FR06; NFR03</x:v>
      </x:c>
      <x:c r="P250" s="10" t="str">
        <x:v>UC03; AC03</x:v>
      </x:c>
      <x:c r="Q250" s="10" t="str">
        <x:v>15</x:v>
      </x:c>
      <x:c r="R250" s="10" t="str">
        <x:v>Khôi phục dependency/fault injection nếu có; dùng bộ ID mới cho ca kế tiếp. Không xóa lịch sử/audit bằng API nghiệp vụ.</x:v>
      </x:c>
      <x:c r="S250" s="11" t="str"/>
      <x:c r="T250" s="11" t="str"/>
      <x:c r="U250" s="11" t="str"/>
      <x:c r="V250" s="11" t="str"/>
      <x:c r="W250" s="12"/>
      <x:c r="X250" s="10" t="str">
        <x:v>MSD 3,4,8,11,14; API07 health</x:v>
      </x:c>
    </x:row>
    <x:row r="251" ht="52" customHeight="1">
      <x:c r="A251" s="9" t="str">
        <x:v>TC13-INFRA-018</x:v>
      </x:c>
      <x:c r="B251" s="9" t="str">
        <x:v>INFRA</x:v>
      </x:c>
      <x:c r="C251" s="9" t="str">
        <x:v>Backup/restore liên dịch vụ</x:v>
      </x:c>
      <x:c r="D251" s="9" t="str">
        <x:v>P0</x:v>
      </x:c>
      <x:c r="E251" s="9" t="str">
        <x:v>NEEDS_DECISION</x:v>
      </x:c>
      <x:c r="F251" s="9" t="str">
        <x:v>NOT_RUN</x:v>
      </x:c>
      <x:c r="G251" s="9" t="str">
        <x:v>D08</x:v>
      </x:c>
      <x:c r="H251" s="9" t="str">
        <x:v>INTEGRATION</x:v>
      </x:c>
      <x:c r="I251" s="9" t="str">
        <x:v>Compose; Gateway /health,/ready,/health/services; gRPC; RabbitMQ</x:v>
      </x:c>
      <x:c r="J251" s="9" t="str">
        <x:v>BASE; quyền quản lý riêng Compose project CAB, runtime DB roles và công cụ quan sát.</x:v>
      </x:c>
      <x:c r="K251" s="9" t="str">
        <x:v>Dữ liệu tám DB, keys, idempotency, outbox và Payment UNKNOWN</x:v>
      </x:c>
      <x:c r="L251" s="9" t="str">
        <x:v>1. Backup; restore môi trường riêng; chạy phục hồi</x:v>
      </x:c>
      <x:c r="M251" s="9" t="str">
        <x:v>Đọc được PII đúng quyền, liên kết nhất quán, giữ chống trùng và job; không charge lần hai. Lưu bằng chứng restore thực.</x:v>
      </x:c>
      <x:c r="N251" s="9" t="str">
        <x:v>HTTP request/response đã che token; bản ghi trước/sau tại DB sở hữu; correlationId và log/audit liên quan.</x:v>
      </x:c>
      <x:c r="O251" s="9" t="str">
        <x:v>NFR10; NFR03; NFR05</x:v>
      </x:c>
      <x:c r="P251" s="9" t="str">
        <x:v>AC19; AC20</x:v>
      </x:c>
      <x:c r="Q251" s="9" t="str"/>
      <x:c r="R251" s="9" t="str">
        <x:v>Khôi phục dependency/fault injection nếu có; dùng bộ ID mới cho ca kế tiếp. Không xóa lịch sử/audit bằng API nghiệp vụ.</x:v>
      </x:c>
      <x:c r="S251" s="11" t="str"/>
      <x:c r="T251" s="11" t="str"/>
      <x:c r="U251" s="11" t="str"/>
      <x:c r="V251" s="11" t="str"/>
      <x:c r="W251" s="12"/>
      <x:c r="X251" s="9" t="str">
        <x:v>MSD 3,4,8,11,14; API07 health</x:v>
      </x:c>
    </x:row>
    <x:row r="252" ht="52" customHeight="1">
      <x:c r="A252" s="10" t="str">
        <x:v>TC13-INFRA-019</x:v>
      </x:c>
      <x:c r="B252" s="10" t="str">
        <x:v>INFRA</x:v>
      </x:c>
      <x:c r="C252" s="10" t="str">
        <x:v>Trace audit xuyên service</x:v>
      </x:c>
      <x:c r="D252" s="10" t="str">
        <x:v>P0</x:v>
      </x:c>
      <x:c r="E252" s="10" t="str">
        <x:v>DEFINED</x:v>
      </x:c>
      <x:c r="F252" s="10" t="str">
        <x:v>NOT_RUN</x:v>
      </x:c>
      <x:c r="G252" s="10" t="str"/>
      <x:c r="H252" s="10" t="str">
        <x:v>INTEGRATION</x:v>
      </x:c>
      <x:c r="I252" s="10" t="str">
        <x:v>Compose; Gateway /health,/ready,/health/services; gRPC; RabbitMQ</x:v>
      </x:c>
      <x:c r="J252" s="10" t="str">
        <x:v>BASE; quyền quản lý riêng Compose project CAB, runtime DB roles và công cụ quan sát.</x:v>
      </x:c>
      <x:c r="K252" s="10" t="str">
        <x:v>Đặt xe tới thanh toán và một lỗi RPC</x:v>
      </x:c>
      <x:c r="L252" s="10" t="str">
        <x:v>1. Tra correlationId/operationId/bookingId/tripId</x:v>
      </x:c>
      <x:c r="M252" s="10" t="str">
        <x:v>Theo được các bước; audit commit cục bộ cùng thay đổi; không dựa Analytics để giữ audit.</x:v>
      </x:c>
      <x:c r="N252" s="10" t="str">
        <x:v>HTTP request/response đã che token; bản ghi trước/sau tại DB sở hữu; correlationId và log/audit liên quan.</x:v>
      </x:c>
      <x:c r="O252" s="10" t="str">
        <x:v>NFR06</x:v>
      </x:c>
      <x:c r="P252" s="10" t="str">
        <x:v>AC19</x:v>
      </x:c>
      <x:c r="Q252" s="10" t="str">
        <x:v>4</x:v>
      </x:c>
      <x:c r="R252" s="10" t="str">
        <x:v>Khôi phục dependency/fault injection nếu có; dùng bộ ID mới cho ca kế tiếp. Không xóa lịch sử/audit bằng API nghiệp vụ.</x:v>
      </x:c>
      <x:c r="S252" s="11" t="str"/>
      <x:c r="T252" s="11" t="str"/>
      <x:c r="U252" s="11" t="str"/>
      <x:c r="V252" s="11" t="str"/>
      <x:c r="W252" s="12"/>
      <x:c r="X252" s="10" t="str">
        <x:v>MSD 3,4,8,11,14; API07 health</x:v>
      </x:c>
    </x:row>
    <x:row r="253" ht="52" customHeight="1">
      <x:c r="A253" s="9" t="str">
        <x:v>TC13-E2E-001</x:v>
      </x:c>
      <x:c r="B253" s="9" t="str">
        <x:v>E2E</x:v>
      </x:c>
      <x:c r="C253" s="9" t="str">
        <x:v>Luồng đặt xe và CASH</x:v>
      </x:c>
      <x:c r="D253" s="9" t="str">
        <x:v>P0</x:v>
      </x:c>
      <x:c r="E253" s="9" t="str">
        <x:v>DEFINED</x:v>
      </x:c>
      <x:c r="F253" s="9" t="str">
        <x:v>NOT_RUN</x:v>
      </x:c>
      <x:c r="G253" s="9" t="str"/>
      <x:c r="H253" s="9" t="str">
        <x:v>E2E</x:v>
      </x:c>
      <x:c r="I253" s="9" t="str">
        <x:v>Gateway API01–08</x:v>
      </x:c>
      <x:c r="J253" s="9" t="str">
        <x:v>BASE; dữ liệu độc lập từng luồng; ghi toàn bộ ID và correlationId, không dùng dữ liệu ca trước làm tiền điều kiện ngầm.</x:v>
      </x:c>
      <x:c r="K253" s="9" t="str">
        <x:v>C_A,D_A đủ điều kiện; metrics fixture đã xác nhận</x:v>
      </x:c>
      <x:c r="L253" s="9" t="str">
        <x:v>1. Login; tạo Booking; accept; chạy đủ trạng thái; đợi metrics/Fare; tạo CASH; D_A confirm; Rating</x:v>
      </x:c>
      <x:c r="M253" s="9" t="str">
        <x:v>Một Booking/Trip/Fare/Payment/Rating; Payment SUCCESS; Trip COMPLETED; release đúng; Notification không trùng. Metrics fixture chỉ chứng minh tích hợp.</x:v>
      </x:c>
      <x:c r="N253" s="9" t="str">
        <x:v>HTTP request/response đã che token; bản ghi trước/sau tại DB sở hữu; correlationId và log/audit liên quan.</x:v>
      </x:c>
      <x:c r="O253" s="9" t="str">
        <x:v>FR01; FR02; FR03; FR05; FR08; FR10; FR11; FR12; FR13; FR16</x:v>
      </x:c>
      <x:c r="P253" s="9" t="str">
        <x:v>UC01; UC02; UC05; UC06; UC07; UC08; UC15; AC01; AC02; AC03; AC05; AC06; AC07; AC13</x:v>
      </x:c>
      <x:c r="Q253" s="9" t="str">
        <x:v>9,10,15,16,17,19,20</x:v>
      </x:c>
      <x:c r="R253" s="9" t="str">
        <x:v>Khôi phục dependency/fault injection nếu có; dùng bộ ID mới cho ca kế tiếp. Không xóa lịch sử/audit bằng API nghiệp vụ.</x:v>
      </x:c>
      <x:c r="S253" s="11" t="str"/>
      <x:c r="T253" s="11" t="str"/>
      <x:c r="U253" s="11" t="str"/>
      <x:c r="V253" s="11" t="str"/>
      <x:c r="W253" s="12"/>
      <x:c r="X253" s="9" t="str">
        <x:v>SRS BP01–BP04,BP06; API01–08</x:v>
      </x:c>
    </x:row>
    <x:row r="254" ht="52" customHeight="1">
      <x:c r="A254" s="10" t="str">
        <x:v>TC13-E2E-002</x:v>
      </x:c>
      <x:c r="B254" s="10" t="str">
        <x:v>E2E</x:v>
      </x:c>
      <x:c r="C254" s="10" t="str">
        <x:v>Luồng online sandbox</x:v>
      </x:c>
      <x:c r="D254" s="10" t="str">
        <x:v>P0</x:v>
      </x:c>
      <x:c r="E254" s="10" t="str">
        <x:v>NEEDS_DECISION</x:v>
      </x:c>
      <x:c r="F254" s="10" t="str">
        <x:v>NOT_RUN</x:v>
      </x:c>
      <x:c r="G254" s="10" t="str">
        <x:v>D02,D03</x:v>
      </x:c>
      <x:c r="H254" s="10" t="str">
        <x:v>E2E</x:v>
      </x:c>
      <x:c r="I254" s="10" t="str">
        <x:v>Gateway API01–08</x:v>
      </x:c>
      <x:c r="J254" s="10" t="str">
        <x:v>BASE; dữ liệu độc lập từng luồng; ghi toàn bộ ID và correlationId, không dùng dữ liệu ca trước làm tiền điều kiện ngầm.</x:v>
      </x:c>
      <x:c r="K254" s="10" t="str">
        <x:v>Provider D02 đã chọn; dữ liệu GPS D03 được duyệt</x:v>
      </x:c>
      <x:c r="L254" s="10" t="str">
        <x:v>1. Đặt xe tới hoàn thành; thanh toán sandbox; callback; đọc Payment; Rating</x:v>
      </x:c>
      <x:c r="M254" s="10" t="str">
        <x:v>Luồng online thật kết thúc SUCCESS, không charge trùng; có bằng chứng provider và cước đúng; không lấy mock thay integration.</x:v>
      </x:c>
      <x:c r="N254" s="10" t="str">
        <x:v>HTTP request/response đã che token; bản ghi trước/sau tại DB sở hữu; correlationId và log/audit liên quan.</x:v>
      </x:c>
      <x:c r="O254" s="10" t="str">
        <x:v>FR01; FR02; FR03; FR05; FR08; FR10; FR11; FR12; FR13; FR16</x:v>
      </x:c>
      <x:c r="P254" s="10" t="str">
        <x:v>UC01; UC02; UC05; UC06; UC07; UC08; UC15; AC01; AC02; AC03; AC05; AC06; AC07; AC13</x:v>
      </x:c>
      <x:c r="Q254" s="10" t="str">
        <x:v>9,10,15,16,17,19,20</x:v>
      </x:c>
      <x:c r="R254" s="10" t="str">
        <x:v>Khôi phục dependency/fault injection nếu có; dùng bộ ID mới cho ca kế tiếp. Không xóa lịch sử/audit bằng API nghiệp vụ.</x:v>
      </x:c>
      <x:c r="S254" s="11" t="str"/>
      <x:c r="T254" s="11" t="str"/>
      <x:c r="U254" s="11" t="str"/>
      <x:c r="V254" s="11" t="str"/>
      <x:c r="W254" s="12"/>
      <x:c r="X254" s="10" t="str">
        <x:v>SRS BP01–BP04,BP06; API01–08</x:v>
      </x:c>
    </x:row>
    <x:row r="255" ht="52" customHeight="1">
      <x:c r="A255" s="9" t="str">
        <x:v>TC13-E2E-003</x:v>
      </x:c>
      <x:c r="B255" s="9" t="str">
        <x:v>E2E</x:v>
      </x:c>
      <x:c r="C255" s="9" t="str">
        <x:v>Khách hủy trước tài xế nhận</x:v>
      </x:c>
      <x:c r="D255" s="9" t="str">
        <x:v>P0</x:v>
      </x:c>
      <x:c r="E255" s="9" t="str">
        <x:v>DEFINED</x:v>
      </x:c>
      <x:c r="F255" s="9" t="str">
        <x:v>NOT_RUN</x:v>
      </x:c>
      <x:c r="G255" s="9" t="str"/>
      <x:c r="H255" s="9" t="str">
        <x:v>E2E</x:v>
      </x:c>
      <x:c r="I255" s="9" t="str">
        <x:v>Gateway API01–08</x:v>
      </x:c>
      <x:c r="J255" s="9" t="str">
        <x:v>BASE; dữ liệu độc lập từng luồng; ghi toàn bộ ID và correlationId, không dùng dữ liệu ca trước làm tiền điều kiện ngầm.</x:v>
      </x:c>
      <x:c r="K255" s="9" t="str">
        <x:v>Booking đang FINDING_DRIVER</x:v>
      </x:c>
      <x:c r="L255" s="9" t="str">
        <x:v>1. Hủy; Driver thử accept offer cũ; khách đặt lại</x:v>
      </x:c>
      <x:c r="M255" s="9" t="str">
        <x:v>Offer cũ không nhận được; guard cũ đã release trước Booking mới; lý do/thông báo có thể tra cứu.</x:v>
      </x:c>
      <x:c r="N255" s="9" t="str">
        <x:v>HTTP request/response đã che token; bản ghi trước/sau tại DB sở hữu; correlationId và log/audit liên quan.</x:v>
      </x:c>
      <x:c r="O255" s="9" t="str">
        <x:v>FR01; FR02; FR03; FR05; FR08; FR10; FR11; FR12; FR13; FR16</x:v>
      </x:c>
      <x:c r="P255" s="9" t="str">
        <x:v>UC01; UC02; UC05; UC06; UC07; UC08; UC15; AC01; AC02; AC03; AC05; AC06; AC07; AC13</x:v>
      </x:c>
      <x:c r="Q255" s="9" t="str">
        <x:v>9,10,15,16,17,19,20</x:v>
      </x:c>
      <x:c r="R255" s="9" t="str">
        <x:v>Khôi phục dependency/fault injection nếu có; dùng bộ ID mới cho ca kế tiếp. Không xóa lịch sử/audit bằng API nghiệp vụ.</x:v>
      </x:c>
      <x:c r="S255" s="11" t="str"/>
      <x:c r="T255" s="11" t="str"/>
      <x:c r="U255" s="11" t="str"/>
      <x:c r="V255" s="11" t="str"/>
      <x:c r="W255" s="12"/>
      <x:c r="X255" s="9" t="str">
        <x:v>SRS BP01–BP04,BP06; API01–08</x:v>
      </x:c>
    </x:row>
    <x:row r="256" ht="52" customHeight="1">
      <x:c r="A256" s="10" t="str">
        <x:v>TC13-E2E-004</x:v>
      </x:c>
      <x:c r="B256" s="10" t="str">
        <x:v>E2E</x:v>
      </x:c>
      <x:c r="C256" s="10" t="str">
        <x:v>Sự cố giữa hành trình</x:v>
      </x:c>
      <x:c r="D256" s="10" t="str">
        <x:v>P0</x:v>
      </x:c>
      <x:c r="E256" s="10" t="str">
        <x:v>NEEDS_DECISION</x:v>
      </x:c>
      <x:c r="F256" s="10" t="str">
        <x:v>NOT_RUN</x:v>
      </x:c>
      <x:c r="G256" s="10" t="str">
        <x:v>D03</x:v>
      </x:c>
      <x:c r="H256" s="10" t="str">
        <x:v>E2E</x:v>
      </x:c>
      <x:c r="I256" s="10" t="str">
        <x:v>Gateway API01–08</x:v>
      </x:c>
      <x:c r="J256" s="10" t="str">
        <x:v>BASE; dữ liệu độc lập từng luồng; ghi toàn bộ ID và correlationId, không dùng dữ liệu ca trước làm tiền điều kiện ngầm.</x:v>
      </x:c>
      <x:c r="K256" s="10" t="str">
        <x:v>Trip IN_PROGRESS</x:v>
      </x:c>
      <x:c r="L256" s="10" t="str">
        <x:v>1. Báo ERROR; kiểm guard; O_A restore; hoàn thành</x:v>
      </x:c>
      <x:c r="M256" s="10" t="str">
        <x:v>Giữ tài nguyên khi ERROR, không reset startedAt; hoàn thành và release an toàn; cước phải theo chính sách ERROR được duyệt.</x:v>
      </x:c>
      <x:c r="N256" s="10" t="str">
        <x:v>HTTP request/response đã che token; bản ghi trước/sau tại DB sở hữu; correlationId và log/audit liên quan.</x:v>
      </x:c>
      <x:c r="O256" s="10" t="str">
        <x:v>FR01; FR02; FR03; FR05; FR08; FR10; FR11; FR12; FR13; FR16</x:v>
      </x:c>
      <x:c r="P256" s="10" t="str">
        <x:v>UC01; UC02; UC05; UC06; UC07; UC08; UC15; AC01; AC02; AC03; AC05; AC06; AC07; AC13</x:v>
      </x:c>
      <x:c r="Q256" s="10" t="str">
        <x:v>9,10,15,16,17,19,20</x:v>
      </x:c>
      <x:c r="R256" s="10" t="str">
        <x:v>Khôi phục dependency/fault injection nếu có; dùng bộ ID mới cho ca kế tiếp. Không xóa lịch sử/audit bằng API nghiệp vụ.</x:v>
      </x:c>
      <x:c r="S256" s="11" t="str"/>
      <x:c r="T256" s="11" t="str"/>
      <x:c r="U256" s="11" t="str"/>
      <x:c r="V256" s="11" t="str"/>
      <x:c r="W256" s="12"/>
      <x:c r="X256" s="10" t="str">
        <x:v>SRS BP01–BP04,BP06; API01–08</x:v>
      </x:c>
    </x:row>
    <x:row r="257" ht="52" customHeight="1">
      <x:c r="A257" s="9" t="str">
        <x:v>TC13-E2E-005</x:v>
      </x:c>
      <x:c r="B257" s="9" t="str">
        <x:v>E2E</x:v>
      </x:c>
      <x:c r="C257" s="9" t="str">
        <x:v>Đóng bất thường rồi đặt mới</x:v>
      </x:c>
      <x:c r="D257" s="9" t="str">
        <x:v>P0</x:v>
      </x:c>
      <x:c r="E257" s="9" t="str">
        <x:v>DEFINED</x:v>
      </x:c>
      <x:c r="F257" s="9" t="str">
        <x:v>NOT_RUN</x:v>
      </x:c>
      <x:c r="G257" s="9" t="str"/>
      <x:c r="H257" s="9" t="str">
        <x:v>E2E</x:v>
      </x:c>
      <x:c r="I257" s="9" t="str">
        <x:v>Gateway API01–08</x:v>
      </x:c>
      <x:c r="J257" s="9" t="str">
        <x:v>BASE; dữ liệu độc lập từng luồng; ghi toàn bộ ID và correlationId, không dùng dữ liệu ca trước làm tiền điều kiện ngầm.</x:v>
      </x:c>
      <x:c r="K257" s="9" t="str">
        <x:v>Trip ERROR</x:v>
      </x:c>
      <x:c r="L257" s="9" t="str">
        <x:v>1. O_A close abnormally; chờ closure; C_A đặt mới</x:v>
      </x:c>
      <x:c r="M257" s="9" t="str">
        <x:v>Trip cũ giữ ERROR+closedAt, không tự Fare/Payment; quyền cũ giải phóng đúng trước chuyến mới.</x:v>
      </x:c>
      <x:c r="N257" s="9" t="str">
        <x:v>HTTP request/response đã che token; bản ghi trước/sau tại DB sở hữu; correlationId và log/audit liên quan.</x:v>
      </x:c>
      <x:c r="O257" s="9" t="str">
        <x:v>FR01; FR02; FR03; FR05; FR08; FR10; FR11; FR12; FR13; FR16</x:v>
      </x:c>
      <x:c r="P257" s="9" t="str">
        <x:v>UC01; UC02; UC05; UC06; UC07; UC08; UC15; AC01; AC02; AC03; AC05; AC06; AC07; AC13</x:v>
      </x:c>
      <x:c r="Q257" s="9" t="str">
        <x:v>9,10,15,16,17,19,20</x:v>
      </x:c>
      <x:c r="R257" s="9" t="str">
        <x:v>Khôi phục dependency/fault injection nếu có; dùng bộ ID mới cho ca kế tiếp. Không xóa lịch sử/audit bằng API nghiệp vụ.</x:v>
      </x:c>
      <x:c r="S257" s="11" t="str"/>
      <x:c r="T257" s="11" t="str"/>
      <x:c r="U257" s="11" t="str"/>
      <x:c r="V257" s="11" t="str"/>
      <x:c r="W257" s="12"/>
      <x:c r="X257" s="9" t="str">
        <x:v>SRS BP01–BP04,BP06; API01–08</x:v>
      </x:c>
    </x:row>
    <x:row r="258" ht="52" customHeight="1">
      <x:c r="A258" s="10" t="str">
        <x:v>TC13-PERF-001</x:v>
      </x:c>
      <x:c r="B258" s="10" t="str">
        <x:v>PERF</x:v>
      </x:c>
      <x:c r="C258" s="10" t="str">
        <x:v>Mục tiêu độ trễ API</x:v>
      </x:c>
      <x:c r="D258" s="10" t="str">
        <x:v>P1</x:v>
      </x:c>
      <x:c r="E258" s="10" t="str">
        <x:v>NEEDS_DECISION</x:v>
      </x:c>
      <x:c r="F258" s="10" t="str">
        <x:v>NOT_RUN</x:v>
      </x:c>
      <x:c r="G258" s="10" t="str">
        <x:v>D10</x:v>
      </x:c>
      <x:c r="H258" s="10" t="str">
        <x:v>PERFORMANCE</x:v>
      </x:c>
      <x:c r="I258" s="10" t="str">
        <x:v>Gateway API hồ sơ, Booking, Trip/GPS</x:v>
      </x:c>
      <x:c r="J258" s="10" t="str">
        <x:v>Môi trường tải CAB riêng; ghi CPU/RAM, cấu hình dịch vụ, số liệu trước/sau và phiên bản build.</x:v>
      </x:c>
      <x:c r="K258" s="10" t="str">
        <x:v>50 người đồng thời; 10000 Trip; 10 phút</x:v>
      </x:c>
      <x:c r="L258" s="10" t="str">
        <x:v>1. Chạy kịch bản đọc hồ sơ, tạo Booking độc lập, cập nhật/đọc Trip</x:v>
      </x:c>
      <x:c r="M258" s="10" t="str">
        <x:v>Mục tiêu p95≤1s, lỗi ngoài dự kiến&lt;1%; đo từ Gateway. Báo riêng thời gian operation cuối và chờ Driver/provider; không tính 202 nhanh là hoàn tất.</x:v>
      </x:c>
      <x:c r="N258" s="10" t="str">
        <x:v>HTTP request/response đã che token; bản ghi trước/sau tại DB sở hữu; correlationId và log/audit liên quan.</x:v>
      </x:c>
      <x:c r="O258" s="10" t="str">
        <x:v>NFR01</x:v>
      </x:c>
      <x:c r="P258" s="10" t="str">
        <x:v>AC19</x:v>
      </x:c>
      <x:c r="Q258" s="10" t="str"/>
      <x:c r="R258" s="10" t="str">
        <x:v>Khôi phục dependency/fault injection nếu có; dùng bộ ID mới cho ca kế tiếp. Không xóa lịch sử/audit bằng API nghiệp vụ.</x:v>
      </x:c>
      <x:c r="S258" s="11" t="str"/>
      <x:c r="T258" s="11" t="str"/>
      <x:c r="U258" s="11" t="str"/>
      <x:c r="V258" s="11" t="str"/>
      <x:c r="W258" s="12"/>
      <x:c r="X258" s="10" t="str">
        <x:v>SRS NFR01,NFR09,NFR17; MSD 10.4</x:v>
      </x:c>
    </x:row>
    <x:row r="259" ht="52" customHeight="1">
      <x:c r="A259" s="9" t="str">
        <x:v>TC13-PERF-002</x:v>
      </x:c>
      <x:c r="B259" s="9" t="str">
        <x:v>PERF</x:v>
      </x:c>
      <x:c r="C259" s="9" t="str">
        <x:v>Tải hơn 1000 request mỗi giây</x:v>
      </x:c>
      <x:c r="D259" s="9" t="str">
        <x:v>P1</x:v>
      </x:c>
      <x:c r="E259" s="9" t="str">
        <x:v>NEEDS_DECISION</x:v>
      </x:c>
      <x:c r="F259" s="9" t="str">
        <x:v>NOT_RUN</x:v>
      </x:c>
      <x:c r="G259" s="9" t="str">
        <x:v>D10</x:v>
      </x:c>
      <x:c r="H259" s="9" t="str">
        <x:v>PERFORMANCE</x:v>
      </x:c>
      <x:c r="I259" s="9" t="str">
        <x:v>Gateway API hồ sơ, Booking, Trip/GPS</x:v>
      </x:c>
      <x:c r="J259" s="9" t="str">
        <x:v>Môi trường tải CAB riêng; ghi CPU/RAM, cấu hình dịch vụ, số liệu trước/sau và phiên bản build.</x:v>
      </x:c>
      <x:c r="K259" s="9" t="str">
        <x:v>Kịch bản request hợp lệ được duyệt; máy tạo tải đủ công suất</x:v>
      </x:c>
      <x:c r="L259" s="9" t="str">
        <x:v>1. Tăng offered load &gt;1000 req/s; giữ cửa sổ đo; hạ tải</x:v>
      </x:c>
      <x:c r="M259" s="9" t="str">
        <x:v>Báo offered/achieved throughput, 429, p95/p99, lỗi khác, CPU/RAM và phục hồi; 429 do limiter; không tự kết luận đạt nếu máy phát tải không đủ.</x:v>
      </x:c>
      <x:c r="N259" s="9" t="str">
        <x:v>HTTP request/response đã che token; bản ghi trước/sau tại DB sở hữu; correlationId và log/audit liên quan.</x:v>
      </x:c>
      <x:c r="O259" s="9" t="str">
        <x:v>NFR17</x:v>
      </x:c>
      <x:c r="P259" s="9" t="str">
        <x:v>AC20</x:v>
      </x:c>
      <x:c r="Q259" s="9" t="str">
        <x:v>29</x:v>
      </x:c>
      <x:c r="R259" s="9" t="str">
        <x:v>Khôi phục dependency/fault injection nếu có; dùng bộ ID mới cho ca kế tiếp. Không xóa lịch sử/audit bằng API nghiệp vụ.</x:v>
      </x:c>
      <x:c r="S259" s="11" t="str"/>
      <x:c r="T259" s="11" t="str"/>
      <x:c r="U259" s="11" t="str"/>
      <x:c r="V259" s="11" t="str"/>
      <x:c r="W259" s="12"/>
      <x:c r="X259" s="9" t="str">
        <x:v>SRS NFR01,NFR09,NFR17; MSD 10.4</x:v>
      </x:c>
    </x:row>
    <x:row r="260" ht="52" customHeight="1">
      <x:c r="A260" s="10" t="str">
        <x:v>TC13-PERF-003</x:v>
      </x:c>
      <x:c r="B260" s="10" t="str">
        <x:v>PERF</x:v>
      </x:c>
      <x:c r="C260" s="10" t="str">
        <x:v>Độ trễ cập nhật tracking</x:v>
      </x:c>
      <x:c r="D260" s="10" t="str">
        <x:v>P1</x:v>
      </x:c>
      <x:c r="E260" s="10" t="str">
        <x:v>NEEDS_DECISION</x:v>
      </x:c>
      <x:c r="F260" s="10" t="str">
        <x:v>NOT_RUN</x:v>
      </x:c>
      <x:c r="G260" s="10" t="str">
        <x:v>D10</x:v>
      </x:c>
      <x:c r="H260" s="10" t="str">
        <x:v>PERFORMANCE</x:v>
      </x:c>
      <x:c r="I260" s="10" t="str">
        <x:v>Gateway API hồ sơ, Booking, Trip/GPS</x:v>
      </x:c>
      <x:c r="J260" s="10" t="str">
        <x:v>Môi trường tải CAB riêng; ghi CPU/RAM, cấu hình dịch vụ, số liệu trước/sau và phiên bản build.</x:v>
      </x:c>
      <x:c r="K260" s="10" t="str">
        <x:v>Driver gửi GPS mỗi 5s; client theo dõi; mạng bình thường</x:v>
      </x:c>
      <x:c r="L260" s="10" t="str">
        <x:v>1. Ghi timestamp server nhận và thời điểm client thấy mẫu/trạng thái</x:v>
      </x:c>
      <x:c r="M260" s="10" t="str">
        <x:v>Mục tiêu ≥95% cập nhật đã nhận hiện trong 3s; báo mẫu STALE/mất kết nối riêng; không suy ra từ chu kỳ GPS.</x:v>
      </x:c>
      <x:c r="N260" s="10" t="str">
        <x:v>HTTP request/response đã che token; bản ghi trước/sau tại DB sở hữu; correlationId và log/audit liên quan.</x:v>
      </x:c>
      <x:c r="O260" s="10" t="str">
        <x:v>NFR09</x:v>
      </x:c>
      <x:c r="P260" s="10" t="str">
        <x:v>AC04</x:v>
      </x:c>
      <x:c r="Q260" s="10" t="str">
        <x:v>17</x:v>
      </x:c>
      <x:c r="R260" s="10" t="str">
        <x:v>Khôi phục dependency/fault injection nếu có; dùng bộ ID mới cho ca kế tiếp. Không xóa lịch sử/audit bằng API nghiệp vụ.</x:v>
      </x:c>
      <x:c r="S260" s="11" t="str"/>
      <x:c r="T260" s="11" t="str"/>
      <x:c r="U260" s="11" t="str"/>
      <x:c r="V260" s="11" t="str"/>
      <x:c r="W260" s="12"/>
      <x:c r="X260" s="10" t="str">
        <x:v>SRS NFR01,NFR09,NFR17; MSD 10.4</x:v>
      </x:c>
    </x:row>
    <x:row r="261" ht="52" customHeight="1">
      <x:c r="A261" s="9" t="str">
        <x:v>TC13-SCOPE-001</x:v>
      </x:c>
      <x:c r="B261" s="9" t="str">
        <x:v>SCOPE</x:v>
      </x:c>
      <x:c r="C261" s="9" t="str">
        <x:v>Báo cáo tổng hợp và Analytics</x:v>
      </x:c>
      <x:c r="D261" s="9" t="str">
        <x:v>P2</x:v>
      </x:c>
      <x:c r="E261" s="9" t="str">
        <x:v>OUT_OF_SCOPE</x:v>
      </x:c>
      <x:c r="F261" s="9" t="str">
        <x:v>NOT_RUN</x:v>
      </x:c>
      <x:c r="G261" s="9" t="str"/>
      <x:c r="H261" s="9" t="str">
        <x:v>SCOPE</x:v>
      </x:c>
      <x:c r="I261" s="9" t="str">
        <x:v>Ngoài MVP</x:v>
      </x:c>
      <x:c r="J261" s="9" t="str">
        <x:v>Không triển khai mặc định trong baseline tám MS.</x:v>
      </x:c>
      <x:c r="K261" s="9" t="str">
        <x:v>Không áp dụng</x:v>
      </x:c>
      <x:c r="L261" s="9" t="str">
        <x:v>Xác nhận phạm vi khi có yêu cầu mở rộng.</x:v>
      </x:c>
      <x:c r="M261" s="9" t="str">
        <x:v>Không đưa vào tiêu chí PASS bắt buộc MVP. Cần đặc tả mới trước triển khai.</x:v>
      </x:c>
      <x:c r="N261" s="9" t="str">
        <x:v>HTTP request/response đã che token; bản ghi trước/sau tại DB sở hữu; correlationId và log/audit liên quan.</x:v>
      </x:c>
      <x:c r="O261" s="9" t="str">
        <x:v>FR22</x:v>
      </x:c>
      <x:c r="P261" s="9" t="str">
        <x:v>UC16; AC14</x:v>
      </x:c>
      <x:c r="Q261" s="9" t="str"/>
      <x:c r="R261" s="9" t="str">
        <x:v>Khôi phục dependency/fault injection nếu có; dùng bộ ID mới cho ca kế tiếp. Không xóa lịch sử/audit bằng API nghiệp vụ.</x:v>
      </x:c>
      <x:c r="S261" s="11" t="str"/>
      <x:c r="T261" s="11" t="str"/>
      <x:c r="U261" s="11" t="str"/>
      <x:c r="V261" s="11" t="str"/>
      <x:c r="W261" s="12"/>
      <x:c r="X261" s="9" t="str">
        <x:v>SRS 4.3; API07/08</x:v>
      </x:c>
    </x:row>
    <x:row r="262" ht="52" customHeight="1">
      <x:c r="A262" s="10" t="str">
        <x:v>TC13-SCOPE-002</x:v>
      </x:c>
      <x:c r="B262" s="10" t="str">
        <x:v>SCOPE</x:v>
      </x:c>
      <x:c r="C262" s="10" t="str">
        <x:v>Voucher, phí hủy, hoàn tiền tự động</x:v>
      </x:c>
      <x:c r="D262" s="10" t="str">
        <x:v>P2</x:v>
      </x:c>
      <x:c r="E262" s="10" t="str">
        <x:v>OUT_OF_SCOPE</x:v>
      </x:c>
      <x:c r="F262" s="10" t="str">
        <x:v>NOT_RUN</x:v>
      </x:c>
      <x:c r="G262" s="10" t="str"/>
      <x:c r="H262" s="10" t="str">
        <x:v>SCOPE</x:v>
      </x:c>
      <x:c r="I262" s="10" t="str">
        <x:v>Ngoài MVP</x:v>
      </x:c>
      <x:c r="J262" s="10" t="str">
        <x:v>Không triển khai mặc định trong baseline tám MS.</x:v>
      </x:c>
      <x:c r="K262" s="10" t="str">
        <x:v>Không áp dụng</x:v>
      </x:c>
      <x:c r="L262" s="10" t="str">
        <x:v>Xác nhận phạm vi khi có yêu cầu mở rộng.</x:v>
      </x:c>
      <x:c r="M262" s="10" t="str">
        <x:v>Không đưa vào tiêu chí PASS bắt buộc MVP. Cần đặc tả mới trước triển khai.</x:v>
      </x:c>
      <x:c r="N262" s="10" t="str">
        <x:v>HTTP request/response đã che token; bản ghi trước/sau tại DB sở hữu; correlationId và log/audit liên quan.</x:v>
      </x:c>
      <x:c r="O262" s="10" t="str">
        <x:v>SRS 4.3</x:v>
      </x:c>
      <x:c r="P262" s="10" t="str"/>
      <x:c r="Q262" s="10" t="str"/>
      <x:c r="R262" s="10" t="str">
        <x:v>Khôi phục dependency/fault injection nếu có; dùng bộ ID mới cho ca kế tiếp. Không xóa lịch sử/audit bằng API nghiệp vụ.</x:v>
      </x:c>
      <x:c r="S262" s="11" t="str"/>
      <x:c r="T262" s="11" t="str"/>
      <x:c r="U262" s="11" t="str"/>
      <x:c r="V262" s="11" t="str"/>
      <x:c r="W262" s="12"/>
      <x:c r="X262" s="10" t="str">
        <x:v>SRS 4.3; API07/08</x:v>
      </x:c>
    </x:row>
    <x:row r="263" ht="52" customHeight="1">
      <x:c r="A263" s="9" t="str">
        <x:v>TC13-SCOPE-003</x:v>
      </x:c>
      <x:c r="B263" s="9" t="str">
        <x:v>SCOPE</x:v>
      </x:c>
      <x:c r="C263" s="9" t="str">
        <x:v>Sửa/xóa Rating và điểm trung bình Driver</x:v>
      </x:c>
      <x:c r="D263" s="9" t="str">
        <x:v>P2</x:v>
      </x:c>
      <x:c r="E263" s="9" t="str">
        <x:v>OUT_OF_SCOPE</x:v>
      </x:c>
      <x:c r="F263" s="9" t="str">
        <x:v>NOT_RUN</x:v>
      </x:c>
      <x:c r="G263" s="9" t="str"/>
      <x:c r="H263" s="9" t="str">
        <x:v>SCOPE</x:v>
      </x:c>
      <x:c r="I263" s="9" t="str">
        <x:v>Ngoài MVP</x:v>
      </x:c>
      <x:c r="J263" s="9" t="str">
        <x:v>Không triển khai mặc định trong baseline tám MS.</x:v>
      </x:c>
      <x:c r="K263" s="9" t="str">
        <x:v>Không áp dụng</x:v>
      </x:c>
      <x:c r="L263" s="9" t="str">
        <x:v>Xác nhận phạm vi khi có yêu cầu mở rộng.</x:v>
      </x:c>
      <x:c r="M263" s="9" t="str">
        <x:v>Không đưa vào tiêu chí PASS bắt buộc MVP. Cần đặc tả mới trước triển khai.</x:v>
      </x:c>
      <x:c r="N263" s="9" t="str">
        <x:v>HTTP request/response đã che token; bản ghi trước/sau tại DB sở hữu; correlationId và log/audit liên quan.</x:v>
      </x:c>
      <x:c r="O263" s="9" t="str">
        <x:v>API08 phạm vi</x:v>
      </x:c>
      <x:c r="P263" s="9" t="str"/>
      <x:c r="Q263" s="9" t="str"/>
      <x:c r="R263" s="9" t="str">
        <x:v>Khôi phục dependency/fault injection nếu có; dùng bộ ID mới cho ca kế tiếp. Không xóa lịch sử/audit bằng API nghiệp vụ.</x:v>
      </x:c>
      <x:c r="S263" s="11" t="str"/>
      <x:c r="T263" s="11" t="str"/>
      <x:c r="U263" s="11" t="str"/>
      <x:c r="V263" s="11" t="str"/>
      <x:c r="W263" s="12"/>
      <x:c r="X263" s="9" t="str">
        <x:v>SRS 4.3; API07/08</x:v>
      </x:c>
    </x:row>
    <x:row r="264" ht="52" customHeight="1">
      <x:c r="A264" s="10" t="str">
        <x:v>TC13-SCOPE-004</x:v>
      </x:c>
      <x:c r="B264" s="10" t="str">
        <x:v>SCOPE</x:v>
      </x:c>
      <x:c r="C264" s="10" t="str">
        <x:v>Nộp lại hồ sơ Driver bị từ chối</x:v>
      </x:c>
      <x:c r="D264" s="10" t="str">
        <x:v>P2</x:v>
      </x:c>
      <x:c r="E264" s="10" t="str">
        <x:v>OUT_OF_SCOPE</x:v>
      </x:c>
      <x:c r="F264" s="10" t="str">
        <x:v>NOT_RUN</x:v>
      </x:c>
      <x:c r="G264" s="10" t="str"/>
      <x:c r="H264" s="10" t="str">
        <x:v>SCOPE</x:v>
      </x:c>
      <x:c r="I264" s="10" t="str">
        <x:v>Ngoài MVP</x:v>
      </x:c>
      <x:c r="J264" s="10" t="str">
        <x:v>Không triển khai mặc định trong baseline tám MS.</x:v>
      </x:c>
      <x:c r="K264" s="10" t="str">
        <x:v>Không áp dụng</x:v>
      </x:c>
      <x:c r="L264" s="10" t="str">
        <x:v>Xác nhận phạm vi khi có yêu cầu mở rộng.</x:v>
      </x:c>
      <x:c r="M264" s="10" t="str">
        <x:v>Không đưa vào tiêu chí PASS bắt buộc MVP. Cần đặc tả mới trước triển khai.</x:v>
      </x:c>
      <x:c r="N264" s="10" t="str">
        <x:v>HTTP request/response đã che token; bản ghi trước/sau tại DB sở hữu; correlationId và log/audit liên quan.</x:v>
      </x:c>
      <x:c r="O264" s="10" t="str">
        <x:v>API07 phạm vi</x:v>
      </x:c>
      <x:c r="P264" s="10" t="str"/>
      <x:c r="Q264" s="10" t="str"/>
      <x:c r="R264" s="10" t="str">
        <x:v>Khôi phục dependency/fault injection nếu có; dùng bộ ID mới cho ca kế tiếp. Không xóa lịch sử/audit bằng API nghiệp vụ.</x:v>
      </x:c>
      <x:c r="S264" s="11" t="str"/>
      <x:c r="T264" s="11" t="str"/>
      <x:c r="U264" s="11" t="str"/>
      <x:c r="V264" s="11" t="str"/>
      <x:c r="W264" s="12"/>
      <x:c r="X264" s="10" t="str">
        <x:v>SRS 4.3; API07/08</x:v>
      </x:c>
    </x:row>
    <x:row r="265" ht="94" customHeight="1">
      <x:c r="A265" s="9" t="str">
        <x:v>TC13-API-001</x:v>
      </x:c>
      <x:c r="B265" s="9" t="str">
        <x:v>API</x:v>
      </x:c>
      <x:c r="C265" s="9" t="str">
        <x:v>Đăng ký tài khoản khách hàng — hợp đồng cơ sở</x:v>
      </x:c>
      <x:c r="D265" s="9" t="str">
        <x:v>P1</x:v>
      </x:c>
      <x:c r="E265" s="9" t="str">
        <x:v>NEEDS_DECISION</x:v>
      </x:c>
      <x:c r="F265" s="9" t="str">
        <x:v>NOT_RUN</x:v>
      </x:c>
      <x:c r="G265" s="9" t="str">
        <x:v>D05</x:v>
      </x:c>
      <x:c r="H265" s="9" t="str">
        <x:v>CONTRACT</x:v>
      </x:c>
      <x:c r="I265" s="9" t="str">
        <x:v>POST /auth/register</x:v>
      </x:c>
      <x:c r="J265" s="9" t="str">
        <x:v>BASE. Anonymous; email/phone mới; password ≥8 ký tự; recovery proof/key tạo trước POST.</x:v>
      </x:c>
      <x:c r="K265" s="9" t="str">
        <x:v>Fixture BASE và đối tượng đúng trạng thái nêu trong điều kiện. Body mẫu (thay placeholder bằng dữ liệu thực): {"fullName": "Nguyễn Văn An", "email": "an@example.com", "phone": "+84901234567", "password": "CabTest!2026"} Header bắt buộc: Idempotency-Key, Registration-Recovery-Token.</x:v>
      </x:c>
      <x:c r="L265" s="9" t="str">
        <x:v>1. Chuẩn bị fixture đúng vai trò/chủ thể và trạng thái trong mô tả; đọc version nếu lệnh yêu cầu.
2. Gọi POST /auth/register qua Gateway (/v1, riêng health ở gốc).
3. Kiểm tra status, response schema, headers và tác động tại owner.
4. Nếu trả operation, tra cứu bằng đúng proof. Payment dùng GET Payment/attempt; OTP 202 chỉ tiếp nhận gửi mã.</x:v>
      </x:c>
      <x:c r="M265" s="9" t="str">
        <x:v>201: Đã tạo tài khoản khách hàng; chưa đăng nhập.
202: Đã ghi nhận đăng ký bền vững; hồ sơ Customer chưa hoàn tất. Theo dõi Location hoặc retry cùng key/token/payload.
Response đúng required/type/enum/oneOf của YAML, không trường bí mật; đọc không tạo tác động ghi ngoài quy tắc endpoint.</x:v>
      </x:c>
      <x:c r="N265" s="9" t="str">
        <x:v>HTTP request/response đã che token; bản ghi trước/sau tại DB sở hữu; correlationId và log/audit liên quan.</x:v>
      </x:c>
      <x:c r="O265" s="9" t="str">
        <x:v>FR01</x:v>
      </x:c>
      <x:c r="P265" s="9" t="str">
        <x:v>UC01; AC01</x:v>
      </x:c>
      <x:c r="Q265" s="9" t="str">
        <x:v>9</x:v>
      </x:c>
      <x:c r="R265" s="9" t="str">
        <x:v>Khôi phục dependency/fault injection nếu có; dùng bộ ID mới cho ca kế tiếp. Không xóa lịch sử/audit bằng API nghiệp vụ.</x:v>
      </x:c>
      <x:c r="S265" s="11" t="str"/>
      <x:c r="T265" s="11" t="str"/>
      <x:c r="U265" s="11" t="str"/>
      <x:c r="V265" s="11" t="str"/>
      <x:c r="W265" s="12"/>
      <x:c r="X265" s="9" t="str">
        <x:v>01-auth-customer-api.yaml paths /auth/register post</x:v>
      </x:c>
    </x:row>
    <x:row r="266" ht="94" customHeight="1">
      <x:c r="A266" s="10" t="str">
        <x:v>TC13-API-002</x:v>
      </x:c>
      <x:c r="B266" s="10" t="str">
        <x:v>API</x:v>
      </x:c>
      <x:c r="C266" s="10" t="str">
        <x:v>Đăng nhập cho CUSTOMER, DRIVER hoặc OPERATOR — hợp đồng cơ sở</x:v>
      </x:c>
      <x:c r="D266" s="10" t="str">
        <x:v>P1</x:v>
      </x:c>
      <x:c r="E266" s="10" t="str">
        <x:v>DEFINED</x:v>
      </x:c>
      <x:c r="F266" s="10" t="str">
        <x:v>NOT_RUN</x:v>
      </x:c>
      <x:c r="G266" s="10" t="str"/>
      <x:c r="H266" s="10" t="str">
        <x:v>CONTRACT</x:v>
      </x:c>
      <x:c r="I266" s="10" t="str">
        <x:v>POST /auth/login</x:v>
      </x:c>
      <x:c r="J266" s="10" t="str">
        <x:v>BASE. C_A đã cấp phát đầy đủ; emailOrPhone/password đúng; Account ACTIVE.</x:v>
      </x:c>
      <x:c r="K266" s="10" t="str">
        <x:v>Fixture BASE và đối tượng đúng trạng thái nêu trong điều kiện. Body mẫu (thay placeholder bằng dữ liệu thực): {"emailOrPhone": "an@example.com", "password": "CabTest!2026"}</x:v>
      </x:c>
      <x:c r="L266" s="10" t="str">
        <x:v>1. Chuẩn bị fixture đúng vai trò/chủ thể và trạng thái trong mô tả; đọc version nếu lệnh yêu cầu.
2. Gọi POST /auth/login qua Gateway (/v1, riêng health ở gốc).
3. Kiểm tra status, response schema, headers và tác động tại owner.
4. Nếu trả operation, tra cứu bằng đúng proof. Payment dùng GET Payment/attempt; OTP 202 chỉ tiếp nhận gửi mã.</x:v>
      </x:c>
      <x:c r="M266" s="10" t="str">
        <x:v>200: Đăng nhập thành công và tạo phiên mới.
Response đúng required/type/enum/oneOf của YAML, không trường bí mật; đọc không tạo tác động ghi ngoài quy tắc endpoint.</x:v>
      </x:c>
      <x:c r="N266" s="10" t="str">
        <x:v>HTTP request/response đã che token; bản ghi trước/sau tại DB sở hữu; correlationId và log/audit liên quan.</x:v>
      </x:c>
      <x:c r="O266" s="10" t="str">
        <x:v>FR01</x:v>
      </x:c>
      <x:c r="P266" s="10" t="str">
        <x:v>UC01; AC01</x:v>
      </x:c>
      <x:c r="Q266" s="10" t="str">
        <x:v>10</x:v>
      </x:c>
      <x:c r="R266" s="10" t="str">
        <x:v>Khôi phục dependency/fault injection nếu có; dùng bộ ID mới cho ca kế tiếp. Không xóa lịch sử/audit bằng API nghiệp vụ.</x:v>
      </x:c>
      <x:c r="S266" s="11" t="str"/>
      <x:c r="T266" s="11" t="str"/>
      <x:c r="U266" s="11" t="str"/>
      <x:c r="V266" s="11" t="str"/>
      <x:c r="W266" s="12"/>
      <x:c r="X266" s="10" t="str">
        <x:v>01-auth-customer-api.yaml paths /auth/login post</x:v>
      </x:c>
    </x:row>
    <x:row r="267" ht="94" customHeight="1">
      <x:c r="A267" s="9" t="str">
        <x:v>TC13-API-003</x:v>
      </x:c>
      <x:c r="B267" s="9" t="str">
        <x:v>API</x:v>
      </x:c>
      <x:c r="C267" s="9" t="str">
        <x:v>Làm mới token của phiên hiện tại — hợp đồng cơ sở</x:v>
      </x:c>
      <x:c r="D267" s="9" t="str">
        <x:v>P1</x:v>
      </x:c>
      <x:c r="E267" s="9" t="str">
        <x:v>DEFINED</x:v>
      </x:c>
      <x:c r="F267" s="9" t="str">
        <x:v>NOT_RUN</x:v>
      </x:c>
      <x:c r="G267" s="9" t="str"/>
      <x:c r="H267" s="9" t="str">
        <x:v>CONTRACT</x:v>
      </x:c>
      <x:c r="I267" s="9" t="str">
        <x:v>POST /auth/refresh</x:v>
      </x:c>
      <x:c r="J267" s="9" t="str">
        <x:v>BASE. Session C_A còn hiệu lực và refreshToken hiện hành chưa dùng.</x:v>
      </x:c>
      <x:c r="K267" s="9" t="str">
        <x:v>Fixture BASE và đối tượng đúng trạng thái nêu trong điều kiện. Body mẫu (thay placeholder bằng dữ liệu thực): {"refreshToken": "&lt;R_TOKEN&gt;"}</x:v>
      </x:c>
      <x:c r="L267" s="9" t="str">
        <x:v>1. Chuẩn bị fixture đúng vai trò/chủ thể và trạng thái trong mô tả; đọc version nếu lệnh yêu cầu.
2. Gọi POST /auth/refresh qua Gateway (/v1, riêng health ở gốc).
3. Kiểm tra status, response schema, headers và tác động tại owner.
4. Nếu trả operation, tra cứu bằng đúng proof. Payment dùng GET Payment/attempt; OTP 202 chỉ tiếp nhận gửi mã.</x:v>
      </x:c>
      <x:c r="M267" s="9" t="str">
        <x:v>200: Đã thay refresh token và cấp access token mới.
Response đúng required/type/enum/oneOf của YAML, không trường bí mật; đọc không tạo tác động ghi ngoài quy tắc endpoint.</x:v>
      </x:c>
      <x:c r="N267" s="9" t="str">
        <x:v>HTTP request/response đã che token; bản ghi trước/sau tại DB sở hữu; correlationId và log/audit liên quan.</x:v>
      </x:c>
      <x:c r="O267" s="9" t="str">
        <x:v>FR01</x:v>
      </x:c>
      <x:c r="P267" s="9" t="str">
        <x:v>UC01; AC01</x:v>
      </x:c>
      <x:c r="Q267" s="9" t="str">
        <x:v>10</x:v>
      </x:c>
      <x:c r="R267" s="9" t="str">
        <x:v>Khôi phục dependency/fault injection nếu có; dùng bộ ID mới cho ca kế tiếp. Không xóa lịch sử/audit bằng API nghiệp vụ.</x:v>
      </x:c>
      <x:c r="S267" s="11" t="str"/>
      <x:c r="T267" s="11" t="str"/>
      <x:c r="U267" s="11" t="str"/>
      <x:c r="V267" s="11" t="str"/>
      <x:c r="W267" s="12"/>
      <x:c r="X267" s="9" t="str">
        <x:v>01-auth-customer-api.yaml paths /auth/refresh post</x:v>
      </x:c>
    </x:row>
    <x:row r="268" ht="94" customHeight="1">
      <x:c r="A268" s="10" t="str">
        <x:v>TC13-API-004</x:v>
      </x:c>
      <x:c r="B268" s="10" t="str">
        <x:v>API</x:v>
      </x:c>
      <x:c r="C268" s="10" t="str">
        <x:v>Đăng xuất phiên hiện tại — hợp đồng cơ sở</x:v>
      </x:c>
      <x:c r="D268" s="10" t="str">
        <x:v>P1</x:v>
      </x:c>
      <x:c r="E268" s="10" t="str">
        <x:v>DEFINED</x:v>
      </x:c>
      <x:c r="F268" s="10" t="str">
        <x:v>NOT_RUN</x:v>
      </x:c>
      <x:c r="G268" s="10" t="str"/>
      <x:c r="H268" s="10" t="str">
        <x:v>CONTRACT</x:v>
      </x:c>
      <x:c r="I268" s="10" t="str">
        <x:v>POST /auth/logout</x:v>
      </x:c>
      <x:c r="J268" s="10" t="str">
        <x:v>BASE. C_A có Session S1 hợp lệ; giữ S2 để kiểm không bị thu hồi nhầm.</x:v>
      </x:c>
      <x:c r="K268" s="10" t="str">
        <x:v>Fixture BASE và đối tượng đúng trạng thái nêu trong điều kiện. Không gửi body nếu endpoint không nhận body.</x:v>
      </x:c>
      <x:c r="L268" s="10" t="str">
        <x:v>1. Chuẩn bị fixture đúng vai trò/chủ thể và trạng thái trong mô tả; đọc version nếu lệnh yêu cầu.
2. Gọi POST /auth/logout qua Gateway (/v1, riêng health ở gốc).
3. Kiểm tra status, response schema, headers và tác động tại owner.
4. Nếu trả operation, tra cứu bằng đúng proof. Payment dùng GET Payment/attempt; OTP 202 chỉ tiếp nhận gửi mã.</x:v>
      </x:c>
      <x:c r="M268" s="10" t="str">
        <x:v>204: Đã thu hồi phiên hiện tại; không có response body.
Response đúng required/type/enum/oneOf của YAML, không trường bí mật; đọc không tạo tác động ghi ngoài quy tắc endpoint.</x:v>
      </x:c>
      <x:c r="N268" s="10" t="str">
        <x:v>HTTP request/response đã che token; bản ghi trước/sau tại DB sở hữu; correlationId và log/audit liên quan.</x:v>
      </x:c>
      <x:c r="O268" s="10" t="str">
        <x:v>FR01</x:v>
      </x:c>
      <x:c r="P268" s="10" t="str">
        <x:v>UC01; AC01</x:v>
      </x:c>
      <x:c r="Q268" s="10" t="str">
        <x:v>10</x:v>
      </x:c>
      <x:c r="R268" s="10" t="str">
        <x:v>Khôi phục dependency/fault injection nếu có; dùng bộ ID mới cho ca kế tiếp. Không xóa lịch sử/audit bằng API nghiệp vụ.</x:v>
      </x:c>
      <x:c r="S268" s="11" t="str"/>
      <x:c r="T268" s="11" t="str"/>
      <x:c r="U268" s="11" t="str"/>
      <x:c r="V268" s="11" t="str"/>
      <x:c r="W268" s="12"/>
      <x:c r="X268" s="10" t="str">
        <x:v>01-auth-customer-api.yaml paths /auth/logout post</x:v>
      </x:c>
    </x:row>
    <x:row r="269" ht="94" customHeight="1">
      <x:c r="A269" s="9" t="str">
        <x:v>TC13-API-005</x:v>
      </x:c>
      <x:c r="B269" s="9" t="str">
        <x:v>API</x:v>
      </x:c>
      <x:c r="C269" s="9" t="str">
        <x:v>Đổi mật khẩu và thu hồi mọi phiên — hợp đồng cơ sở</x:v>
      </x:c>
      <x:c r="D269" s="9" t="str">
        <x:v>P1</x:v>
      </x:c>
      <x:c r="E269" s="9" t="str">
        <x:v>DEFINED</x:v>
      </x:c>
      <x:c r="F269" s="9" t="str">
        <x:v>NOT_RUN</x:v>
      </x:c>
      <x:c r="G269" s="9" t="str"/>
      <x:c r="H269" s="9" t="str">
        <x:v>CONTRACT</x:v>
      </x:c>
      <x:c r="I269" s="9" t="str">
        <x:v>POST /auth/change-password</x:v>
      </x:c>
      <x:c r="J269" s="9" t="str">
        <x:v>BASE. C_A đăng nhập; currentPassword đúng; mật khẩu mới khác và hợp lệ.</x:v>
      </x:c>
      <x:c r="K269" s="9" t="str">
        <x:v>Fixture BASE và đối tượng đúng trạng thái nêu trong điều kiện. Body mẫu (thay placeholder bằng dữ liệu thực): {"currentPassword": "CabTest!2026", "newPassword": "CabNext!2026"}</x:v>
      </x:c>
      <x:c r="L269" s="9" t="str">
        <x:v>1. Chuẩn bị fixture đúng vai trò/chủ thể và trạng thái trong mô tả; đọc version nếu lệnh yêu cầu.
2. Gọi POST /auth/change-password qua Gateway (/v1, riêng health ở gốc).
3. Kiểm tra status, response schema, headers và tác động tại owner.
4. Nếu trả operation, tra cứu bằng đúng proof. Payment dùng GET Payment/attempt; OTP 202 chỉ tiếp nhận gửi mã.</x:v>
      </x:c>
      <x:c r="M269" s="9" t="str">
        <x:v>204: Đã đổi mật khẩu và thu hồi mọi phiên.
Response đúng required/type/enum/oneOf của YAML, không trường bí mật; đọc không tạo tác động ghi ngoài quy tắc endpoint.</x:v>
      </x:c>
      <x:c r="N269" s="9" t="str">
        <x:v>HTTP request/response đã che token; bản ghi trước/sau tại DB sở hữu; correlationId và log/audit liên quan.</x:v>
      </x:c>
      <x:c r="O269" s="9" t="str">
        <x:v>FR01</x:v>
      </x:c>
      <x:c r="P269" s="9" t="str">
        <x:v>UC01; AC01</x:v>
      </x:c>
      <x:c r="Q269" s="9" t="str">
        <x:v>10</x:v>
      </x:c>
      <x:c r="R269" s="9" t="str">
        <x:v>Khôi phục dependency/fault injection nếu có; dùng bộ ID mới cho ca kế tiếp. Không xóa lịch sử/audit bằng API nghiệp vụ.</x:v>
      </x:c>
      <x:c r="S269" s="11" t="str"/>
      <x:c r="T269" s="11" t="str"/>
      <x:c r="U269" s="11" t="str"/>
      <x:c r="V269" s="11" t="str"/>
      <x:c r="W269" s="12"/>
      <x:c r="X269" s="9" t="str">
        <x:v>01-auth-customer-api.yaml paths /auth/change-password post</x:v>
      </x:c>
    </x:row>
    <x:row r="270" ht="108" customHeight="1">
      <x:c r="A270" s="10" t="str">
        <x:v>TC13-API-006</x:v>
      </x:c>
      <x:c r="B270" s="10" t="str">
        <x:v>API</x:v>
      </x:c>
      <x:c r="C270" s="10" t="str">
        <x:v>Yêu cầu OTP đăng ký tài xế — hợp đồng cơ sở</x:v>
      </x:c>
      <x:c r="D270" s="10" t="str">
        <x:v>P1</x:v>
      </x:c>
      <x:c r="E270" s="10" t="str">
        <x:v>NEEDS_DECISION</x:v>
      </x:c>
      <x:c r="F270" s="10" t="str">
        <x:v>NOT_RUN</x:v>
      </x:c>
      <x:c r="G270" s="10" t="str">
        <x:v>D05</x:v>
      </x:c>
      <x:c r="H270" s="10" t="str">
        <x:v>CONTRACT</x:v>
      </x:c>
      <x:c r="I270" s="10" t="str">
        <x:v>POST /auth/driver-registration/otp</x:v>
      </x:c>
      <x:c r="J270" s="10" t="str">
        <x:v>BASE. Anonymous; P_NEW chưa thuộc Account; đã qua cửa sổ resend/limiter.</x:v>
      </x:c>
      <x:c r="K270" s="10" t="str">
        <x:v>Fixture BASE và đối tượng đúng trạng thái nêu trong điều kiện. Body mẫu (thay placeholder bằng dữ liệu thực): {"phone": "+84901234567"}</x:v>
      </x:c>
      <x:c r="L270" s="10" t="str">
        <x:v>1. Chuẩn bị fixture đúng vai trò/chủ thể và trạng thái trong mô tả; đọc version nếu lệnh yêu cầu.
2. Gọi POST /auth/driver-registration/otp qua Gateway (/v1, riêng health ở gốc).
3. Kiểm tra status, response schema, headers và tác động tại owner.
4. Nếu trả operation, tra cứu bằng đúng proof. Payment dùng GET Payment/attempt; OTP 202 chỉ tiếp nhận gửi mã.</x:v>
      </x:c>
      <x:c r="M270" s="10" t="str">
        <x:v>202: Đã tiếp nhận challenge và công việc gửi OTP.
Response đúng required/type/enum/oneOf của YAML, không trường bí mật; đọc không tạo tác động ghi ngoài quy tắc endpoint.</x:v>
      </x:c>
      <x:c r="N270" s="10" t="str">
        <x:v>HTTP request/response đã che token; bản ghi trước/sau tại DB sở hữu; correlationId và log/audit liên quan.</x:v>
      </x:c>
      <x:c r="O270" s="10" t="str">
        <x:v>FR23</x:v>
      </x:c>
      <x:c r="P270" s="10" t="str">
        <x:v>UC17; AC15</x:v>
      </x:c>
      <x:c r="Q270" s="10" t="str">
        <x:v>21</x:v>
      </x:c>
      <x:c r="R270" s="10" t="str">
        <x:v>Khôi phục dependency/fault injection nếu có; dùng bộ ID mới cho ca kế tiếp. Không xóa lịch sử/audit bằng API nghiệp vụ.</x:v>
      </x:c>
      <x:c r="S270" s="11" t="str"/>
      <x:c r="T270" s="11" t="str"/>
      <x:c r="U270" s="11" t="str"/>
      <x:c r="V270" s="11" t="str"/>
      <x:c r="W270" s="12"/>
      <x:c r="X270" s="10" t="str">
        <x:v>01-auth-customer-api.yaml paths /auth/driver-registration/otp post</x:v>
      </x:c>
    </x:row>
    <x:row r="271" ht="108" customHeight="1">
      <x:c r="A271" s="9" t="str">
        <x:v>TC13-API-007</x:v>
      </x:c>
      <x:c r="B271" s="9" t="str">
        <x:v>API</x:v>
      </x:c>
      <x:c r="C271" s="9" t="str">
        <x:v>Xác minh OTP và cấp quyền gửi hồ sơ tài xế — hợp đồng cơ sở</x:v>
      </x:c>
      <x:c r="D271" s="9" t="str">
        <x:v>P1</x:v>
      </x:c>
      <x:c r="E271" s="9" t="str">
        <x:v>DEFINED</x:v>
      </x:c>
      <x:c r="F271" s="9" t="str">
        <x:v>NOT_RUN</x:v>
      </x:c>
      <x:c r="G271" s="9" t="str"/>
      <x:c r="H271" s="9" t="str">
        <x:v>CONTRACT</x:v>
      </x:c>
      <x:c r="I271" s="9" t="str">
        <x:v>POST /auth/driver-registration/otp/verify</x:v>
      </x:c>
      <x:c r="J271" s="9" t="str">
        <x:v>BASE. Anonymous; challenge còn hạn, chưa verify, chưa vượt số sai; OTP đúng từ kênh test.</x:v>
      </x:c>
      <x:c r="K271" s="9" t="str">
        <x:v>Fixture BASE và đối tượng đúng trạng thái nêu trong điều kiện. Body mẫu (thay placeholder bằng dữ liệu thực): {"challengeId": "&lt;challengeId&gt;", "otp": "&lt;OTP test đã phát&gt;"}</x:v>
      </x:c>
      <x:c r="L271" s="9" t="str">
        <x:v>1. Chuẩn bị fixture đúng vai trò/chủ thể và trạng thái trong mô tả; đọc version nếu lệnh yêu cầu.
2. Gọi POST /auth/driver-registration/otp/verify qua Gateway (/v1, riêng health ở gốc).
3. Kiểm tra status, response schema, headers và tác động tại owner.
4. Nếu trả operation, tra cứu bằng đúng proof. Payment dùng GET Payment/attempt; OTP 202 chỉ tiếp nhận gửi mã.</x:v>
      </x:c>
      <x:c r="M271" s="9" t="str">
        <x:v>200: Số điện thoại đã được xác minh cho mục đích đăng ký tài xế.
Response đúng required/type/enum/oneOf của YAML, không trường bí mật; đọc không tạo tác động ghi ngoài quy tắc endpoint.</x:v>
      </x:c>
      <x:c r="N271" s="9" t="str">
        <x:v>HTTP request/response đã che token; bản ghi trước/sau tại DB sở hữu; correlationId và log/audit liên quan.</x:v>
      </x:c>
      <x:c r="O271" s="9" t="str">
        <x:v>FR23</x:v>
      </x:c>
      <x:c r="P271" s="9" t="str">
        <x:v>UC17; AC15</x:v>
      </x:c>
      <x:c r="Q271" s="9" t="str">
        <x:v>21</x:v>
      </x:c>
      <x:c r="R271" s="9" t="str">
        <x:v>Khôi phục dependency/fault injection nếu có; dùng bộ ID mới cho ca kế tiếp. Không xóa lịch sử/audit bằng API nghiệp vụ.</x:v>
      </x:c>
      <x:c r="S271" s="11" t="str"/>
      <x:c r="T271" s="11" t="str"/>
      <x:c r="U271" s="11" t="str"/>
      <x:c r="V271" s="11" t="str"/>
      <x:c r="W271" s="12"/>
      <x:c r="X271" s="9" t="str">
        <x:v>01-auth-customer-api.yaml paths /auth/driver-registration/otp/verify post</x:v>
      </x:c>
    </x:row>
    <x:row r="272" ht="94" customHeight="1">
      <x:c r="A272" s="10" t="str">
        <x:v>TC13-API-008</x:v>
      </x:c>
      <x:c r="B272" s="10" t="str">
        <x:v>API</x:v>
      </x:c>
      <x:c r="C272" s="10" t="str">
        <x:v>Xem hồ sơ của tài khoản đang đăng nhập — hợp đồng cơ sở</x:v>
      </x:c>
      <x:c r="D272" s="10" t="str">
        <x:v>P1</x:v>
      </x:c>
      <x:c r="E272" s="10" t="str">
        <x:v>DEFINED</x:v>
      </x:c>
      <x:c r="F272" s="10" t="str">
        <x:v>NOT_RUN</x:v>
      </x:c>
      <x:c r="G272" s="10" t="str"/>
      <x:c r="H272" s="10" t="str">
        <x:v>CONTRACT</x:v>
      </x:c>
      <x:c r="I272" s="10" t="str">
        <x:v>GET /accounts/me</x:v>
      </x:c>
      <x:c r="J272" s="10" t="str">
        <x:v>BASE. C_A có Account ACTIVE/Session hợp lệ và Customer profile đã cấp phát.</x:v>
      </x:c>
      <x:c r="K272" s="10" t="str">
        <x:v>Fixture BASE và đối tượng đúng trạng thái nêu trong điều kiện. Không gửi body nếu endpoint không nhận body.</x:v>
      </x:c>
      <x:c r="L272" s="10" t="str">
        <x:v>1. Chuẩn bị fixture đúng vai trò/chủ thể và trạng thái trong mô tả; đọc version nếu lệnh yêu cầu.
2. Gọi GET /accounts/me qua Gateway (/v1, riêng health ở gốc).
3. Kiểm tra status, response schema, headers và tác động tại owner.
4. Nếu trả operation, tra cứu bằng đúng proof. Payment dùng GET Payment/attempt; OTP 202 chỉ tiếp nhận gửi mã.</x:v>
      </x:c>
      <x:c r="M272" s="10" t="str">
        <x:v>200: Hồ sơ của tài khoản đang đăng nhập.
Response đúng required/type/enum/oneOf của YAML, không trường bí mật; đọc không tạo tác động ghi ngoài quy tắc endpoint.</x:v>
      </x:c>
      <x:c r="N272" s="10" t="str">
        <x:v>HTTP request/response đã che token; bản ghi trước/sau tại DB sở hữu; correlationId và log/audit liên quan.</x:v>
      </x:c>
      <x:c r="O272" s="10" t="str">
        <x:v>FR01</x:v>
      </x:c>
      <x:c r="P272" s="10" t="str">
        <x:v>UC01; AC01</x:v>
      </x:c>
      <x:c r="Q272" s="10" t="str">
        <x:v>10</x:v>
      </x:c>
      <x:c r="R272" s="10" t="str">
        <x:v>Khôi phục dependency/fault injection nếu có; dùng bộ ID mới cho ca kế tiếp. Không xóa lịch sử/audit bằng API nghiệp vụ.</x:v>
      </x:c>
      <x:c r="S272" s="11" t="str"/>
      <x:c r="T272" s="11" t="str"/>
      <x:c r="U272" s="11" t="str"/>
      <x:c r="V272" s="11" t="str"/>
      <x:c r="W272" s="12"/>
      <x:c r="X272" s="10" t="str">
        <x:v>01-auth-customer-api.yaml paths /accounts/me get</x:v>
      </x:c>
    </x:row>
    <x:row r="273" ht="94" customHeight="1">
      <x:c r="A273" s="9" t="str">
        <x:v>TC13-API-009</x:v>
      </x:c>
      <x:c r="B273" s="9" t="str">
        <x:v>API</x:v>
      </x:c>
      <x:c r="C273" s="9" t="str">
        <x:v>Cập nhật một phần hồ sơ của chính mình — hợp đồng cơ sở</x:v>
      </x:c>
      <x:c r="D273" s="9" t="str">
        <x:v>P1</x:v>
      </x:c>
      <x:c r="E273" s="9" t="str">
        <x:v>DEFINED</x:v>
      </x:c>
      <x:c r="F273" s="9" t="str">
        <x:v>NOT_RUN</x:v>
      </x:c>
      <x:c r="G273" s="9" t="str"/>
      <x:c r="H273" s="9" t="str">
        <x:v>CONTRACT</x:v>
      </x:c>
      <x:c r="I273" s="9" t="str">
        <x:v>PATCH /accounts/me</x:v>
      </x:c>
      <x:c r="J273" s="9" t="str">
        <x:v>BASE. C_A có Session hợp lệ; fullName mới không trắng. Đổi liên hệ phải có currentPassword.</x:v>
      </x:c>
      <x:c r="K273" s="9" t="str">
        <x:v>Fixture BASE và đối tượng đúng trạng thái nêu trong điều kiện. Body mẫu (thay placeholder bằng dữ liệu thực): {"fullName": "Nguyễn An Test"}</x:v>
      </x:c>
      <x:c r="L273" s="9" t="str">
        <x:v>1. Chuẩn bị fixture đúng vai trò/chủ thể và trạng thái trong mô tả; đọc version nếu lệnh yêu cầu.
2. Gọi PATCH /accounts/me qua Gateway (/v1, riêng health ở gốc).
3. Kiểm tra status, response schema, headers và tác động tại owner.
4. Nếu trả operation, tra cứu bằng đúng proof. Payment dùng GET Payment/attempt; OTP 202 chỉ tiếp nhận gửi mã.</x:v>
      </x:c>
      <x:c r="M273" s="9" t="str">
        <x:v>200: Hồ sơ sau khi cập nhật thành công.
Response đúng required/type/enum/oneOf của YAML, không trường bí mật; đọc không tạo tác động ghi ngoài quy tắc endpoint.</x:v>
      </x:c>
      <x:c r="N273" s="9" t="str">
        <x:v>HTTP request/response đã che token; bản ghi trước/sau tại DB sở hữu; correlationId và log/audit liên quan.</x:v>
      </x:c>
      <x:c r="O273" s="9" t="str">
        <x:v>FR01</x:v>
      </x:c>
      <x:c r="P273" s="9" t="str">
        <x:v>UC01; AC01</x:v>
      </x:c>
      <x:c r="Q273" s="9" t="str">
        <x:v>10</x:v>
      </x:c>
      <x:c r="R273" s="9" t="str">
        <x:v>Khôi phục dependency/fault injection nếu có; dùng bộ ID mới cho ca kế tiếp. Không xóa lịch sử/audit bằng API nghiệp vụ.</x:v>
      </x:c>
      <x:c r="S273" s="11" t="str"/>
      <x:c r="T273" s="11" t="str"/>
      <x:c r="U273" s="11" t="str"/>
      <x:c r="V273" s="11" t="str"/>
      <x:c r="W273" s="12"/>
      <x:c r="X273" s="9" t="str">
        <x:v>01-auth-customer-api.yaml paths /accounts/me patch</x:v>
      </x:c>
    </x:row>
    <x:row r="274" ht="94" customHeight="1">
      <x:c r="A274" s="10" t="str">
        <x:v>TC13-API-010</x:v>
      </x:c>
      <x:c r="B274" s="10" t="str">
        <x:v>API</x:v>
      </x:c>
      <x:c r="C274" s="10" t="str">
        <x:v>Tra cứu hồ sơ khách hàng theo mã — hợp đồng cơ sở</x:v>
      </x:c>
      <x:c r="D274" s="10" t="str">
        <x:v>P1</x:v>
      </x:c>
      <x:c r="E274" s="10" t="str">
        <x:v>DEFINED</x:v>
      </x:c>
      <x:c r="F274" s="10" t="str">
        <x:v>NOT_RUN</x:v>
      </x:c>
      <x:c r="G274" s="10" t="str"/>
      <x:c r="H274" s="10" t="str">
        <x:v>CONTRACT</x:v>
      </x:c>
      <x:c r="I274" s="10" t="str">
        <x:v>GET /customers/{customerId}</x:v>
      </x:c>
      <x:c r="J274" s="10" t="str">
        <x:v>BASE. C_A đọc customerId của mình; fixture O_A dùng để đọc Customer khác.</x:v>
      </x:c>
      <x:c r="K274" s="10" t="str">
        <x:v>Fixture BASE và đối tượng đúng trạng thái nêu trong điều kiện. Không gửi body nếu endpoint không nhận body.</x:v>
      </x:c>
      <x:c r="L274" s="10" t="str">
        <x:v>1. Chuẩn bị fixture đúng vai trò/chủ thể và trạng thái trong mô tả; đọc version nếu lệnh yêu cầu.
2. Gọi GET /customers/{customerId} qua Gateway (/v1, riêng health ở gốc).
3. Kiểm tra status, response schema, headers và tác động tại owner.
4. Nếu trả operation, tra cứu bằng đúng proof. Payment dùng GET Payment/attempt; OTP 202 chỉ tiếp nhận gửi mã.</x:v>
      </x:c>
      <x:c r="M274" s="10" t="str">
        <x:v>200: Hồ sơ Customer thuộc phạm vi được phép.
Response đúng required/type/enum/oneOf của YAML, không trường bí mật; đọc không tạo tác động ghi ngoài quy tắc endpoint.</x:v>
      </x:c>
      <x:c r="N274" s="10" t="str">
        <x:v>HTTP request/response đã che token; bản ghi trước/sau tại DB sở hữu; correlationId và log/audit liên quan.</x:v>
      </x:c>
      <x:c r="O274" s="10" t="str">
        <x:v>FR26</x:v>
      </x:c>
      <x:c r="P274" s="10" t="str">
        <x:v>UC20; AC18</x:v>
      </x:c>
      <x:c r="Q274" s="10" t="str">
        <x:v>11</x:v>
      </x:c>
      <x:c r="R274" s="10" t="str">
        <x:v>Khôi phục dependency/fault injection nếu có; dùng bộ ID mới cho ca kế tiếp. Không xóa lịch sử/audit bằng API nghiệp vụ.</x:v>
      </x:c>
      <x:c r="S274" s="11" t="str"/>
      <x:c r="T274" s="11" t="str"/>
      <x:c r="U274" s="11" t="str"/>
      <x:c r="V274" s="11" t="str"/>
      <x:c r="W274" s="12"/>
      <x:c r="X274" s="10" t="str">
        <x:v>01-auth-customer-api.yaml paths /customers/{customerId} get</x:v>
      </x:c>
    </x:row>
    <x:row r="275" ht="108" customHeight="1">
      <x:c r="A275" s="9" t="str">
        <x:v>TC13-API-011</x:v>
      </x:c>
      <x:c r="B275" s="9" t="str">
        <x:v>API</x:v>
      </x:c>
      <x:c r="C275" s="9" t="str">
        <x:v>Tra cứu tiến trình đăng ký Customer bằng bằng chứng phục hồi — hợp đồng cơ sở</x:v>
      </x:c>
      <x:c r="D275" s="9" t="str">
        <x:v>P1</x:v>
      </x:c>
      <x:c r="E275" s="9" t="str">
        <x:v>DEFINED</x:v>
      </x:c>
      <x:c r="F275" s="9" t="str">
        <x:v>NOT_RUN</x:v>
      </x:c>
      <x:c r="G275" s="9" t="str"/>
      <x:c r="H275" s="9" t="str">
        <x:v>CONTRACT</x:v>
      </x:c>
      <x:c r="I275" s="9" t="str">
        <x:v>GET /auth/customer-registrations/{operationId}</x:v>
      </x:c>
      <x:c r="J275" s="9" t="str">
        <x:v>BASE. Operation của đăng ký Customer đã tiếp nhận; đúng Registration-Recovery-Token.</x:v>
      </x:c>
      <x:c r="K275" s="9" t="str">
        <x:v>Fixture BASE và đối tượng đúng trạng thái nêu trong điều kiện. Không gửi body nếu endpoint không nhận body.</x:v>
      </x:c>
      <x:c r="L275" s="9" t="str">
        <x:v>1. Chuẩn bị fixture đúng vai trò/chủ thể và trạng thái trong mô tả; đọc version nếu lệnh yêu cầu.
2. Gọi GET /auth/customer-registrations/{operationId} qua Gateway (/v1, riêng health ở gốc).
3. Kiểm tra status, response schema, headers và tác động tại owner.
4. Nếu trả operation, tra cứu bằng đúng proof. Payment dùng GET Payment/attempt; OTP 202 chỉ tiếp nhận gửi mã.</x:v>
      </x:c>
      <x:c r="M275" s="9" t="str">
        <x:v>200: Trạng thái tiến trình thuộc bằng chứng phục hồi hợp lệ.
Response đúng required/type/enum/oneOf của YAML, không trường bí mật; đọc không tạo tác động ghi ngoài quy tắc endpoint.</x:v>
      </x:c>
      <x:c r="N275" s="9" t="str">
        <x:v>HTTP request/response đã che token; bản ghi trước/sau tại DB sở hữu; correlationId và log/audit liên quan.</x:v>
      </x:c>
      <x:c r="O275" s="9" t="str">
        <x:v>FR01; FR28; NFR18</x:v>
      </x:c>
      <x:c r="P275" s="9" t="str">
        <x:v>UC01; AC01; UC22; AC21</x:v>
      </x:c>
      <x:c r="Q275" s="9" t="str">
        <x:v>10</x:v>
      </x:c>
      <x:c r="R275" s="9" t="str">
        <x:v>Khôi phục dependency/fault injection nếu có; dùng bộ ID mới cho ca kế tiếp. Không xóa lịch sử/audit bằng API nghiệp vụ.</x:v>
      </x:c>
      <x:c r="S275" s="11" t="str"/>
      <x:c r="T275" s="11" t="str"/>
      <x:c r="U275" s="11" t="str"/>
      <x:c r="V275" s="11" t="str"/>
      <x:c r="W275" s="12"/>
      <x:c r="X275" s="9" t="str">
        <x:v>01-auth-customer-api.yaml paths /auth/customer-registrations/{operationId} get</x:v>
      </x:c>
    </x:row>
    <x:row r="276" ht="94" customHeight="1">
      <x:c r="A276" s="10" t="str">
        <x:v>TC13-API-012</x:v>
      </x:c>
      <x:c r="B276" s="10" t="str">
        <x:v>API</x:v>
      </x:c>
      <x:c r="C276" s="10" t="str">
        <x:v>Liệt kê Booking của khách hàng đang đăng nhập — hợp đồng cơ sở</x:v>
      </x:c>
      <x:c r="D276" s="10" t="str">
        <x:v>P1</x:v>
      </x:c>
      <x:c r="E276" s="10" t="str">
        <x:v>DEFINED</x:v>
      </x:c>
      <x:c r="F276" s="10" t="str">
        <x:v>NOT_RUN</x:v>
      </x:c>
      <x:c r="G276" s="10" t="str"/>
      <x:c r="H276" s="10" t="str">
        <x:v>CONTRACT</x:v>
      </x:c>
      <x:c r="I276" s="10" t="str">
        <x:v>GET /bookings</x:v>
      </x:c>
      <x:c r="J276" s="10" t="str">
        <x:v>BASE. C_A có ≥5 Booking gồm NO_DRIVER_FOUND; limit=2, không truyền customerId.</x:v>
      </x:c>
      <x:c r="K276" s="10" t="str">
        <x:v>Fixture BASE và đối tượng đúng trạng thái nêu trong điều kiện. Không gửi body nếu endpoint không nhận body. Query được phép: bookingStatus, limit, cursor.</x:v>
      </x:c>
      <x:c r="L276" s="10" t="str">
        <x:v>1. Chuẩn bị fixture đúng vai trò/chủ thể và trạng thái trong mô tả; đọc version nếu lệnh yêu cầu.
2. Gọi GET /bookings qua Gateway (/v1, riêng health ở gốc).
3. Kiểm tra status, response schema, headers và tác động tại owner.
4. Nếu trả operation, tra cứu bằng đúng proof. Payment dùng GET Payment/attempt; OTP 202 chỉ tiếp nhận gửi mã.</x:v>
      </x:c>
      <x:c r="M276" s="10" t="str">
        <x:v>200: Một trang Booking thuộc Customer đang đăng nhập.
Response đúng required/type/enum/oneOf của YAML, không trường bí mật; đọc không tạo tác động ghi ngoài quy tắc endpoint.</x:v>
      </x:c>
      <x:c r="N276" s="10" t="str">
        <x:v>HTTP request/response đã che token; bản ghi trước/sau tại DB sở hữu; correlationId và log/audit liên quan.</x:v>
      </x:c>
      <x:c r="O276" s="10" t="str">
        <x:v>FR25</x:v>
      </x:c>
      <x:c r="P276" s="10" t="str">
        <x:v>UC19; AC17</x:v>
      </x:c>
      <x:c r="Q276" s="10" t="str">
        <x:v>14</x:v>
      </x:c>
      <x:c r="R276" s="10" t="str">
        <x:v>Khôi phục dependency/fault injection nếu có; dùng bộ ID mới cho ca kế tiếp. Không xóa lịch sử/audit bằng API nghiệp vụ.</x:v>
      </x:c>
      <x:c r="S276" s="11" t="str"/>
      <x:c r="T276" s="11" t="str"/>
      <x:c r="U276" s="11" t="str"/>
      <x:c r="V276" s="11" t="str"/>
      <x:c r="W276" s="12"/>
      <x:c r="X276" s="10" t="str">
        <x:v>02-booking-api.yaml paths /bookings get</x:v>
      </x:c>
    </x:row>
    <x:row r="277" ht="150" customHeight="1">
      <x:c r="A277" s="9" t="str">
        <x:v>TC13-API-013</x:v>
      </x:c>
      <x:c r="B277" s="9" t="str">
        <x:v>API</x:v>
      </x:c>
      <x:c r="C277" s="9" t="str">
        <x:v>Tạo yêu cầu đặt xe — hợp đồng cơ sở</x:v>
      </x:c>
      <x:c r="D277" s="9" t="str">
        <x:v>P1</x:v>
      </x:c>
      <x:c r="E277" s="9" t="str">
        <x:v>NEEDS_DECISION</x:v>
      </x:c>
      <x:c r="F277" s="9" t="str">
        <x:v>NOT_RUN</x:v>
      </x:c>
      <x:c r="G277" s="9" t="str">
        <x:v>D05</x:v>
      </x:c>
      <x:c r="H277" s="9" t="str">
        <x:v>CONTRACT</x:v>
      </x:c>
      <x:c r="I277" s="9" t="str">
        <x:v>POST /bookings</x:v>
      </x:c>
      <x:c r="J277" s="9" t="str">
        <x:v>BASE. C_A chưa guard/chuyến hoạt động; P0/P1 trong vùng đã cấu hình; STANDARD có P_V1 hiệu lực.</x:v>
      </x:c>
      <x:c r="K277" s="9" t="str">
        <x:v>Fixture BASE và đối tượng đúng trạng thái nêu trong điều kiện. Body mẫu (thay placeholder bằng dữ liệu thực): {"pickup": {"address": "Điểm đón thử CAB", "latitude": 10.7769, "longitude": 106.7009}, "destination": {"address": "Điểm đến thử CAB", "latitude": 10.7869, "longitude": 106.7109}, "vehicleType": "STANDARD"} Header bắt buộc: Idempotency-Key.</x:v>
      </x:c>
      <x:c r="L277" s="9" t="str">
        <x:v>1. Chuẩn bị fixture đúng vai trò/chủ thể và trạng thái trong mô tả; đọc version nếu lệnh yêu cầu.
2. Gọi POST /bookings qua Gateway (/v1, riêng health ở gốc).
3. Kiểm tra status, response schema, headers và tác động tại owner.
4. Nếu trả operation, tra cứu bằng đúng proof. Payment dùng GET Payment/attempt; OTP 202 chỉ tiếp nhận gửi mã.</x:v>
      </x:c>
      <x:c r="M277" s="9" t="str">
        <x:v>201: Booking và công việc điều phối đã được ghi nhận bền vững.
Body là kết quả tạo ở trạng thái PENDING.
Replay trả lại kết quả này dù Booking hiện đã đổi trạng thái.
Dùng GET theo Location để xem trạng thái mới nhất.
202: Operation đã được ghi bền vững nhưng chưa hoàn tất. Chưa phải kết quả tạo/hủy thành công. GET Location hoặc replay theo quy tắc endpoint.
Response đúng required/type/enum/oneOf của YAML, không trường bí mật; đọc không tạo tác động ghi ngoài quy tắc endpoint.</x:v>
      </x:c>
      <x:c r="N277" s="9" t="str">
        <x:v>HTTP request/response đã che token; bản ghi trước/sau tại DB sở hữu; correlationId và log/audit liên quan.</x:v>
      </x:c>
      <x:c r="O277" s="9" t="str">
        <x:v>FR02; FR03</x:v>
      </x:c>
      <x:c r="P277" s="9" t="str">
        <x:v>UC02; AC02</x:v>
      </x:c>
      <x:c r="Q277" s="9" t="str">
        <x:v>15</x:v>
      </x:c>
      <x:c r="R277" s="9" t="str">
        <x:v>Khôi phục dependency/fault injection nếu có; dùng bộ ID mới cho ca kế tiếp. Không xóa lịch sử/audit bằng API nghiệp vụ.</x:v>
      </x:c>
      <x:c r="S277" s="11" t="str"/>
      <x:c r="T277" s="11" t="str"/>
      <x:c r="U277" s="11" t="str"/>
      <x:c r="V277" s="11" t="str"/>
      <x:c r="W277" s="12"/>
      <x:c r="X277" s="9" t="str">
        <x:v>02-booking-api.yaml paths /bookings post</x:v>
      </x:c>
    </x:row>
    <x:row r="278" ht="94" customHeight="1">
      <x:c r="A278" s="10" t="str">
        <x:v>TC13-API-014</x:v>
      </x:c>
      <x:c r="B278" s="10" t="str">
        <x:v>API</x:v>
      </x:c>
      <x:c r="C278" s="10" t="str">
        <x:v>Xem chi tiết yêu cầu đặt xe — hợp đồng cơ sở</x:v>
      </x:c>
      <x:c r="D278" s="10" t="str">
        <x:v>P1</x:v>
      </x:c>
      <x:c r="E278" s="10" t="str">
        <x:v>DEFINED</x:v>
      </x:c>
      <x:c r="F278" s="10" t="str">
        <x:v>NOT_RUN</x:v>
      </x:c>
      <x:c r="G278" s="10" t="str"/>
      <x:c r="H278" s="10" t="str">
        <x:v>CONTRACT</x:v>
      </x:c>
      <x:c r="I278" s="10" t="str">
        <x:v>GET /bookings/{bookingId}</x:v>
      </x:c>
      <x:c r="J278" s="10" t="str">
        <x:v>BASE. C_A sở hữu B_PENDING; O_A cũng có quyền vận hành.</x:v>
      </x:c>
      <x:c r="K278" s="10" t="str">
        <x:v>Fixture BASE và đối tượng đúng trạng thái nêu trong điều kiện. Không gửi body nếu endpoint không nhận body.</x:v>
      </x:c>
      <x:c r="L278" s="10" t="str">
        <x:v>1. Chuẩn bị fixture đúng vai trò/chủ thể và trạng thái trong mô tả; đọc version nếu lệnh yêu cầu.
2. Gọi GET /bookings/{bookingId} qua Gateway (/v1, riêng health ở gốc).
3. Kiểm tra status, response schema, headers và tác động tại owner.
4. Nếu trả operation, tra cứu bằng đúng proof. Payment dùng GET Payment/attempt; OTP 202 chỉ tiếp nhận gửi mã.</x:v>
      </x:c>
      <x:c r="M278" s="10" t="str">
        <x:v>200: Chi tiết hiện tại của Booking.
Response đúng required/type/enum/oneOf của YAML, không trường bí mật; đọc không tạo tác động ghi ngoài quy tắc endpoint.</x:v>
      </x:c>
      <x:c r="N278" s="10" t="str">
        <x:v>HTTP request/response đã che token; bản ghi trước/sau tại DB sở hữu; correlationId và log/audit liên quan.</x:v>
      </x:c>
      <x:c r="O278" s="10" t="str">
        <x:v>FR02; FR03</x:v>
      </x:c>
      <x:c r="P278" s="10" t="str">
        <x:v>UC02; AC02</x:v>
      </x:c>
      <x:c r="Q278" s="10" t="str">
        <x:v>15</x:v>
      </x:c>
      <x:c r="R278" s="10" t="str">
        <x:v>Khôi phục dependency/fault injection nếu có; dùng bộ ID mới cho ca kế tiếp. Không xóa lịch sử/audit bằng API nghiệp vụ.</x:v>
      </x:c>
      <x:c r="S278" s="11" t="str"/>
      <x:c r="T278" s="11" t="str"/>
      <x:c r="U278" s="11" t="str"/>
      <x:c r="V278" s="11" t="str"/>
      <x:c r="W278" s="12"/>
      <x:c r="X278" s="10" t="str">
        <x:v>02-booking-api.yaml paths /bookings/{bookingId} get</x:v>
      </x:c>
    </x:row>
    <x:row r="279" ht="108" customHeight="1">
      <x:c r="A279" s="9" t="str">
        <x:v>TC13-API-015</x:v>
      </x:c>
      <x:c r="B279" s="9" t="str">
        <x:v>API</x:v>
      </x:c>
      <x:c r="C279" s="9" t="str">
        <x:v>Xem trạng thái hiện tại của yêu cầu đặt xe — hợp đồng cơ sở</x:v>
      </x:c>
      <x:c r="D279" s="9" t="str">
        <x:v>P1</x:v>
      </x:c>
      <x:c r="E279" s="9" t="str">
        <x:v>DEFINED</x:v>
      </x:c>
      <x:c r="F279" s="9" t="str">
        <x:v>NOT_RUN</x:v>
      </x:c>
      <x:c r="G279" s="9" t="str"/>
      <x:c r="H279" s="9" t="str">
        <x:v>CONTRACT</x:v>
      </x:c>
      <x:c r="I279" s="9" t="str">
        <x:v>GET /bookings/{bookingId}/status</x:v>
      </x:c>
      <x:c r="J279" s="9" t="str">
        <x:v>BASE. C_A sở hữu B_ASSIGNED có tripId liên kết.</x:v>
      </x:c>
      <x:c r="K279" s="9" t="str">
        <x:v>Fixture BASE và đối tượng đúng trạng thái nêu trong điều kiện. Không gửi body nếu endpoint không nhận body.</x:v>
      </x:c>
      <x:c r="L279" s="9" t="str">
        <x:v>1. Chuẩn bị fixture đúng vai trò/chủ thể và trạng thái trong mô tả; đọc version nếu lệnh yêu cầu.
2. Gọi GET /bookings/{bookingId}/status qua Gateway (/v1, riêng health ở gốc).
3. Kiểm tra status, response schema, headers và tác động tại owner.
4. Nếu trả operation, tra cứu bằng đúng proof. Payment dùng GET Payment/attempt; OTP 202 chỉ tiếp nhận gửi mã.</x:v>
      </x:c>
      <x:c r="M279" s="9" t="str">
        <x:v>200: Trạng thái hiện tại của Booking.
Response đúng required/type/enum/oneOf của YAML, không trường bí mật; đọc không tạo tác động ghi ngoài quy tắc endpoint.</x:v>
      </x:c>
      <x:c r="N279" s="9" t="str">
        <x:v>HTTP request/response đã che token; bản ghi trước/sau tại DB sở hữu; correlationId và log/audit liên quan.</x:v>
      </x:c>
      <x:c r="O279" s="9" t="str">
        <x:v>FR02; FR03</x:v>
      </x:c>
      <x:c r="P279" s="9" t="str">
        <x:v>UC02; AC02</x:v>
      </x:c>
      <x:c r="Q279" s="9" t="str">
        <x:v>15</x:v>
      </x:c>
      <x:c r="R279" s="9" t="str">
        <x:v>Khôi phục dependency/fault injection nếu có; dùng bộ ID mới cho ca kế tiếp. Không xóa lịch sử/audit bằng API nghiệp vụ.</x:v>
      </x:c>
      <x:c r="S279" s="11" t="str"/>
      <x:c r="T279" s="11" t="str"/>
      <x:c r="U279" s="11" t="str"/>
      <x:c r="V279" s="11" t="str"/>
      <x:c r="W279" s="12"/>
      <x:c r="X279" s="9" t="str">
        <x:v>02-booking-api.yaml paths /bookings/{bookingId}/status get</x:v>
      </x:c>
    </x:row>
    <x:row r="280" ht="108" customHeight="1">
      <x:c r="A280" s="10" t="str">
        <x:v>TC13-API-016</x:v>
      </x:c>
      <x:c r="B280" s="10" t="str">
        <x:v>API</x:v>
      </x:c>
      <x:c r="C280" s="10" t="str">
        <x:v>Hủy yêu cầu đặt xe trước khi phân công tài xế — hợp đồng cơ sở</x:v>
      </x:c>
      <x:c r="D280" s="10" t="str">
        <x:v>P1</x:v>
      </x:c>
      <x:c r="E280" s="10" t="str">
        <x:v>NEEDS_DECISION</x:v>
      </x:c>
      <x:c r="F280" s="10" t="str">
        <x:v>NOT_RUN</x:v>
      </x:c>
      <x:c r="G280" s="10" t="str">
        <x:v>D05</x:v>
      </x:c>
      <x:c r="H280" s="10" t="str">
        <x:v>CONTRACT</x:v>
      </x:c>
      <x:c r="I280" s="10" t="str">
        <x:v>POST /bookings/{bookingId}/cancel</x:v>
      </x:c>
      <x:c r="J280" s="10" t="str">
        <x:v>BASE. C_A sở hữu B_PENDING, chưa assignment; reason không trắng.</x:v>
      </x:c>
      <x:c r="K280" s="10" t="str">
        <x:v>Fixture BASE và đối tượng đúng trạng thái nêu trong điều kiện. Body mẫu (thay placeholder bằng dữ liệu thực): {"reason": "Lý do kiểm thử"}</x:v>
      </x:c>
      <x:c r="L280" s="10" t="str">
        <x:v>1. Chuẩn bị fixture đúng vai trò/chủ thể và trạng thái trong mô tả; đọc version nếu lệnh yêu cầu.
2. Gọi POST /bookings/{bookingId}/cancel qua Gateway (/v1, riêng health ở gốc).
3. Kiểm tra status, response schema, headers và tác động tại owner.
4. Nếu trả operation, tra cứu bằng đúng proof. Payment dùng GET Payment/attempt; OTP 202 chỉ tiếp nhận gửi mã.</x:v>
      </x:c>
      <x:c r="M280" s="10" t="str">
        <x:v>200: Booking đã CANCELLED.
Có thể là kết quả hủy mới hoặc kết quả đã lưu từ lần trước.
202: Operation đã được ghi bền vững nhưng chưa hoàn tất. Chưa phải kết quả tạo/hủy thành công. GET Location hoặc replay theo quy tắc endpoint.
Response đúng required/type/enum/oneOf của YAML, không trường bí mật; đọc không tạo tác động ghi ngoài quy tắc endpoint.</x:v>
      </x:c>
      <x:c r="N280" s="10" t="str">
        <x:v>HTTP request/response đã che token; bản ghi trước/sau tại DB sở hữu; correlationId và log/audit liên quan.</x:v>
      </x:c>
      <x:c r="O280" s="10" t="str">
        <x:v>FR19</x:v>
      </x:c>
      <x:c r="P280" s="10" t="str">
        <x:v>UC12; AC10</x:v>
      </x:c>
      <x:c r="Q280" s="10" t="str">
        <x:v>18</x:v>
      </x:c>
      <x:c r="R280" s="10" t="str">
        <x:v>Khôi phục dependency/fault injection nếu có; dùng bộ ID mới cho ca kế tiếp. Không xóa lịch sử/audit bằng API nghiệp vụ.</x:v>
      </x:c>
      <x:c r="S280" s="11" t="str"/>
      <x:c r="T280" s="11" t="str"/>
      <x:c r="U280" s="11" t="str"/>
      <x:c r="V280" s="11" t="str"/>
      <x:c r="W280" s="12"/>
      <x:c r="X280" s="10" t="str">
        <x:v>02-booking-api.yaml paths /bookings/{bookingId}/cancel post</x:v>
      </x:c>
    </x:row>
    <x:row r="281" ht="108" customHeight="1">
      <x:c r="A281" s="9" t="str">
        <x:v>TC13-API-017</x:v>
      </x:c>
      <x:c r="B281" s="9" t="str">
        <x:v>API</x:v>
      </x:c>
      <x:c r="C281" s="9" t="str">
        <x:v>Tra cứu tiến trình tạo hoặc hủy Booking — hợp đồng cơ sở</x:v>
      </x:c>
      <x:c r="D281" s="9" t="str">
        <x:v>P1</x:v>
      </x:c>
      <x:c r="E281" s="9" t="str">
        <x:v>DEFINED</x:v>
      </x:c>
      <x:c r="F281" s="9" t="str">
        <x:v>NOT_RUN</x:v>
      </x:c>
      <x:c r="G281" s="9" t="str"/>
      <x:c r="H281" s="9" t="str">
        <x:v>CONTRACT</x:v>
      </x:c>
      <x:c r="I281" s="9" t="str">
        <x:v>GET /booking-operations/{operationId}</x:v>
      </x:c>
      <x:c r="J281" s="9" t="str">
        <x:v>BASE. C_A là owner operation đã tiếp nhận; Session hợp lệ.</x:v>
      </x:c>
      <x:c r="K281" s="9" t="str">
        <x:v>Fixture BASE và đối tượng đúng trạng thái nêu trong điều kiện. Không gửi body nếu endpoint không nhận body.</x:v>
      </x:c>
      <x:c r="L281" s="9" t="str">
        <x:v>1. Chuẩn bị fixture đúng vai trò/chủ thể và trạng thái trong mô tả; đọc version nếu lệnh yêu cầu.
2. Gọi GET /booking-operations/{operationId} qua Gateway (/v1, riêng health ở gốc).
3. Kiểm tra status, response schema, headers và tác động tại owner.
4. Nếu trả operation, tra cứu bằng đúng proof. Payment dùng GET Payment/attempt; OTP 202 chỉ tiếp nhận gửi mã.</x:v>
      </x:c>
      <x:c r="M281" s="9" t="str">
        <x:v>200: Trạng thái tiến trình được phép đọc; không phải xác nhận mọi operation đều thành công.
Response đúng required/type/enum/oneOf của YAML, không trường bí mật; đọc không tạo tác động ghi ngoài quy tắc endpoint.</x:v>
      </x:c>
      <x:c r="N281" s="9" t="str">
        <x:v>HTTP request/response đã che token; bản ghi trước/sau tại DB sở hữu; correlationId và log/audit liên quan.</x:v>
      </x:c>
      <x:c r="O281" s="9" t="str">
        <x:v>FR02; FR03; FR28; NFR18</x:v>
      </x:c>
      <x:c r="P281" s="9" t="str">
        <x:v>UC02; AC02; UC22; AC21</x:v>
      </x:c>
      <x:c r="Q281" s="9" t="str">
        <x:v>15</x:v>
      </x:c>
      <x:c r="R281" s="9" t="str">
        <x:v>Khôi phục dependency/fault injection nếu có; dùng bộ ID mới cho ca kế tiếp. Không xóa lịch sử/audit bằng API nghiệp vụ.</x:v>
      </x:c>
      <x:c r="S281" s="11" t="str"/>
      <x:c r="T281" s="11" t="str"/>
      <x:c r="U281" s="11" t="str"/>
      <x:c r="V281" s="11" t="str"/>
      <x:c r="W281" s="12"/>
      <x:c r="X281" s="9" t="str">
        <x:v>02-booking-api.yaml paths /booking-operations/{operationId} get</x:v>
      </x:c>
    </x:row>
    <x:row r="282" ht="94" customHeight="1">
      <x:c r="A282" s="10" t="str">
        <x:v>TC13-API-018</x:v>
      </x:c>
      <x:c r="B282" s="10" t="str">
        <x:v>API</x:v>
      </x:c>
      <x:c r="C282" s="10" t="str">
        <x:v>Tra cứu tài xế đủ điều kiện gần một tọa độ — hợp đồng cơ sở</x:v>
      </x:c>
      <x:c r="D282" s="10" t="str">
        <x:v>P1</x:v>
      </x:c>
      <x:c r="E282" s="10" t="str">
        <x:v>NEEDS_DECISION</x:v>
      </x:c>
      <x:c r="F282" s="10" t="str">
        <x:v>NOT_RUN</x:v>
      </x:c>
      <x:c r="G282" s="10" t="str">
        <x:v>G01</x:v>
      </x:c>
      <x:c r="H282" s="10" t="str">
        <x:v>CONTRACT</x:v>
      </x:c>
      <x:c r="I282" s="10" t="str">
        <x:v>GET /drivers/nearby</x:v>
      </x:c>
      <x:c r="J282" s="10" t="str">
        <x:v>BASE. C_A; tọa độ P0, radiusKm=1, limit=1; ít nhất hai Driver đủ điều kiện trong 1km.</x:v>
      </x:c>
      <x:c r="K282" s="10" t="str">
        <x:v>Fixture BASE và đối tượng đúng trạng thái nêu trong điều kiện. Không gửi body nếu endpoint không nhận body. Query được phép: latitude, longitude, radiusKm, limit, cursor.</x:v>
      </x:c>
      <x:c r="L282" s="10" t="str">
        <x:v>1. Chuẩn bị fixture đúng vai trò/chủ thể và trạng thái trong mô tả; đọc version nếu lệnh yêu cầu.
2. Gọi GET /drivers/nearby qua Gateway (/v1, riêng health ở gốc).
3. Kiểm tra status, response schema, headers và tác động tại owner.
4. Nếu trả operation, tra cứu bằng đúng proof. Payment dùng GET Payment/attempt; OTP 202 chỉ tiếp nhận gửi mã.</x:v>
      </x:c>
      <x:c r="M282" s="10" t="str">
        <x:v>200: Một trang của kết quả tìm kiếm tại snapshotAt.
Không tạo hoặc giữ chỗ tài xế.
Response đúng required/type/enum/oneOf của YAML, không trường bí mật; đọc không tạo tác động ghi ngoài quy tắc endpoint.</x:v>
      </x:c>
      <x:c r="N282" s="10" t="str">
        <x:v>HTTP request/response đã che token; bản ghi trước/sau tại DB sở hữu; correlationId và log/audit liên quan.</x:v>
      </x:c>
      <x:c r="O282" s="10" t="str">
        <x:v>FR24</x:v>
      </x:c>
      <x:c r="P282" s="10" t="str">
        <x:v>UC18; AC16</x:v>
      </x:c>
      <x:c r="Q282" s="10" t="str">
        <x:v>13</x:v>
      </x:c>
      <x:c r="R282" s="10" t="str">
        <x:v>Khôi phục dependency/fault injection nếu có; dùng bộ ID mới cho ca kế tiếp. Không xóa lịch sử/audit bằng API nghiệp vụ.</x:v>
      </x:c>
      <x:c r="S282" s="11" t="str"/>
      <x:c r="T282" s="11" t="str"/>
      <x:c r="U282" s="11" t="str"/>
      <x:c r="V282" s="11" t="str"/>
      <x:c r="W282" s="12"/>
      <x:c r="X282" s="10" t="str">
        <x:v>03-dispatch driver-api.yaml paths /drivers/nearby get</x:v>
      </x:c>
    </x:row>
    <x:row r="283" ht="108" customHeight="1">
      <x:c r="A283" s="9" t="str">
        <x:v>TC13-API-019</x:v>
      </x:c>
      <x:c r="B283" s="9" t="str">
        <x:v>API</x:v>
      </x:c>
      <x:c r="C283" s="9" t="str">
        <x:v>Xem trạng thái điều phối của Booking — hợp đồng cơ sở</x:v>
      </x:c>
      <x:c r="D283" s="9" t="str">
        <x:v>P1</x:v>
      </x:c>
      <x:c r="E283" s="9" t="str">
        <x:v>DEFINED</x:v>
      </x:c>
      <x:c r="F283" s="9" t="str">
        <x:v>NOT_RUN</x:v>
      </x:c>
      <x:c r="G283" s="9" t="str"/>
      <x:c r="H283" s="9" t="str">
        <x:v>CONTRACT</x:v>
      </x:c>
      <x:c r="I283" s="9" t="str">
        <x:v>GET /bookings/{bookingId}/dispatch/status</x:v>
      </x:c>
      <x:c r="J283" s="9" t="str">
        <x:v>BASE. C_A sở hữu Booking đã có DispatchProcess SEARCHING.</x:v>
      </x:c>
      <x:c r="K283" s="9" t="str">
        <x:v>Fixture BASE và đối tượng đúng trạng thái nêu trong điều kiện. Không gửi body nếu endpoint không nhận body.</x:v>
      </x:c>
      <x:c r="L283" s="9" t="str">
        <x:v>1. Chuẩn bị fixture đúng vai trò/chủ thể và trạng thái trong mô tả; đọc version nếu lệnh yêu cầu.
2. Gọi GET /bookings/{bookingId}/dispatch/status qua Gateway (/v1, riêng health ở gốc).
3. Kiểm tra status, response schema, headers và tác động tại owner.
4. Nếu trả operation, tra cứu bằng đúng proof. Payment dùng GET Payment/attempt; OTP 202 chỉ tiếp nhận gửi mã.</x:v>
      </x:c>
      <x:c r="M283" s="9" t="str">
        <x:v>200: Trạng thái hiện tại của tiến trình điều phối.
Response đúng required/type/enum/oneOf của YAML, không trường bí mật; đọc không tạo tác động ghi ngoài quy tắc endpoint.</x:v>
      </x:c>
      <x:c r="N283" s="9" t="str">
        <x:v>HTTP request/response đã che token; bản ghi trước/sau tại DB sở hữu; correlationId và log/audit liên quan.</x:v>
      </x:c>
      <x:c r="O283" s="9" t="str">
        <x:v>FR04; FR05; FR06; FR07</x:v>
      </x:c>
      <x:c r="P283" s="9" t="str">
        <x:v>UC03; UC05; AC03</x:v>
      </x:c>
      <x:c r="Q283" s="9" t="str">
        <x:v>15,16</x:v>
      </x:c>
      <x:c r="R283" s="9" t="str">
        <x:v>Khôi phục dependency/fault injection nếu có; dùng bộ ID mới cho ca kế tiếp. Không xóa lịch sử/audit bằng API nghiệp vụ.</x:v>
      </x:c>
      <x:c r="S283" s="11" t="str"/>
      <x:c r="T283" s="11" t="str"/>
      <x:c r="U283" s="11" t="str"/>
      <x:c r="V283" s="11" t="str"/>
      <x:c r="W283" s="12"/>
      <x:c r="X283" s="9" t="str">
        <x:v>03-dispatch driver-api.yaml paths /bookings/{bookingId}/dispatch/status get</x:v>
      </x:c>
    </x:row>
    <x:row r="284" ht="94" customHeight="1">
      <x:c r="A284" s="10" t="str">
        <x:v>TC13-API-020</x:v>
      </x:c>
      <x:c r="B284" s="10" t="str">
        <x:v>API</x:v>
      </x:c>
      <x:c r="C284" s="10" t="str">
        <x:v>Xem lời mời còn hiệu lực của tài xế đang đăng nhập — hợp đồng cơ sở</x:v>
      </x:c>
      <x:c r="D284" s="10" t="str">
        <x:v>P1</x:v>
      </x:c>
      <x:c r="E284" s="10" t="str">
        <x:v>DEFINED</x:v>
      </x:c>
      <x:c r="F284" s="10" t="str">
        <x:v>NOT_RUN</x:v>
      </x:c>
      <x:c r="G284" s="10" t="str"/>
      <x:c r="H284" s="10" t="str">
        <x:v>CONTRACT</x:v>
      </x:c>
      <x:c r="I284" s="10" t="str">
        <x:v>GET /drivers/me/trip-requests</x:v>
      </x:c>
      <x:c r="J284" s="10" t="str">
        <x:v>BASE. D_A ACTIVE/APPROVED/AVAILABLE; có offer còn hạn và không reservation.</x:v>
      </x:c>
      <x:c r="K284" s="10" t="str">
        <x:v>Fixture BASE và đối tượng đúng trạng thái nêu trong điều kiện. Không gửi body nếu endpoint không nhận body. Query được phép: limit, cursor.</x:v>
      </x:c>
      <x:c r="L284" s="10" t="str">
        <x:v>1. Chuẩn bị fixture đúng vai trò/chủ thể và trạng thái trong mô tả; đọc version nếu lệnh yêu cầu.
2. Gọi GET /drivers/me/trip-requests qua Gateway (/v1, riêng health ở gốc).
3. Kiểm tra status, response schema, headers và tác động tại owner.
4. Nếu trả operation, tra cứu bằng đúng proof. Payment dùng GET Payment/attempt; OTP 202 chỉ tiếp nhận gửi mã.</x:v>
      </x:c>
      <x:c r="M284" s="10" t="str">
        <x:v>200: Danh sách lời mời còn hiệu lực.
Không có lời mời thì items=[] và nextCursor=null.
Response đúng required/type/enum/oneOf của YAML, không trường bí mật; đọc không tạo tác động ghi ngoài quy tắc endpoint.</x:v>
      </x:c>
      <x:c r="N284" s="10" t="str">
        <x:v>HTTP request/response đã che token; bản ghi trước/sau tại DB sở hữu; correlationId và log/audit liên quan.</x:v>
      </x:c>
      <x:c r="O284" s="10" t="str">
        <x:v>FR04; FR05; FR06; FR07</x:v>
      </x:c>
      <x:c r="P284" s="10" t="str">
        <x:v>UC03; UC05; AC03</x:v>
      </x:c>
      <x:c r="Q284" s="10" t="str">
        <x:v>15,16</x:v>
      </x:c>
      <x:c r="R284" s="10" t="str">
        <x:v>Khôi phục dependency/fault injection nếu có; dùng bộ ID mới cho ca kế tiếp. Không xóa lịch sử/audit bằng API nghiệp vụ.</x:v>
      </x:c>
      <x:c r="S284" s="11" t="str"/>
      <x:c r="T284" s="11" t="str"/>
      <x:c r="U284" s="11" t="str"/>
      <x:c r="V284" s="11" t="str"/>
      <x:c r="W284" s="12"/>
      <x:c r="X284" s="10" t="str">
        <x:v>03-dispatch driver-api.yaml paths /drivers/me/trip-requests get</x:v>
      </x:c>
    </x:row>
    <x:row r="285" ht="108" customHeight="1">
      <x:c r="A285" s="9" t="str">
        <x:v>TC13-API-021</x:v>
      </x:c>
      <x:c r="B285" s="9" t="str">
        <x:v>API</x:v>
      </x:c>
      <x:c r="C285" s="9" t="str">
        <x:v>Xem chi tiết hoặc kết quả xử lý lời mời — hợp đồng cơ sở</x:v>
      </x:c>
      <x:c r="D285" s="9" t="str">
        <x:v>P1</x:v>
      </x:c>
      <x:c r="E285" s="9" t="str">
        <x:v>NEEDS_DECISION</x:v>
      </x:c>
      <x:c r="F285" s="9" t="str">
        <x:v>NOT_RUN</x:v>
      </x:c>
      <x:c r="G285" s="9" t="str">
        <x:v>D05</x:v>
      </x:c>
      <x:c r="H285" s="9" t="str">
        <x:v>CONTRACT</x:v>
      </x:c>
      <x:c r="I285" s="9" t="str">
        <x:v>GET /trip-requests/{tripRequestId}</x:v>
      </x:c>
      <x:c r="J285" s="9" t="str">
        <x:v>BASE. D_A được chỉ định trong offer, hoặc có offer ACCEPTED lịch sử.</x:v>
      </x:c>
      <x:c r="K285" s="9" t="str">
        <x:v>Fixture BASE và đối tượng đúng trạng thái nêu trong điều kiện. Không gửi body nếu endpoint không nhận body.</x:v>
      </x:c>
      <x:c r="L285" s="9" t="str">
        <x:v>1. Chuẩn bị fixture đúng vai trò/chủ thể và trạng thái trong mô tả; đọc version nếu lệnh yêu cầu.
2. Gọi GET /trip-requests/{tripRequestId} qua Gateway (/v1, riêng health ở gốc).
3. Kiểm tra status, response schema, headers và tác động tại owner.
4. Nếu trả operation, tra cứu bằng đúng proof. Payment dùng GET Payment/attempt; OTP 202 chỉ tiếp nhận gửi mã.</x:v>
      </x:c>
      <x:c r="M285" s="9" t="str">
        <x:v>200: Chi tiết và trạng thái hiện tại của lời mời.
202: AssignmentSaga đã ghi bền vững nhưng chưa hoàn tất. Chưa xác nhận nhận chuyến thành công; tra cứu Location hoặc replay accept cùng tripRequestId.
Response đúng required/type/enum/oneOf của YAML, không trường bí mật; đọc không tạo tác động ghi ngoài quy tắc endpoint.</x:v>
      </x:c>
      <x:c r="N285" s="9" t="str">
        <x:v>HTTP request/response đã che token; bản ghi trước/sau tại DB sở hữu; correlationId và log/audit liên quan.</x:v>
      </x:c>
      <x:c r="O285" s="9" t="str">
        <x:v>FR04; FR05; FR06; FR07</x:v>
      </x:c>
      <x:c r="P285" s="9" t="str">
        <x:v>UC03; UC05; AC03</x:v>
      </x:c>
      <x:c r="Q285" s="9" t="str">
        <x:v>15,16</x:v>
      </x:c>
      <x:c r="R285" s="9" t="str">
        <x:v>Khôi phục dependency/fault injection nếu có; dùng bộ ID mới cho ca kế tiếp. Không xóa lịch sử/audit bằng API nghiệp vụ.</x:v>
      </x:c>
      <x:c r="S285" s="11" t="str"/>
      <x:c r="T285" s="11" t="str"/>
      <x:c r="U285" s="11" t="str"/>
      <x:c r="V285" s="11" t="str"/>
      <x:c r="W285" s="12"/>
      <x:c r="X285" s="9" t="str">
        <x:v>03-dispatch driver-api.yaml paths /trip-requests/{tripRequestId} get</x:v>
      </x:c>
    </x:row>
    <x:row r="286" ht="108" customHeight="1">
      <x:c r="A286" s="10" t="str">
        <x:v>TC13-API-022</x:v>
      </x:c>
      <x:c r="B286" s="10" t="str">
        <x:v>API</x:v>
      </x:c>
      <x:c r="C286" s="10" t="str">
        <x:v>Chấp nhận lời mời và xác nhận phân công — hợp đồng cơ sở</x:v>
      </x:c>
      <x:c r="D286" s="10" t="str">
        <x:v>P1</x:v>
      </x:c>
      <x:c r="E286" s="10" t="str">
        <x:v>NEEDS_DECISION</x:v>
      </x:c>
      <x:c r="F286" s="10" t="str">
        <x:v>NOT_RUN</x:v>
      </x:c>
      <x:c r="G286" s="10" t="str">
        <x:v>D05</x:v>
      </x:c>
      <x:c r="H286" s="10" t="str">
        <x:v>CONTRACT</x:v>
      </x:c>
      <x:c r="I286" s="10" t="str">
        <x:v>POST /trip-requests/{tripRequestId}/accept</x:v>
      </x:c>
      <x:c r="J286" s="10" t="str">
        <x:v>BASE. D_A đúng offer PENDING còn expiresAt/deadlineAt; xe/GPS/Account hợp lệ; Customer guard thuộc Booking.</x:v>
      </x:c>
      <x:c r="K286" s="10" t="str">
        <x:v>Fixture BASE và đối tượng đúng trạng thái nêu trong điều kiện. Không gửi body nếu endpoint không nhận body.</x:v>
      </x:c>
      <x:c r="L286" s="10" t="str">
        <x:v>1. Chuẩn bị fixture đúng vai trò/chủ thể và trạng thái trong mô tả; đọc version nếu lệnh yêu cầu.
2. Gọi POST /trip-requests/{tripRequestId}/accept qua Gateway (/v1, riêng health ở gốc).
3. Kiểm tra status, response schema, headers và tác động tại owner.
4. Nếu trả operation, tra cứu bằng đúng proof. Payment dùng GET Payment/attempt; OTP 202 chỉ tiếp nhận gửi mã.</x:v>
      </x:c>
      <x:c r="M286" s="10" t="str">
        <x:v>200: Phân công thành công hoặc replay kết quả ACCEPTED đã lưu.
202: AssignmentSaga đã ghi bền vững nhưng chưa hoàn tất. Chưa xác nhận nhận chuyến thành công; tra cứu Location hoặc replay accept cùng tripRequestId.
Response đúng required/type/enum/oneOf của YAML, không trường bí mật; đọc không tạo tác động ghi ngoài quy tắc endpoint.</x:v>
      </x:c>
      <x:c r="N286" s="10" t="str">
        <x:v>HTTP request/response đã che token; bản ghi trước/sau tại DB sở hữu; correlationId và log/audit liên quan.</x:v>
      </x:c>
      <x:c r="O286" s="10" t="str">
        <x:v>FR04; FR05; FR06; FR07</x:v>
      </x:c>
      <x:c r="P286" s="10" t="str">
        <x:v>UC03; UC05; AC03</x:v>
      </x:c>
      <x:c r="Q286" s="10" t="str">
        <x:v>15,16</x:v>
      </x:c>
      <x:c r="R286" s="10" t="str">
        <x:v>Khôi phục dependency/fault injection nếu có; dùng bộ ID mới cho ca kế tiếp. Không xóa lịch sử/audit bằng API nghiệp vụ.</x:v>
      </x:c>
      <x:c r="S286" s="11" t="str"/>
      <x:c r="T286" s="11" t="str"/>
      <x:c r="U286" s="11" t="str"/>
      <x:c r="V286" s="11" t="str"/>
      <x:c r="W286" s="12"/>
      <x:c r="X286" s="10" t="str">
        <x:v>03-dispatch driver-api.yaml paths /trip-requests/{tripRequestId}/accept post</x:v>
      </x:c>
    </x:row>
    <x:row r="287" ht="108" customHeight="1">
      <x:c r="A287" s="9" t="str">
        <x:v>TC13-API-023</x:v>
      </x:c>
      <x:c r="B287" s="9" t="str">
        <x:v>API</x:v>
      </x:c>
      <x:c r="C287" s="9" t="str">
        <x:v>Từ chối lời mời nhận chuyến — hợp đồng cơ sở</x:v>
      </x:c>
      <x:c r="D287" s="9" t="str">
        <x:v>P1</x:v>
      </x:c>
      <x:c r="E287" s="9" t="str">
        <x:v>DEFINED</x:v>
      </x:c>
      <x:c r="F287" s="9" t="str">
        <x:v>NOT_RUN</x:v>
      </x:c>
      <x:c r="G287" s="9" t="str"/>
      <x:c r="H287" s="9" t="str">
        <x:v>CONTRACT</x:v>
      </x:c>
      <x:c r="I287" s="9" t="str">
        <x:v>POST /trip-requests/{tripRequestId}/reject</x:v>
      </x:c>
      <x:c r="J287" s="9" t="str">
        <x:v>BASE. D_A đúng offer PENDING còn hạn; chưa AssignmentSaga đang chạy.</x:v>
      </x:c>
      <x:c r="K287" s="9" t="str">
        <x:v>Fixture BASE và đối tượng đúng trạng thái nêu trong điều kiện. Body mẫu (thay placeholder bằng dữ liệu thực): {}</x:v>
      </x:c>
      <x:c r="L287" s="9" t="str">
        <x:v>1. Chuẩn bị fixture đúng vai trò/chủ thể và trạng thái trong mô tả; đọc version nếu lệnh yêu cầu.
2. Gọi POST /trip-requests/{tripRequestId}/reject qua Gateway (/v1, riêng health ở gốc).
3. Kiểm tra status, response schema, headers và tác động tại owner.
4. Nếu trả operation, tra cứu bằng đúng proof. Payment dùng GET Payment/attempt; OTP 202 chỉ tiếp nhận gửi mã.</x:v>
      </x:c>
      <x:c r="M287" s="9" t="str">
        <x:v>200: Đã từ chối hoặc replay kết quả REJECTED đã lưu.
Response đúng required/type/enum/oneOf của YAML, không trường bí mật; đọc không tạo tác động ghi ngoài quy tắc endpoint.</x:v>
      </x:c>
      <x:c r="N287" s="9" t="str">
        <x:v>HTTP request/response đã che token; bản ghi trước/sau tại DB sở hữu; correlationId và log/audit liên quan.</x:v>
      </x:c>
      <x:c r="O287" s="9" t="str">
        <x:v>FR04; FR05; FR06; FR07</x:v>
      </x:c>
      <x:c r="P287" s="9" t="str">
        <x:v>UC03; UC05; AC03</x:v>
      </x:c>
      <x:c r="Q287" s="9" t="str">
        <x:v>15,16</x:v>
      </x:c>
      <x:c r="R287" s="9" t="str">
        <x:v>Khôi phục dependency/fault injection nếu có; dùng bộ ID mới cho ca kế tiếp. Không xóa lịch sử/audit bằng API nghiệp vụ.</x:v>
      </x:c>
      <x:c r="S287" s="11" t="str"/>
      <x:c r="T287" s="11" t="str"/>
      <x:c r="U287" s="11" t="str"/>
      <x:c r="V287" s="11" t="str"/>
      <x:c r="W287" s="12"/>
      <x:c r="X287" s="9" t="str">
        <x:v>03-dispatch driver-api.yaml paths /trip-requests/{tripRequestId}/reject post</x:v>
      </x:c>
    </x:row>
    <x:row r="288" ht="108" customHeight="1">
      <x:c r="A288" s="10" t="str">
        <x:v>TC13-API-024</x:v>
      </x:c>
      <x:c r="B288" s="10" t="str">
        <x:v>API</x:v>
      </x:c>
      <x:c r="C288" s="10" t="str">
        <x:v>Theo dõi kết quả nhận chuyến của tài xế — hợp đồng cơ sở</x:v>
      </x:c>
      <x:c r="D288" s="10" t="str">
        <x:v>P1</x:v>
      </x:c>
      <x:c r="E288" s="10" t="str">
        <x:v>DEFINED</x:v>
      </x:c>
      <x:c r="F288" s="10" t="str">
        <x:v>NOT_RUN</x:v>
      </x:c>
      <x:c r="G288" s="10" t="str"/>
      <x:c r="H288" s="10" t="str">
        <x:v>CONTRACT</x:v>
      </x:c>
      <x:c r="I288" s="10" t="str">
        <x:v>GET /dispatch-operations/{operationId}</x:v>
      </x:c>
      <x:c r="J288" s="10" t="str">
        <x:v>BASE. D_A là owner AssignmentOperation; Account ACTIVE và Session hợp lệ.</x:v>
      </x:c>
      <x:c r="K288" s="10" t="str">
        <x:v>Fixture BASE và đối tượng đúng trạng thái nêu trong điều kiện. Không gửi body nếu endpoint không nhận body.</x:v>
      </x:c>
      <x:c r="L288" s="10" t="str">
        <x:v>1. Chuẩn bị fixture đúng vai trò/chủ thể và trạng thái trong mô tả; đọc version nếu lệnh yêu cầu.
2. Gọi GET /dispatch-operations/{operationId} qua Gateway (/v1, riêng health ở gốc).
3. Kiểm tra status, response schema, headers và tác động tại owner.
4. Nếu trả operation, tra cứu bằng đúng proof. Payment dùng GET Payment/attempt; OTP 202 chỉ tiếp nhận gửi mã.</x:v>
      </x:c>
      <x:c r="M288" s="10" t="str">
        <x:v>200: Trạng thái tiến trình nhận chuyến được phép đọc.
Response đúng required/type/enum/oneOf của YAML, không trường bí mật; đọc không tạo tác động ghi ngoài quy tắc endpoint.</x:v>
      </x:c>
      <x:c r="N288" s="10" t="str">
        <x:v>HTTP request/response đã che token; bản ghi trước/sau tại DB sở hữu; correlationId và log/audit liên quan.</x:v>
      </x:c>
      <x:c r="O288" s="10" t="str">
        <x:v>FR04; FR05; FR06; FR07; FR28; NFR18</x:v>
      </x:c>
      <x:c r="P288" s="10" t="str">
        <x:v>UC03; UC05; AC03; UC22; AC21</x:v>
      </x:c>
      <x:c r="Q288" s="10" t="str">
        <x:v>15,16</x:v>
      </x:c>
      <x:c r="R288" s="10" t="str">
        <x:v>Khôi phục dependency/fault injection nếu có; dùng bộ ID mới cho ca kế tiếp. Không xóa lịch sử/audit bằng API nghiệp vụ.</x:v>
      </x:c>
      <x:c r="S288" s="11" t="str"/>
      <x:c r="T288" s="11" t="str"/>
      <x:c r="U288" s="11" t="str"/>
      <x:c r="V288" s="11" t="str"/>
      <x:c r="W288" s="12"/>
      <x:c r="X288" s="10" t="str">
        <x:v>03-dispatch driver-api.yaml paths /dispatch-operations/{operationId} get</x:v>
      </x:c>
    </x:row>
    <x:row r="289" ht="94" customHeight="1">
      <x:c r="A289" s="9" t="str">
        <x:v>TC13-API-025</x:v>
      </x:c>
      <x:c r="B289" s="9" t="str">
        <x:v>API</x:v>
      </x:c>
      <x:c r="C289" s="9" t="str">
        <x:v>Xem danh sách chuyến của tài khoản đang đăng nhập — hợp đồng cơ sở</x:v>
      </x:c>
      <x:c r="D289" s="9" t="str">
        <x:v>P1</x:v>
      </x:c>
      <x:c r="E289" s="9" t="str">
        <x:v>DEFINED</x:v>
      </x:c>
      <x:c r="F289" s="9" t="str">
        <x:v>NOT_RUN</x:v>
      </x:c>
      <x:c r="G289" s="9" t="str"/>
      <x:c r="H289" s="9" t="str">
        <x:v>CONTRACT</x:v>
      </x:c>
      <x:c r="I289" s="9" t="str">
        <x:v>GET /trips</x:v>
      </x:c>
      <x:c r="J289" s="9" t="str">
        <x:v>BASE. C_A hoặc D_A có Trip lịch sử; from/to hợp lệ, limit=2.</x:v>
      </x:c>
      <x:c r="K289" s="9" t="str">
        <x:v>Fixture BASE và đối tượng đúng trạng thái nêu trong điều kiện. Không gửi body nếu endpoint không nhận body. Query được phép: tripStatus, from, to, limit, cursor.</x:v>
      </x:c>
      <x:c r="L289" s="9" t="str">
        <x:v>1. Chuẩn bị fixture đúng vai trò/chủ thể và trạng thái trong mô tả; đọc version nếu lệnh yêu cầu.
2. Gọi GET /trips qua Gateway (/v1, riêng health ở gốc).
3. Kiểm tra status, response schema, headers và tác động tại owner.
4. Nếu trả operation, tra cứu bằng đúng proof. Payment dùng GET Payment/attempt; OTP 202 chỉ tiếp nhận gửi mã.</x:v>
      </x:c>
      <x:c r="M289" s="9" t="str">
        <x:v>200: Một trang chuyến thuộc phạm vi người gọi.
Response đúng required/type/enum/oneOf của YAML, không trường bí mật; đọc không tạo tác động ghi ngoài quy tắc endpoint.</x:v>
      </x:c>
      <x:c r="N289" s="9" t="str">
        <x:v>HTTP request/response đã che token; bản ghi trước/sau tại DB sở hữu; correlationId và log/audit liên quan.</x:v>
      </x:c>
      <x:c r="O289" s="9" t="str">
        <x:v>FR08; FR20</x:v>
      </x:c>
      <x:c r="P289" s="9" t="str">
        <x:v>UC06; UC13; AC05; AC11</x:v>
      </x:c>
      <x:c r="Q289" s="9" t="str">
        <x:v>17</x:v>
      </x:c>
      <x:c r="R289" s="9" t="str">
        <x:v>Khôi phục dependency/fault injection nếu có; dùng bộ ID mới cho ca kế tiếp. Không xóa lịch sử/audit bằng API nghiệp vụ.</x:v>
      </x:c>
      <x:c r="S289" s="11" t="str"/>
      <x:c r="T289" s="11" t="str"/>
      <x:c r="U289" s="11" t="str"/>
      <x:c r="V289" s="11" t="str"/>
      <x:c r="W289" s="12"/>
      <x:c r="X289" s="9" t="str">
        <x:v>04-trip-api.yaml paths /trips get</x:v>
      </x:c>
    </x:row>
    <x:row r="290" ht="94" customHeight="1">
      <x:c r="A290" s="10" t="str">
        <x:v>TC13-API-026</x:v>
      </x:c>
      <x:c r="B290" s="10" t="str">
        <x:v>API</x:v>
      </x:c>
      <x:c r="C290" s="10" t="str">
        <x:v>Xem chi tiết chuyến — hợp đồng cơ sở</x:v>
      </x:c>
      <x:c r="D290" s="10" t="str">
        <x:v>P1</x:v>
      </x:c>
      <x:c r="E290" s="10" t="str">
        <x:v>DEFINED</x:v>
      </x:c>
      <x:c r="F290" s="10" t="str">
        <x:v>NOT_RUN</x:v>
      </x:c>
      <x:c r="G290" s="10" t="str"/>
      <x:c r="H290" s="10" t="str">
        <x:v>CONTRACT</x:v>
      </x:c>
      <x:c r="I290" s="10" t="str">
        <x:v>GET /trips/{tripId}</x:v>
      </x:c>
      <x:c r="J290" s="10" t="str">
        <x:v>BASE. C_A/D_A là chủ thể T_ASSIGNED; hoặc O_A có quyền.</x:v>
      </x:c>
      <x:c r="K290" s="10" t="str">
        <x:v>Fixture BASE và đối tượng đúng trạng thái nêu trong điều kiện. Không gửi body nếu endpoint không nhận body.</x:v>
      </x:c>
      <x:c r="L290" s="10" t="str">
        <x:v>1. Chuẩn bị fixture đúng vai trò/chủ thể và trạng thái trong mô tả; đọc version nếu lệnh yêu cầu.
2. Gọi GET /trips/{tripId} qua Gateway (/v1, riêng health ở gốc).
3. Kiểm tra status, response schema, headers và tác động tại owner.
4. Nếu trả operation, tra cứu bằng đúng proof. Payment dùng GET Payment/attempt; OTP 202 chỉ tiếp nhận gửi mã.</x:v>
      </x:c>
      <x:c r="M290" s="10" t="str">
        <x:v>200: Chi tiết hiện tại của Trip.
Response đúng required/type/enum/oneOf của YAML, không trường bí mật; đọc không tạo tác động ghi ngoài quy tắc endpoint.</x:v>
      </x:c>
      <x:c r="N290" s="10" t="str">
        <x:v>HTTP request/response đã che token; bản ghi trước/sau tại DB sở hữu; correlationId và log/audit liên quan.</x:v>
      </x:c>
      <x:c r="O290" s="10" t="str">
        <x:v>FR08; FR20</x:v>
      </x:c>
      <x:c r="P290" s="10" t="str">
        <x:v>UC06; UC13; AC05; AC11</x:v>
      </x:c>
      <x:c r="Q290" s="10" t="str">
        <x:v>17</x:v>
      </x:c>
      <x:c r="R290" s="10" t="str">
        <x:v>Khôi phục dependency/fault injection nếu có; dùng bộ ID mới cho ca kế tiếp. Không xóa lịch sử/audit bằng API nghiệp vụ.</x:v>
      </x:c>
      <x:c r="S290" s="11" t="str"/>
      <x:c r="T290" s="11" t="str"/>
      <x:c r="U290" s="11" t="str"/>
      <x:c r="V290" s="11" t="str"/>
      <x:c r="W290" s="12"/>
      <x:c r="X290" s="10" t="str">
        <x:v>04-trip-api.yaml paths /trips/{tripId} get</x:v>
      </x:c>
    </x:row>
    <x:row r="291" ht="94" customHeight="1">
      <x:c r="A291" s="9" t="str">
        <x:v>TC13-API-027</x:v>
      </x:c>
      <x:c r="B291" s="9" t="str">
        <x:v>API</x:v>
      </x:c>
      <x:c r="C291" s="9" t="str">
        <x:v>Xem trạng thái, vị trí và ETA của chuyến — hợp đồng cơ sở</x:v>
      </x:c>
      <x:c r="D291" s="9" t="str">
        <x:v>P1</x:v>
      </x:c>
      <x:c r="E291" s="9" t="str">
        <x:v>DEFINED</x:v>
      </x:c>
      <x:c r="F291" s="9" t="str">
        <x:v>NOT_RUN</x:v>
      </x:c>
      <x:c r="G291" s="9" t="str"/>
      <x:c r="H291" s="9" t="str">
        <x:v>CONTRACT</x:v>
      </x:c>
      <x:c r="I291" s="9" t="str">
        <x:v>GET /trips/{tripId}/tracking</x:v>
      </x:c>
      <x:c r="J291" s="9" t="str">
        <x:v>BASE. C_A sở hữu T_ASSIGNED; GPS gắn đúng Trip còn mới; thông tin xe/tên khả dụng.</x:v>
      </x:c>
      <x:c r="K291" s="9" t="str">
        <x:v>Fixture BASE và đối tượng đúng trạng thái nêu trong điều kiện. Không gửi body nếu endpoint không nhận body.</x:v>
      </x:c>
      <x:c r="L291" s="9" t="str">
        <x:v>1. Chuẩn bị fixture đúng vai trò/chủ thể và trạng thái trong mô tả; đọc version nếu lệnh yêu cầu.
2. Gọi GET /trips/{tripId}/tracking qua Gateway (/v1, riêng health ở gốc).
3. Kiểm tra status, response schema, headers và tác động tại owner.
4. Nếu trả operation, tra cứu bằng đúng proof. Payment dùng GET Payment/attempt; OTP 202 chỉ tiếp nhận gửi mã.</x:v>
      </x:c>
      <x:c r="M291" s="9" t="str">
        <x:v>200: Snapshot tracking với độ mới và ETA được thể hiện rõ.
Response đúng required/type/enum/oneOf của YAML, không trường bí mật; đọc không tạo tác động ghi ngoài quy tắc endpoint.</x:v>
      </x:c>
      <x:c r="N291" s="9" t="str">
        <x:v>HTTP request/response đã che token; bản ghi trước/sau tại DB sở hữu; correlationId và log/audit liên quan.</x:v>
      </x:c>
      <x:c r="O291" s="9" t="str">
        <x:v>FR09</x:v>
      </x:c>
      <x:c r="P291" s="9" t="str">
        <x:v>UC04; AC04</x:v>
      </x:c>
      <x:c r="Q291" s="9" t="str">
        <x:v>17</x:v>
      </x:c>
      <x:c r="R291" s="9" t="str">
        <x:v>Khôi phục dependency/fault injection nếu có; dùng bộ ID mới cho ca kế tiếp. Không xóa lịch sử/audit bằng API nghiệp vụ.</x:v>
      </x:c>
      <x:c r="S291" s="11" t="str"/>
      <x:c r="T291" s="11" t="str"/>
      <x:c r="U291" s="11" t="str"/>
      <x:c r="V291" s="11" t="str"/>
      <x:c r="W291" s="12"/>
      <x:c r="X291" s="9" t="str">
        <x:v>04-trip-api.yaml paths /trips/{tripId}/tracking get</x:v>
      </x:c>
    </x:row>
    <x:row r="292" ht="108" customHeight="1">
      <x:c r="A292" s="10" t="str">
        <x:v>TC13-API-028</x:v>
      </x:c>
      <x:c r="B292" s="10" t="str">
        <x:v>API</x:v>
      </x:c>
      <x:c r="C292" s="10" t="str">
        <x:v>Tài xế cập nhật quá trình thực hiện chuyến — hợp đồng cơ sở</x:v>
      </x:c>
      <x:c r="D292" s="10" t="str">
        <x:v>P1</x:v>
      </x:c>
      <x:c r="E292" s="10" t="str">
        <x:v>DEFINED</x:v>
      </x:c>
      <x:c r="F292" s="10" t="str">
        <x:v>NOT_RUN</x:v>
      </x:c>
      <x:c r="G292" s="10" t="str"/>
      <x:c r="H292" s="10" t="str">
        <x:v>CONTRACT</x:v>
      </x:c>
      <x:c r="I292" s="10" t="str">
        <x:v>PATCH /trips/{tripId}/status</x:v>
      </x:c>
      <x:c r="J292" s="10" t="str">
        <x:v>BASE. D_A của T_ASSIGNED; expectedVersion mới; tripStatus=ARRIVED_PICKUP.</x:v>
      </x:c>
      <x:c r="K292" s="10" t="str">
        <x:v>Fixture BASE và đối tượng đúng trạng thái nêu trong điều kiện. Body mẫu (thay placeholder bằng dữ liệu thực): {"expectedVersion": "&lt;version hiện tại&gt;", "tripStatus": "ARRIVED_PICKUP"} Header bắt buộc: Idempotency-Key.</x:v>
      </x:c>
      <x:c r="L292" s="10" t="str">
        <x:v>1. Chuẩn bị fixture đúng vai trò/chủ thể và trạng thái trong mô tả; đọc version nếu lệnh yêu cầu.
2. Gọi PATCH /trips/{tripId}/status qua Gateway (/v1, riêng health ở gốc).
3. Kiểm tra status, response schema, headers và tác động tại owner.
4. Nếu trả operation, tra cứu bằng đúng proof. Payment dùng GET Payment/attempt; OTP 202 chỉ tiếp nhận gửi mã.</x:v>
      </x:c>
      <x:c r="M292" s="10" t="str">
        <x:v>200: Đã xử lý hoặc replay kết quả cùng thao tác.
Không tạo lại tác động nghiệp vụ.
Dùng GET Trip nếu cần hiện trạng mới nhất.
Khi kết quả là COMPLETED, closure đã ghi bền vững nhưng có thể còn PROCESSING;
đọc GET /trips/{tripId}/closure. 200 không chứng minh Fare hoặc Payment sẵn sàng.
Response đúng required/type/enum/oneOf của YAML, không trường bí mật; đọc không tạo tác động ghi ngoài quy tắc endpoint.</x:v>
      </x:c>
      <x:c r="N292" s="10" t="str">
        <x:v>HTTP request/response đã che token; bản ghi trước/sau tại DB sở hữu; correlationId và log/audit liên quan.</x:v>
      </x:c>
      <x:c r="O292" s="10" t="str">
        <x:v>FR08; FR20</x:v>
      </x:c>
      <x:c r="P292" s="10" t="str">
        <x:v>UC06; UC13; AC05; AC11</x:v>
      </x:c>
      <x:c r="Q292" s="10" t="str">
        <x:v>17</x:v>
      </x:c>
      <x:c r="R292" s="10" t="str">
        <x:v>Khôi phục dependency/fault injection nếu có; dùng bộ ID mới cho ca kế tiếp. Không xóa lịch sử/audit bằng API nghiệp vụ.</x:v>
      </x:c>
      <x:c r="S292" s="11" t="str"/>
      <x:c r="T292" s="11" t="str"/>
      <x:c r="U292" s="11" t="str"/>
      <x:c r="V292" s="11" t="str"/>
      <x:c r="W292" s="12"/>
      <x:c r="X292" s="10" t="str">
        <x:v>04-trip-api.yaml paths /trips/{tripId}/status patch</x:v>
      </x:c>
    </x:row>
    <x:row r="293" ht="94" customHeight="1">
      <x:c r="A293" s="9" t="str">
        <x:v>TC13-API-029</x:v>
      </x:c>
      <x:c r="B293" s="9" t="str">
        <x:v>API</x:v>
      </x:c>
      <x:c r="C293" s="9" t="str">
        <x:v>Hủy chuyến trước khi đón khách — hợp đồng cơ sở</x:v>
      </x:c>
      <x:c r="D293" s="9" t="str">
        <x:v>P1</x:v>
      </x:c>
      <x:c r="E293" s="9" t="str">
        <x:v>DEFINED</x:v>
      </x:c>
      <x:c r="F293" s="9" t="str">
        <x:v>NOT_RUN</x:v>
      </x:c>
      <x:c r="G293" s="9" t="str"/>
      <x:c r="H293" s="9" t="str">
        <x:v>CONTRACT</x:v>
      </x:c>
      <x:c r="I293" s="9" t="str">
        <x:v>POST /trips/{tripId}/cancel</x:v>
      </x:c>
      <x:c r="J293" s="9" t="str">
        <x:v>BASE. C_A sở hữu T_ASSIGNED; reasonCode=CHANGE_OF_PLANS; reason và version hợp lệ.</x:v>
      </x:c>
      <x:c r="K293" s="9" t="str">
        <x:v>Fixture BASE và đối tượng đúng trạng thái nêu trong điều kiện. Body mẫu (thay placeholder bằng dữ liệu thực): {"expectedVersion": "&lt;version hiện tại&gt;", "reasonCode": "CHANGE_OF_PLANS", "reason": "Thay đổi kế hoạch thử nghiệm"} Header bắt buộc: Idempotency-Key.</x:v>
      </x:c>
      <x:c r="L293" s="9" t="str">
        <x:v>1. Chuẩn bị fixture đúng vai trò/chủ thể và trạng thái trong mô tả; đọc version nếu lệnh yêu cầu.
2. Gọi POST /trips/{tripId}/cancel qua Gateway (/v1, riêng health ở gốc).
3. Kiểm tra status, response schema, headers và tác động tại owner.
4. Nếu trả operation, tra cứu bằng đúng proof. Payment dùng GET Payment/attempt; OTP 202 chỉ tiếp nhận gửi mã.</x:v>
      </x:c>
      <x:c r="M293" s="9" t="str">
        <x:v>200: Trip đã CANCELLED và tiến trình giải phóng đã ghi bền vững; có thể là replay. Không khẳng định Driver/Customer đã giải phóng; xem API closure.
Response đúng required/type/enum/oneOf của YAML, không trường bí mật; đọc không tạo tác động ghi ngoài quy tắc endpoint.</x:v>
      </x:c>
      <x:c r="N293" s="9" t="str">
        <x:v>HTTP request/response đã che token; bản ghi trước/sau tại DB sở hữu; correlationId và log/audit liên quan.</x:v>
      </x:c>
      <x:c r="O293" s="9" t="str">
        <x:v>FR19</x:v>
      </x:c>
      <x:c r="P293" s="9" t="str">
        <x:v>UC12; AC10</x:v>
      </x:c>
      <x:c r="Q293" s="9" t="str">
        <x:v>18</x:v>
      </x:c>
      <x:c r="R293" s="9" t="str">
        <x:v>Khôi phục dependency/fault injection nếu có; dùng bộ ID mới cho ca kế tiếp. Không xóa lịch sử/audit bằng API nghiệp vụ.</x:v>
      </x:c>
      <x:c r="S293" s="11" t="str"/>
      <x:c r="T293" s="11" t="str"/>
      <x:c r="U293" s="11" t="str"/>
      <x:c r="V293" s="11" t="str"/>
      <x:c r="W293" s="12"/>
      <x:c r="X293" s="9" t="str">
        <x:v>04-trip-api.yaml paths /trips/{tripId}/cancel post</x:v>
      </x:c>
    </x:row>
    <x:row r="294" ht="94" customHeight="1">
      <x:c r="A294" s="10" t="str">
        <x:v>TC13-API-030</x:v>
      </x:c>
      <x:c r="B294" s="10" t="str">
        <x:v>API</x:v>
      </x:c>
      <x:c r="C294" s="10" t="str">
        <x:v>Tài xế báo sự cố làm gián đoạn chuyến — hợp đồng cơ sở</x:v>
      </x:c>
      <x:c r="D294" s="10" t="str">
        <x:v>P1</x:v>
      </x:c>
      <x:c r="E294" s="10" t="str">
        <x:v>DEFINED</x:v>
      </x:c>
      <x:c r="F294" s="10" t="str">
        <x:v>NOT_RUN</x:v>
      </x:c>
      <x:c r="G294" s="10" t="str"/>
      <x:c r="H294" s="10" t="str">
        <x:v>CONTRACT</x:v>
      </x:c>
      <x:c r="I294" s="10" t="str">
        <x:v>POST /trips/{tripId}/incidents</x:v>
      </x:c>
      <x:c r="J294" s="10" t="str">
        <x:v>BASE. D_A của T_PROGRESS; issueType=VEHICLE_BREAKDOWN, description và version hợp lệ.</x:v>
      </x:c>
      <x:c r="K294" s="10" t="str">
        <x:v>Fixture BASE và đối tượng đúng trạng thái nêu trong điều kiện. Body mẫu (thay placeholder bằng dữ liệu thực): {"expectedVersion": "&lt;version mới đọc từ GET&gt;", "issueType": "VEHICLE_BREAKDOWN", "description": "Sự cố thử nghiệm"} Header bắt buộc: Idempotency-Key.</x:v>
      </x:c>
      <x:c r="L294" s="10" t="str">
        <x:v>1. Chuẩn bị fixture đúng vai trò/chủ thể và trạng thái trong mô tả; đọc version nếu lệnh yêu cầu.
2. Gọi POST /trips/{tripId}/incidents qua Gateway (/v1, riêng health ở gốc).
3. Kiểm tra status, response schema, headers và tác động tại owner.
4. Nếu trả operation, tra cứu bằng đúng proof. Payment dùng GET Payment/attempt; OTP 202 chỉ tiếp nhận gửi mã.</x:v>
      </x:c>
      <x:c r="M294" s="10" t="str">
        <x:v>201: Đã tạo Incident và cập nhật Trip nhất quán, hoặc replay kết quả.
Response đúng required/type/enum/oneOf của YAML, không trường bí mật; đọc không tạo tác động ghi ngoài quy tắc endpoint.</x:v>
      </x:c>
      <x:c r="N294" s="10" t="str">
        <x:v>HTTP request/response đã che token; bản ghi trước/sau tại DB sở hữu; correlationId và log/audit liên quan.</x:v>
      </x:c>
      <x:c r="O294" s="10" t="str">
        <x:v>FR15</x:v>
      </x:c>
      <x:c r="P294" s="10" t="str">
        <x:v>UC09; AC08</x:v>
      </x:c>
      <x:c r="Q294" s="10" t="str">
        <x:v>17</x:v>
      </x:c>
      <x:c r="R294" s="10" t="str">
        <x:v>Khôi phục dependency/fault injection nếu có; dùng bộ ID mới cho ca kế tiếp. Không xóa lịch sử/audit bằng API nghiệp vụ.</x:v>
      </x:c>
      <x:c r="S294" s="11" t="str"/>
      <x:c r="T294" s="11" t="str"/>
      <x:c r="U294" s="11" t="str"/>
      <x:c r="V294" s="11" t="str"/>
      <x:c r="W294" s="12"/>
      <x:c r="X294" s="10" t="str">
        <x:v>04-trip-api.yaml paths /trips/{tripId}/incidents post</x:v>
      </x:c>
    </x:row>
    <x:row r="295" ht="94" customHeight="1">
      <x:c r="A295" s="9" t="str">
        <x:v>TC13-API-031</x:v>
      </x:c>
      <x:c r="B295" s="9" t="str">
        <x:v>API</x:v>
      </x:c>
      <x:c r="C295" s="9" t="str">
        <x:v>Tài xế cập nhật vị trí hiện tại — hợp đồng cơ sở</x:v>
      </x:c>
      <x:c r="D295" s="9" t="str">
        <x:v>P1</x:v>
      </x:c>
      <x:c r="E295" s="9" t="str">
        <x:v>DEFINED</x:v>
      </x:c>
      <x:c r="F295" s="9" t="str">
        <x:v>NOT_RUN</x:v>
      </x:c>
      <x:c r="G295" s="9" t="str"/>
      <x:c r="H295" s="9" t="str">
        <x:v>CONTRACT</x:v>
      </x:c>
      <x:c r="I295" s="9" t="str">
        <x:v>PUT /drivers/me/location</x:v>
      </x:c>
      <x:c r="J295" s="9" t="str">
        <x:v>BASE. D_A ACTIVE/Session hợp lệ; tọa độ P0; recordedAt không tương lai và mới hơn mẫu trước.</x:v>
      </x:c>
      <x:c r="K295" s="9" t="str">
        <x:v>Fixture BASE và đối tượng đúng trạng thái nêu trong điều kiện. Body mẫu (thay placeholder bằng dữ liệu thực): {"latitude": -90, "longitude": -180, "recordedAt": "&lt;UTC thời điểm hợp lệ&gt;"}</x:v>
      </x:c>
      <x:c r="L295" s="9" t="str">
        <x:v>1. Chuẩn bị fixture đúng vai trò/chủ thể và trạng thái trong mô tả; đọc version nếu lệnh yêu cầu.
2. Gọi PUT /drivers/me/location qua Gateway (/v1, riêng health ở gốc).
3. Kiểm tra status, response schema, headers và tác động tại owner.
4. Nếu trả operation, tra cứu bằng đúng proof. Payment dùng GET Payment/attempt; OTP 202 chỉ tiếp nhận gửi mã.</x:v>
      </x:c>
      <x:c r="M295" s="9" t="str">
        <x:v>200: Đã xử lý mẫu; xem locationUpdated và currentLocation.
Response đúng required/type/enum/oneOf của YAML, không trường bí mật; đọc không tạo tác động ghi ngoài quy tắc endpoint.</x:v>
      </x:c>
      <x:c r="N295" s="9" t="str">
        <x:v>HTTP request/response đã che token; bản ghi trước/sau tại DB sở hữu; correlationId và log/audit liên quan.</x:v>
      </x:c>
      <x:c r="O295" s="9" t="str">
        <x:v>FR18</x:v>
      </x:c>
      <x:c r="P295" s="9" t="str">
        <x:v>UC11; AC09</x:v>
      </x:c>
      <x:c r="Q295" s="9" t="str">
        <x:v>17</x:v>
      </x:c>
      <x:c r="R295" s="9" t="str">
        <x:v>Khôi phục dependency/fault injection nếu có; dùng bộ ID mới cho ca kế tiếp. Không xóa lịch sử/audit bằng API nghiệp vụ.</x:v>
      </x:c>
      <x:c r="S295" s="11" t="str"/>
      <x:c r="T295" s="11" t="str"/>
      <x:c r="U295" s="11" t="str"/>
      <x:c r="V295" s="11" t="str"/>
      <x:c r="W295" s="12"/>
      <x:c r="X295" s="9" t="str">
        <x:v>04-trip-api.yaml paths /drivers/me/location put</x:v>
      </x:c>
    </x:row>
    <x:row r="296" ht="94" customHeight="1">
      <x:c r="A296" s="10" t="str">
        <x:v>TC13-API-032</x:v>
      </x:c>
      <x:c r="B296" s="10" t="str">
        <x:v>API</x:v>
      </x:c>
      <x:c r="C296" s="10" t="str">
        <x:v>Theo dõi giải phóng tài nguyên sau khi Trip đóng — hợp đồng cơ sở</x:v>
      </x:c>
      <x:c r="D296" s="10" t="str">
        <x:v>P1</x:v>
      </x:c>
      <x:c r="E296" s="10" t="str">
        <x:v>DEFINED</x:v>
      </x:c>
      <x:c r="F296" s="10" t="str">
        <x:v>NOT_RUN</x:v>
      </x:c>
      <x:c r="G296" s="10" t="str"/>
      <x:c r="H296" s="10" t="str">
        <x:v>CONTRACT</x:v>
      </x:c>
      <x:c r="I296" s="10" t="str">
        <x:v>GET /trips/{tripId}/closure</x:v>
      </x:c>
      <x:c r="J296" s="10" t="str">
        <x:v>BASE. C_A/D_A của T_DONE có ClosureOperation, hoặc O_A.</x:v>
      </x:c>
      <x:c r="K296" s="10" t="str">
        <x:v>Fixture BASE và đối tượng đúng trạng thái nêu trong điều kiện. Không gửi body nếu endpoint không nhận body.</x:v>
      </x:c>
      <x:c r="L296" s="10" t="str">
        <x:v>1. Chuẩn bị fixture đúng vai trò/chủ thể và trạng thái trong mô tả; đọc version nếu lệnh yêu cầu.
2. Gọi GET /trips/{tripId}/closure qua Gateway (/v1, riêng health ở gốc).
3. Kiểm tra status, response schema, headers và tác động tại owner.
4. Nếu trả operation, tra cứu bằng đúng proof. Payment dùng GET Payment/attempt; OTP 202 chỉ tiếp nhận gửi mã.</x:v>
      </x:c>
      <x:c r="M296" s="10" t="str">
        <x:v>200: Tiến trình giải phóng sau đóng Trip được phép đọc.
Response đúng required/type/enum/oneOf của YAML, không trường bí mật; đọc không tạo tác động ghi ngoài quy tắc endpoint.</x:v>
      </x:c>
      <x:c r="N296" s="10" t="str">
        <x:v>HTTP request/response đã che token; bản ghi trước/sau tại DB sở hữu; correlationId và log/audit liên quan.</x:v>
      </x:c>
      <x:c r="O296" s="10" t="str">
        <x:v>FR08; FR20; FR28; NFR18</x:v>
      </x:c>
      <x:c r="P296" s="10" t="str">
        <x:v>UC06; UC13; AC05; AC11; UC22; AC21</x:v>
      </x:c>
      <x:c r="Q296" s="10" t="str">
        <x:v>17</x:v>
      </x:c>
      <x:c r="R296" s="10" t="str">
        <x:v>Khôi phục dependency/fault injection nếu có; dùng bộ ID mới cho ca kế tiếp. Không xóa lịch sử/audit bằng API nghiệp vụ.</x:v>
      </x:c>
      <x:c r="S296" s="11" t="str"/>
      <x:c r="T296" s="11" t="str"/>
      <x:c r="U296" s="11" t="str"/>
      <x:c r="V296" s="11" t="str"/>
      <x:c r="W296" s="12"/>
      <x:c r="X296" s="10" t="str">
        <x:v>04-trip-api.yaml paths /trips/{tripId}/closure get</x:v>
      </x:c>
    </x:row>
    <x:row r="297" ht="94" customHeight="1">
      <x:c r="A297" s="9" t="str">
        <x:v>TC13-API-033</x:v>
      </x:c>
      <x:c r="B297" s="9" t="str">
        <x:v>API</x:v>
      </x:c>
      <x:c r="C297" s="9" t="str">
        <x:v>Lấy cước cuối cùng của chuyến đi — hợp đồng cơ sở</x:v>
      </x:c>
      <x:c r="D297" s="9" t="str">
        <x:v>P1</x:v>
      </x:c>
      <x:c r="E297" s="9" t="str">
        <x:v>DEFINED</x:v>
      </x:c>
      <x:c r="F297" s="9" t="str">
        <x:v>NOT_RUN</x:v>
      </x:c>
      <x:c r="G297" s="9" t="str"/>
      <x:c r="H297" s="9" t="str">
        <x:v>CONTRACT</x:v>
      </x:c>
      <x:c r="I297" s="9" t="str">
        <x:v>GET /trips/{tripId}/fare</x:v>
      </x:c>
      <x:c r="J297" s="9" t="str">
        <x:v>BASE. T_DONE thuộc C_A/D_A; metrics CONFIRMED; Fare đã được worker tạo.</x:v>
      </x:c>
      <x:c r="K297" s="9" t="str">
        <x:v>Fixture BASE và đối tượng đúng trạng thái nêu trong điều kiện. Không gửi body nếu endpoint không nhận body.</x:v>
      </x:c>
      <x:c r="L297" s="9" t="str">
        <x:v>1. Chuẩn bị fixture đúng vai trò/chủ thể và trạng thái trong mô tả; đọc version nếu lệnh yêu cầu.
2. Gọi GET /trips/{tripId}/fare qua Gateway (/v1, riêng health ở gốc).
3. Kiểm tra status, response schema, headers và tác động tại owner.
4. Nếu trả operation, tra cứu bằng đúng proof. Payment dùng GET Payment/attempt; OTP 202 chỉ tiếp nhận gửi mã.</x:v>
      </x:c>
      <x:c r="M297" s="9" t="str">
        <x:v>200: Cước cuối cùng đã được phát hành
Response đúng required/type/enum/oneOf của YAML, không trường bí mật; đọc không tạo tác động ghi ngoài quy tắc endpoint.</x:v>
      </x:c>
      <x:c r="N297" s="9" t="str">
        <x:v>HTTP request/response đã che token; bản ghi trước/sau tại DB sở hữu; correlationId và log/audit liên quan.</x:v>
      </x:c>
      <x:c r="O297" s="9" t="str">
        <x:v>FR10; FR11; FR12</x:v>
      </x:c>
      <x:c r="P297" s="9" t="str">
        <x:v>UC07; AC06</x:v>
      </x:c>
      <x:c r="Q297" s="9" t="str">
        <x:v>19,30</x:v>
      </x:c>
      <x:c r="R297" s="9" t="str">
        <x:v>Khôi phục dependency/fault injection nếu có; dùng bộ ID mới cho ca kế tiếp. Không xóa lịch sử/audit bằng API nghiệp vụ.</x:v>
      </x:c>
      <x:c r="S297" s="11" t="str"/>
      <x:c r="T297" s="11" t="str"/>
      <x:c r="U297" s="11" t="str"/>
      <x:c r="V297" s="11" t="str"/>
      <x:c r="W297" s="12"/>
      <x:c r="X297" s="9" t="str">
        <x:v>05-payment-api.yaml paths /trips/{tripId}/fare get</x:v>
      </x:c>
    </x:row>
    <x:row r="298" ht="94" customHeight="1">
      <x:c r="A298" s="10" t="str">
        <x:v>TC13-API-034</x:v>
      </x:c>
      <x:c r="B298" s="10" t="str">
        <x:v>API</x:v>
      </x:c>
      <x:c r="C298" s="10" t="str">
        <x:v>Tạo thanh toán cho chuyến đi — hợp đồng cơ sở</x:v>
      </x:c>
      <x:c r="D298" s="10" t="str">
        <x:v>P1</x:v>
      </x:c>
      <x:c r="E298" s="10" t="str">
        <x:v>DEFINED</x:v>
      </x:c>
      <x:c r="F298" s="10" t="str">
        <x:v>NOT_RUN</x:v>
      </x:c>
      <x:c r="G298" s="10" t="str"/>
      <x:c r="H298" s="10" t="str">
        <x:v>CONTRACT</x:v>
      </x:c>
      <x:c r="I298" s="10" t="str">
        <x:v>POST /trips/{tripId}/payments</x:v>
      </x:c>
      <x:c r="J298" s="10" t="str">
        <x:v>BASE. C_A của T_DONE; Fare 22500 VND sẵn sàng, chưa Payment; chọn CASH.</x:v>
      </x:c>
      <x:c r="K298" s="10" t="str">
        <x:v>Fixture BASE và đối tượng đúng trạng thái nêu trong điều kiện. Body mẫu (thay placeholder bằng dữ liệu thực): {} Header bắt buộc: Idempotency-Key.</x:v>
      </x:c>
      <x:c r="L298" s="10" t="str">
        <x:v>1. Chuẩn bị fixture đúng vai trò/chủ thể và trạng thái trong mô tả; đọc version nếu lệnh yêu cầu.
2. Gọi POST /trips/{tripId}/payments qua Gateway (/v1, riêng health ở gốc).
3. Kiểm tra status, response schema, headers và tác động tại owner.
4. Nếu trả operation, tra cứu bằng đúng proof. Payment dùng GET Payment/attempt; OTP 202 chỉ tiếp nhận gửi mã.</x:v>
      </x:c>
      <x:c r="M298" s="10" t="str">
        <x:v>201: Đã tạo Payment và attempt đầu tiên.
Không có nghĩa đã thu tiền thành công.
Response đúng required/type/enum/oneOf của YAML, không trường bí mật; đọc không tạo tác động ghi ngoài quy tắc endpoint.</x:v>
      </x:c>
      <x:c r="N298" s="10" t="str">
        <x:v>HTTP request/response đã che token; bản ghi trước/sau tại DB sở hữu; correlationId và log/audit liên quan.</x:v>
      </x:c>
      <x:c r="O298" s="10" t="str">
        <x:v>FR10; FR11; FR12</x:v>
      </x:c>
      <x:c r="P298" s="10" t="str">
        <x:v>UC07; AC06</x:v>
      </x:c>
      <x:c r="Q298" s="10" t="str">
        <x:v>19,30</x:v>
      </x:c>
      <x:c r="R298" s="10" t="str">
        <x:v>Khôi phục dependency/fault injection nếu có; dùng bộ ID mới cho ca kế tiếp. Không xóa lịch sử/audit bằng API nghiệp vụ.</x:v>
      </x:c>
      <x:c r="S298" s="11" t="str"/>
      <x:c r="T298" s="11" t="str"/>
      <x:c r="U298" s="11" t="str"/>
      <x:c r="V298" s="11" t="str"/>
      <x:c r="W298" s="12"/>
      <x:c r="X298" s="10" t="str">
        <x:v>05-payment-api.yaml paths /trips/{tripId}/payments post</x:v>
      </x:c>
    </x:row>
    <x:row r="299" ht="94" customHeight="1">
      <x:c r="A299" s="9" t="str">
        <x:v>TC13-API-035</x:v>
      </x:c>
      <x:c r="B299" s="9" t="str">
        <x:v>API</x:v>
      </x:c>
      <x:c r="C299" s="9" t="str">
        <x:v>Lấy thanh toán theo chuyến đi — hợp đồng cơ sở</x:v>
      </x:c>
      <x:c r="D299" s="9" t="str">
        <x:v>P1</x:v>
      </x:c>
      <x:c r="E299" s="9" t="str">
        <x:v>DEFINED</x:v>
      </x:c>
      <x:c r="F299" s="9" t="str">
        <x:v>NOT_RUN</x:v>
      </x:c>
      <x:c r="G299" s="9" t="str"/>
      <x:c r="H299" s="9" t="str">
        <x:v>CONTRACT</x:v>
      </x:c>
      <x:c r="I299" s="9" t="str">
        <x:v>GET /trips/{tripId}/payment</x:v>
      </x:c>
      <x:c r="J299" s="9" t="str">
        <x:v>BASE. C_A/D_A/O_A có quyền T_DONE đã có Payment.</x:v>
      </x:c>
      <x:c r="K299" s="9" t="str">
        <x:v>Fixture BASE và đối tượng đúng trạng thái nêu trong điều kiện. Không gửi body nếu endpoint không nhận body.</x:v>
      </x:c>
      <x:c r="L299" s="9" t="str">
        <x:v>1. Chuẩn bị fixture đúng vai trò/chủ thể và trạng thái trong mô tả; đọc version nếu lệnh yêu cầu.
2. Gọi GET /trips/{tripId}/payment qua Gateway (/v1, riêng health ở gốc).
3. Kiểm tra status, response schema, headers và tác động tại owner.
4. Nếu trả operation, tra cứu bằng đúng proof. Payment dùng GET Payment/attempt; OTP 202 chỉ tiếp nhận gửi mã.</x:v>
      </x:c>
      <x:c r="M299" s="9" t="str">
        <x:v>200: Snapshot Payment hiện tại.
checkout được lọc theo quyền và điều kiện nghiệp vụ.
Response đúng required/type/enum/oneOf của YAML, không trường bí mật; đọc không tạo tác động ghi ngoài quy tắc endpoint.</x:v>
      </x:c>
      <x:c r="N299" s="9" t="str">
        <x:v>HTTP request/response đã che token; bản ghi trước/sau tại DB sở hữu; correlationId và log/audit liên quan.</x:v>
      </x:c>
      <x:c r="O299" s="9" t="str">
        <x:v>FR10; FR11; FR12</x:v>
      </x:c>
      <x:c r="P299" s="9" t="str">
        <x:v>UC07; AC06</x:v>
      </x:c>
      <x:c r="Q299" s="9" t="str">
        <x:v>19,30</x:v>
      </x:c>
      <x:c r="R299" s="9" t="str">
        <x:v>Khôi phục dependency/fault injection nếu có; dùng bộ ID mới cho ca kế tiếp. Không xóa lịch sử/audit bằng API nghiệp vụ.</x:v>
      </x:c>
      <x:c r="S299" s="11" t="str"/>
      <x:c r="T299" s="11" t="str"/>
      <x:c r="U299" s="11" t="str"/>
      <x:c r="V299" s="11" t="str"/>
      <x:c r="W299" s="12"/>
      <x:c r="X299" s="9" t="str">
        <x:v>05-payment-api.yaml paths /trips/{tripId}/payment get</x:v>
      </x:c>
    </x:row>
    <x:row r="300" ht="94" customHeight="1">
      <x:c r="A300" s="10" t="str">
        <x:v>TC13-API-036</x:v>
      </x:c>
      <x:c r="B300" s="10" t="str">
        <x:v>API</x:v>
      </x:c>
      <x:c r="C300" s="10" t="str">
        <x:v>Lấy trạng thái thanh toán hiện tại — hợp đồng cơ sở</x:v>
      </x:c>
      <x:c r="D300" s="10" t="str">
        <x:v>P1</x:v>
      </x:c>
      <x:c r="E300" s="10" t="str">
        <x:v>DEFINED</x:v>
      </x:c>
      <x:c r="F300" s="10" t="str">
        <x:v>NOT_RUN</x:v>
      </x:c>
      <x:c r="G300" s="10" t="str"/>
      <x:c r="H300" s="10" t="str">
        <x:v>CONTRACT</x:v>
      </x:c>
      <x:c r="I300" s="10" t="str">
        <x:v>GET /payments/{paymentId}</x:v>
      </x:c>
      <x:c r="J300" s="10" t="str">
        <x:v>BASE. C_A sở hữu PAYMENT_PENDING hoặc D_A/O_A có quyền đọc.</x:v>
      </x:c>
      <x:c r="K300" s="10" t="str">
        <x:v>Fixture BASE và đối tượng đúng trạng thái nêu trong điều kiện. Không gửi body nếu endpoint không nhận body.</x:v>
      </x:c>
      <x:c r="L300" s="10" t="str">
        <x:v>1. Chuẩn bị fixture đúng vai trò/chủ thể và trạng thái trong mô tả; đọc version nếu lệnh yêu cầu.
2. Gọi GET /payments/{paymentId} qua Gateway (/v1, riêng health ở gốc).
3. Kiểm tra status, response schema, headers và tác động tại owner.
4. Nếu trả operation, tra cứu bằng đúng proof. Payment dùng GET Payment/attempt; OTP 202 chỉ tiếp nhận gửi mã.</x:v>
      </x:c>
      <x:c r="M300" s="10" t="str">
        <x:v>200: Snapshot Payment hiện tại.
checkout được lọc theo quyền và điều kiện nghiệp vụ.
Response đúng required/type/enum/oneOf của YAML, không trường bí mật; đọc không tạo tác động ghi ngoài quy tắc endpoint.</x:v>
      </x:c>
      <x:c r="N300" s="10" t="str">
        <x:v>HTTP request/response đã che token; bản ghi trước/sau tại DB sở hữu; correlationId và log/audit liên quan.</x:v>
      </x:c>
      <x:c r="O300" s="10" t="str">
        <x:v>FR10; FR11; FR12</x:v>
      </x:c>
      <x:c r="P300" s="10" t="str">
        <x:v>UC07; AC06</x:v>
      </x:c>
      <x:c r="Q300" s="10" t="str">
        <x:v>19,30</x:v>
      </x:c>
      <x:c r="R300" s="10" t="str">
        <x:v>Khôi phục dependency/fault injection nếu có; dùng bộ ID mới cho ca kế tiếp. Không xóa lịch sử/audit bằng API nghiệp vụ.</x:v>
      </x:c>
      <x:c r="S300" s="11" t="str"/>
      <x:c r="T300" s="11" t="str"/>
      <x:c r="U300" s="11" t="str"/>
      <x:c r="V300" s="11" t="str"/>
      <x:c r="W300" s="12"/>
      <x:c r="X300" s="10" t="str">
        <x:v>05-payment-api.yaml paths /payments/{paymentId} get</x:v>
      </x:c>
    </x:row>
    <x:row r="301" ht="108" customHeight="1">
      <x:c r="A301" s="9" t="str">
        <x:v>TC13-API-037</x:v>
      </x:c>
      <x:c r="B301" s="9" t="str">
        <x:v>API</x:v>
      </x:c>
      <x:c r="C301" s="9" t="str">
        <x:v>Xem các lần thanh toán của một Payment — hợp đồng cơ sở</x:v>
      </x:c>
      <x:c r="D301" s="9" t="str">
        <x:v>P1</x:v>
      </x:c>
      <x:c r="E301" s="9" t="str">
        <x:v>DEFINED</x:v>
      </x:c>
      <x:c r="F301" s="9" t="str">
        <x:v>NOT_RUN</x:v>
      </x:c>
      <x:c r="G301" s="9" t="str"/>
      <x:c r="H301" s="9" t="str">
        <x:v>CONTRACT</x:v>
      </x:c>
      <x:c r="I301" s="9" t="str">
        <x:v>GET /payments/{paymentId}/attempts</x:v>
      </x:c>
      <x:c r="J301" s="9" t="str">
        <x:v>BASE. C_A sở hữu Payment hoặc O_A; có hai attempt lịch sử hợp lệ.</x:v>
      </x:c>
      <x:c r="K301" s="9" t="str">
        <x:v>Fixture BASE và đối tượng đúng trạng thái nêu trong điều kiện. Không gửi body nếu endpoint không nhận body. Query được phép: limit, cursor.</x:v>
      </x:c>
      <x:c r="L301" s="9" t="str">
        <x:v>1. Chuẩn bị fixture đúng vai trò/chủ thể và trạng thái trong mô tả; đọc version nếu lệnh yêu cầu.
2. Gọi GET /payments/{paymentId}/attempts qua Gateway (/v1, riêng health ở gốc).
3. Kiểm tra status, response schema, headers và tác động tại owner.
4. Nếu trả operation, tra cứu bằng đúng proof. Payment dùng GET Payment/attempt; OTP 202 chỉ tiếp nhận gửi mã.</x:v>
      </x:c>
      <x:c r="M301" s="9" t="str">
        <x:v>200: Danh sách các lần thanh toán
Response đúng required/type/enum/oneOf của YAML, không trường bí mật; đọc không tạo tác động ghi ngoài quy tắc endpoint.</x:v>
      </x:c>
      <x:c r="N301" s="9" t="str">
        <x:v>HTTP request/response đã che token; bản ghi trước/sau tại DB sở hữu; correlationId và log/audit liên quan.</x:v>
      </x:c>
      <x:c r="O301" s="9" t="str">
        <x:v>FR10; FR11; FR12</x:v>
      </x:c>
      <x:c r="P301" s="9" t="str">
        <x:v>UC07; AC06</x:v>
      </x:c>
      <x:c r="Q301" s="9" t="str">
        <x:v>19,30</x:v>
      </x:c>
      <x:c r="R301" s="9" t="str">
        <x:v>Khôi phục dependency/fault injection nếu có; dùng bộ ID mới cho ca kế tiếp. Không xóa lịch sử/audit bằng API nghiệp vụ.</x:v>
      </x:c>
      <x:c r="S301" s="11" t="str"/>
      <x:c r="T301" s="11" t="str"/>
      <x:c r="U301" s="11" t="str"/>
      <x:c r="V301" s="11" t="str"/>
      <x:c r="W301" s="12"/>
      <x:c r="X301" s="9" t="str">
        <x:v>05-payment-api.yaml paths /payments/{paymentId}/attempts get</x:v>
      </x:c>
    </x:row>
    <x:row r="302" ht="108" customHeight="1">
      <x:c r="A302" s="10" t="str">
        <x:v>TC13-API-038</x:v>
      </x:c>
      <x:c r="B302" s="10" t="str">
        <x:v>API</x:v>
      </x:c>
      <x:c r="C302" s="10" t="str">
        <x:v>Tài xế xác nhận đã nhận đủ tiền mặt — hợp đồng cơ sở</x:v>
      </x:c>
      <x:c r="D302" s="10" t="str">
        <x:v>P1</x:v>
      </x:c>
      <x:c r="E302" s="10" t="str">
        <x:v>DEFINED</x:v>
      </x:c>
      <x:c r="F302" s="10" t="str">
        <x:v>NOT_RUN</x:v>
      </x:c>
      <x:c r="G302" s="10" t="str"/>
      <x:c r="H302" s="10" t="str">
        <x:v>CONTRACT</x:v>
      </x:c>
      <x:c r="I302" s="10" t="str">
        <x:v>POST /payments/{paymentId}/confirm-cash</x:v>
      </x:c>
      <x:c r="J302" s="10" t="str">
        <x:v>BASE. D_A lịch sử của T_DONE; Payment/Attempt CASH PENDING, requiresReview=false; version mới.</x:v>
      </x:c>
      <x:c r="K302" s="10" t="str">
        <x:v>Fixture BASE và đối tượng đúng trạng thái nêu trong điều kiện. Body mẫu (thay placeholder bằng dữ liệu thực): {"expectedVersion": "&lt;version mới đọc từ GET&gt;"} Header bắt buộc: Idempotency-Key.</x:v>
      </x:c>
      <x:c r="L302" s="10" t="str">
        <x:v>1. Chuẩn bị fixture đúng vai trò/chủ thể và trạng thái trong mô tả; đọc version nếu lệnh yêu cầu.
2. Gọi POST /payments/{paymentId}/confirm-cash qua Gateway (/v1, riêng health ở gốc).
3. Kiểm tra status, response schema, headers và tác động tại owner.
4. Nếu trả operation, tra cứu bằng đúng proof. Payment dùng GET Payment/attempt; OTP 202 chỉ tiếp nhận gửi mã.</x:v>
      </x:c>
      <x:c r="M302" s="10" t="str">
        <x:v>200: Đã ghi nhận nhận đủ tiền mặt hoặc replay kết quả đã lưu
Response đúng required/type/enum/oneOf của YAML, không trường bí mật; đọc không tạo tác động ghi ngoài quy tắc endpoint.</x:v>
      </x:c>
      <x:c r="N302" s="10" t="str">
        <x:v>HTTP request/response đã che token; bản ghi trước/sau tại DB sở hữu; correlationId và log/audit liên quan.</x:v>
      </x:c>
      <x:c r="O302" s="10" t="str">
        <x:v>FR10; FR11; FR12</x:v>
      </x:c>
      <x:c r="P302" s="10" t="str">
        <x:v>UC07; AC06</x:v>
      </x:c>
      <x:c r="Q302" s="10" t="str">
        <x:v>19,30</x:v>
      </x:c>
      <x:c r="R302" s="10" t="str">
        <x:v>Khôi phục dependency/fault injection nếu có; dùng bộ ID mới cho ca kế tiếp. Không xóa lịch sử/audit bằng API nghiệp vụ.</x:v>
      </x:c>
      <x:c r="S302" s="11" t="str"/>
      <x:c r="T302" s="11" t="str"/>
      <x:c r="U302" s="11" t="str"/>
      <x:c r="V302" s="11" t="str"/>
      <x:c r="W302" s="12"/>
      <x:c r="X302" s="10" t="str">
        <x:v>05-payment-api.yaml paths /payments/{paymentId}/confirm-cash post</x:v>
      </x:c>
    </x:row>
    <x:row r="303" ht="108" customHeight="1">
      <x:c r="A303" s="9" t="str">
        <x:v>TC13-API-039</x:v>
      </x:c>
      <x:c r="B303" s="9" t="str">
        <x:v>API</x:v>
      </x:c>
      <x:c r="C303" s="9" t="str">
        <x:v>Tạo lần thanh toán tiếp theo sau thất bại đã xác định — hợp đồng cơ sở</x:v>
      </x:c>
      <x:c r="D303" s="9" t="str">
        <x:v>P1</x:v>
      </x:c>
      <x:c r="E303" s="9" t="str">
        <x:v>NEEDS_DECISION</x:v>
      </x:c>
      <x:c r="F303" s="9" t="str">
        <x:v>NOT_RUN</x:v>
      </x:c>
      <x:c r="G303" s="9" t="str">
        <x:v>D05</x:v>
      </x:c>
      <x:c r="H303" s="9" t="str">
        <x:v>CONTRACT</x:v>
      </x:c>
      <x:c r="I303" s="9" t="str">
        <x:v>POST /payments/{paymentId}/retry</x:v>
      </x:c>
      <x:c r="J303" s="9" t="str">
        <x:v>BASE. C_A của Payment FAILED với bằng chứng cuối, không attempt hoạt động, requiresReview=false; chọn CASH và version mới.</x:v>
      </x:c>
      <x:c r="K303" s="9" t="str">
        <x:v>Fixture BASE và đối tượng đúng trạng thái nêu trong điều kiện. Body mẫu (thay placeholder bằng dữ liệu thực): {} Header bắt buộc: Idempotency-Key.</x:v>
      </x:c>
      <x:c r="L303" s="9" t="str">
        <x:v>1. Chuẩn bị fixture đúng vai trò/chủ thể và trạng thái trong mô tả; đọc version nếu lệnh yêu cầu.
2. Gọi POST /payments/{paymentId}/retry qua Gateway (/v1, riêng health ở gốc).
3. Kiểm tra status, response schema, headers và tác động tại owner.
4. Nếu trả operation, tra cứu bằng đúng proof. Payment dùng GET Payment/attempt; OTP 202 chỉ tiếp nhận gửi mã.</x:v>
      </x:c>
      <x:c r="M303" s="9" t="str">
        <x:v>202: Đã tạo attempt mới, chưa xác nhận thanh toán thành công
Response đúng required/type/enum/oneOf của YAML, không trường bí mật; đọc không tạo tác động ghi ngoài quy tắc endpoint.</x:v>
      </x:c>
      <x:c r="N303" s="9" t="str">
        <x:v>HTTP request/response đã che token; bản ghi trước/sau tại DB sở hữu; correlationId và log/audit liên quan.</x:v>
      </x:c>
      <x:c r="O303" s="9" t="str">
        <x:v>FR10; FR11; FR12</x:v>
      </x:c>
      <x:c r="P303" s="9" t="str">
        <x:v>UC07; AC06</x:v>
      </x:c>
      <x:c r="Q303" s="9" t="str">
        <x:v>19,30</x:v>
      </x:c>
      <x:c r="R303" s="9" t="str">
        <x:v>Khôi phục dependency/fault injection nếu có; dùng bộ ID mới cho ca kế tiếp. Không xóa lịch sử/audit bằng API nghiệp vụ.</x:v>
      </x:c>
      <x:c r="S303" s="11" t="str"/>
      <x:c r="T303" s="11" t="str"/>
      <x:c r="U303" s="11" t="str"/>
      <x:c r="V303" s="11" t="str"/>
      <x:c r="W303" s="12"/>
      <x:c r="X303" s="9" t="str">
        <x:v>05-payment-api.yaml paths /payments/{paymentId}/retry post</x:v>
      </x:c>
    </x:row>
    <x:row r="304" ht="108" customHeight="1">
      <x:c r="A304" s="10" t="str">
        <x:v>TC13-API-040</x:v>
      </x:c>
      <x:c r="B304" s="10" t="str">
        <x:v>API</x:v>
      </x:c>
      <x:c r="C304" s="10" t="str">
        <x:v>Nhận kết quả từ nhà cung cấp thanh toán — hợp đồng cơ sở</x:v>
      </x:c>
      <x:c r="D304" s="10" t="str">
        <x:v>P1</x:v>
      </x:c>
      <x:c r="E304" s="10" t="str">
        <x:v>NEEDS_DECISION</x:v>
      </x:c>
      <x:c r="F304" s="10" t="str">
        <x:v>NOT_RUN</x:v>
      </x:c>
      <x:c r="G304" s="10" t="str">
        <x:v>D02</x:v>
      </x:c>
      <x:c r="H304" s="10" t="str">
        <x:v>CONTRACT</x:v>
      </x:c>
      <x:c r="I304" s="10" t="str">
        <x:v>POST /payments/webhooks/{provider}</x:v>
      </x:c>
      <x:c r="J304" s="10" t="str">
        <x:v>BASE. Provider sandbox allowlist; payload/chữ ký đúng adapter đã duyệt; merchantReference đã lưu.</x:v>
      </x:c>
      <x:c r="K304" s="10" t="str">
        <x:v>Fixture BASE và đối tượng đúng trạng thái nêu trong điều kiện. Body mẫu (thay placeholder bằng dữ liệu thực): {"payload": "&lt;raw bytes đúng provider D02&gt;", "signature": "&lt;chữ ký provider ở header tương ứng&gt;"}</x:v>
      </x:c>
      <x:c r="L304" s="10" t="str">
        <x:v>1. Chuẩn bị fixture đúng vai trò/chủ thể và trạng thái trong mô tả; đọc version nếu lệnh yêu cầu.
2. Gọi POST /payments/webhooks/{provider} qua Gateway (/v1, riêng health ở gốc).
3. Kiểm tra status, response schema, headers và tác động tại owner.
4. Nếu trả operation, tra cứu bằng đúng proof. Payment dùng GET Payment/attempt; OTP 202 chỉ tiếp nhận gửi mã.</x:v>
      </x:c>
      <x:c r="M304" s="10" t="str">
        <x:v>200: Callback hợp lệ đã được xử lý, lưu bền vững hoặc nhận diện trùng.
Body acknowledgement sẽ được chốt theo nhà cung cấp.
Response đúng required/type/enum/oneOf của YAML, không trường bí mật; đọc không tạo tác động ghi ngoài quy tắc endpoint.</x:v>
      </x:c>
      <x:c r="N304" s="10" t="str">
        <x:v>HTTP request/response đã che token; bản ghi trước/sau tại DB sở hữu; correlationId và log/audit liên quan.</x:v>
      </x:c>
      <x:c r="O304" s="10" t="str">
        <x:v>FR10; FR11; FR12</x:v>
      </x:c>
      <x:c r="P304" s="10" t="str">
        <x:v>UC07; AC06</x:v>
      </x:c>
      <x:c r="Q304" s="10" t="str">
        <x:v>19,30</x:v>
      </x:c>
      <x:c r="R304" s="10" t="str">
        <x:v>Khôi phục dependency/fault injection nếu có; dùng bộ ID mới cho ca kế tiếp. Không xóa lịch sử/audit bằng API nghiệp vụ.</x:v>
      </x:c>
      <x:c r="S304" s="11" t="str"/>
      <x:c r="T304" s="11" t="str"/>
      <x:c r="U304" s="11" t="str"/>
      <x:c r="V304" s="11" t="str"/>
      <x:c r="W304" s="12"/>
      <x:c r="X304" s="10" t="str">
        <x:v>05-payment-api.yaml paths /payments/webhooks/{provider} post</x:v>
      </x:c>
    </x:row>
    <x:row r="305" ht="94" customHeight="1">
      <x:c r="A305" s="9" t="str">
        <x:v>TC13-API-041</x:v>
      </x:c>
      <x:c r="B305" s="9" t="str">
        <x:v>API</x:v>
      </x:c>
      <x:c r="C305" s="9" t="str">
        <x:v>Lấy hộp thư của tài khoản đang đăng nhập — hợp đồng cơ sở</x:v>
      </x:c>
      <x:c r="D305" s="9" t="str">
        <x:v>P1</x:v>
      </x:c>
      <x:c r="E305" s="9" t="str">
        <x:v>DEFINED</x:v>
      </x:c>
      <x:c r="F305" s="9" t="str">
        <x:v>NOT_RUN</x:v>
      </x:c>
      <x:c r="G305" s="9" t="str"/>
      <x:c r="H305" s="9" t="str">
        <x:v>CONTRACT</x:v>
      </x:c>
      <x:c r="I305" s="9" t="str">
        <x:v>GET /notifications</x:v>
      </x:c>
      <x:c r="J305" s="9" t="str">
        <x:v>BASE. C_A có N_SENT; thêm N_PENDING/N_FAILED để xác minh không xuất hiện.</x:v>
      </x:c>
      <x:c r="K305" s="9" t="str">
        <x:v>Fixture BASE và đối tượng đúng trạng thái nêu trong điều kiện. Không gửi body nếu endpoint không nhận body. Query được phép: isRead, limit, cursor.</x:v>
      </x:c>
      <x:c r="L305" s="9" t="str">
        <x:v>1. Chuẩn bị fixture đúng vai trò/chủ thể và trạng thái trong mô tả; đọc version nếu lệnh yêu cầu.
2. Gọi GET /notifications qua Gateway (/v1, riêng health ở gốc).
3. Kiểm tra status, response schema, headers và tác động tại owner.
4. Nếu trả operation, tra cứu bằng đúng proof. Payment dùng GET Payment/attempt; OTP 202 chỉ tiếp nhận gửi mã.</x:v>
      </x:c>
      <x:c r="M305" s="9" t="str">
        <x:v>200: Danh sách thông báo của tài khoản hiện tại
Response đúng required/type/enum/oneOf của YAML, không trường bí mật; đọc không tạo tác động ghi ngoài quy tắc endpoint.</x:v>
      </x:c>
      <x:c r="N305" s="9" t="str">
        <x:v>HTTP request/response đã che token; bản ghi trước/sau tại DB sở hữu; correlationId và log/audit liên quan.</x:v>
      </x:c>
      <x:c r="O305" s="9" t="str">
        <x:v>FR13</x:v>
      </x:c>
      <x:c r="P305" s="9" t="str">
        <x:v>UC15; AC13</x:v>
      </x:c>
      <x:c r="Q305" s="9" t="str">
        <x:v>7,18,22</x:v>
      </x:c>
      <x:c r="R305" s="9" t="str">
        <x:v>Khôi phục dependency/fault injection nếu có; dùng bộ ID mới cho ca kế tiếp. Không xóa lịch sử/audit bằng API nghiệp vụ.</x:v>
      </x:c>
      <x:c r="S305" s="11" t="str"/>
      <x:c r="T305" s="11" t="str"/>
      <x:c r="U305" s="11" t="str"/>
      <x:c r="V305" s="11" t="str"/>
      <x:c r="W305" s="12"/>
      <x:c r="X305" s="9" t="str">
        <x:v>06-notification-api.yaml paths /notifications get</x:v>
      </x:c>
    </x:row>
    <x:row r="306" ht="108" customHeight="1">
      <x:c r="A306" s="10" t="str">
        <x:v>TC13-API-042</x:v>
      </x:c>
      <x:c r="B306" s="10" t="str">
        <x:v>API</x:v>
      </x:c>
      <x:c r="C306" s="10" t="str">
        <x:v>Đánh dấu một thông báo của mình là đã đọc — hợp đồng cơ sở</x:v>
      </x:c>
      <x:c r="D306" s="10" t="str">
        <x:v>P1</x:v>
      </x:c>
      <x:c r="E306" s="10" t="str">
        <x:v>DEFINED</x:v>
      </x:c>
      <x:c r="F306" s="10" t="str">
        <x:v>NOT_RUN</x:v>
      </x:c>
      <x:c r="G306" s="10" t="str"/>
      <x:c r="H306" s="10" t="str">
        <x:v>CONTRACT</x:v>
      </x:c>
      <x:c r="I306" s="10" t="str">
        <x:v>PATCH /notifications/{notificationId}/read</x:v>
      </x:c>
      <x:c r="J306" s="10" t="str">
        <x:v>BASE. C_A sở hữu N_SENT chưa đọc; không body.</x:v>
      </x:c>
      <x:c r="K306" s="10" t="str">
        <x:v>Fixture BASE và đối tượng đúng trạng thái nêu trong điều kiện. Không gửi body nếu endpoint không nhận body.</x:v>
      </x:c>
      <x:c r="L306" s="10" t="str">
        <x:v>1. Chuẩn bị fixture đúng vai trò/chủ thể và trạng thái trong mô tả; đọc version nếu lệnh yêu cầu.
2. Gọi PATCH /notifications/{notificationId}/read qua Gateway (/v1, riêng health ở gốc).
3. Kiểm tra status, response schema, headers và tác động tại owner.
4. Nếu trả operation, tra cứu bằng đúng proof. Payment dùng GET Payment/attempt; OTP 202 chỉ tiếp nhận gửi mã.</x:v>
      </x:c>
      <x:c r="M306" s="10" t="str">
        <x:v>200: Thông báo đã được đánh dấu đọc
Response đúng required/type/enum/oneOf của YAML, không trường bí mật; đọc không tạo tác động ghi ngoài quy tắc endpoint.</x:v>
      </x:c>
      <x:c r="N306" s="10" t="str">
        <x:v>HTTP request/response đã che token; bản ghi trước/sau tại DB sở hữu; correlationId và log/audit liên quan.</x:v>
      </x:c>
      <x:c r="O306" s="10" t="str">
        <x:v>FR13</x:v>
      </x:c>
      <x:c r="P306" s="10" t="str">
        <x:v>UC15; AC13</x:v>
      </x:c>
      <x:c r="Q306" s="10" t="str">
        <x:v>7,18,22</x:v>
      </x:c>
      <x:c r="R306" s="10" t="str">
        <x:v>Khôi phục dependency/fault injection nếu có; dùng bộ ID mới cho ca kế tiếp. Không xóa lịch sử/audit bằng API nghiệp vụ.</x:v>
      </x:c>
      <x:c r="S306" s="11" t="str"/>
      <x:c r="T306" s="11" t="str"/>
      <x:c r="U306" s="11" t="str"/>
      <x:c r="V306" s="11" t="str"/>
      <x:c r="W306" s="12"/>
      <x:c r="X306" s="10" t="str">
        <x:v>06-notification-api.yaml paths /notifications/{notificationId}/read patch</x:v>
      </x:c>
    </x:row>
    <x:row r="307" ht="94" customHeight="1">
      <x:c r="A307" s="9" t="str">
        <x:v>TC13-API-043</x:v>
      </x:c>
      <x:c r="B307" s="9" t="str">
        <x:v>API</x:v>
      </x:c>
      <x:c r="C307" s="9" t="str">
        <x:v>Đăng ký tài xế bằng số điện thoại đã xác minh OTP — hợp đồng cơ sở</x:v>
      </x:c>
      <x:c r="D307" s="9" t="str">
        <x:v>P1</x:v>
      </x:c>
      <x:c r="E307" s="9" t="str">
        <x:v>NEEDS_DECISION</x:v>
      </x:c>
      <x:c r="F307" s="9" t="str">
        <x:v>NOT_RUN</x:v>
      </x:c>
      <x:c r="G307" s="9" t="str">
        <x:v>D05,G02</x:v>
      </x:c>
      <x:c r="H307" s="9" t="str">
        <x:v>CONTRACT</x:v>
      </x:c>
      <x:c r="I307" s="9" t="str">
        <x:v>POST /driver-applications</x:v>
      </x:c>
      <x:c r="J307" s="9" t="str">
        <x:v>BASE. Anonymous; V_TOKEN đúng mục đích, còn hạn, chưa dùng; email/license mới và vehicle hợp lệ.</x:v>
      </x:c>
      <x:c r="K307" s="9" t="str">
        <x:v>Fixture BASE và đối tượng đúng trạng thái nêu trong điều kiện. Body mẫu (thay placeholder bằng dữ liệu thực): {"verificationToken": "&lt;V_TOKEN&gt;", "fullName": "Nguyễn An Test", "email": "cab.new@example.com", "password": "CabTest!2026", "licenseNumber": "GPLXTEST01", "vehicle": {"plateNumber": "59A-12345", "vehicleType": "STANDARD"}} Header bắt buộc: Idempotency-Key.</x:v>
      </x:c>
      <x:c r="L307" s="9" t="str">
        <x:v>1. Chuẩn bị fixture đúng vai trò/chủ thể và trạng thái trong mô tả; đọc version nếu lệnh yêu cầu.
2. Gọi POST /driver-applications qua Gateway (/v1, riêng health ở gốc).
3. Kiểm tra status, response schema, headers và tác động tại owner.
4. Nếu trả operation, tra cứu bằng đúng proof. Payment dùng GET Payment/attempt; OTP 202 chỉ tiếp nhận gửi mã.</x:v>
      </x:c>
      <x:c r="M307" s="9" t="str">
        <x:v>201: Đã tạo tài khoản và hồ sơ đăng ký chờ xét duyệt
202: Đăng ký đã tiếp nhận bền vững, cấp phát hồ sơ chưa hoàn tất; chưa đăng nhập được.
Response đúng required/type/enum/oneOf của YAML, không trường bí mật; đọc không tạo tác động ghi ngoài quy tắc endpoint.</x:v>
      </x:c>
      <x:c r="N307" s="9" t="str">
        <x:v>HTTP request/response đã che token; bản ghi trước/sau tại DB sở hữu; correlationId và log/audit liên quan.</x:v>
      </x:c>
      <x:c r="O307" s="9" t="str">
        <x:v>FR23</x:v>
      </x:c>
      <x:c r="P307" s="9" t="str">
        <x:v>UC17; AC15</x:v>
      </x:c>
      <x:c r="Q307" s="9" t="str">
        <x:v>21</x:v>
      </x:c>
      <x:c r="R307" s="9" t="str">
        <x:v>Khôi phục dependency/fault injection nếu có; dùng bộ ID mới cho ca kế tiếp. Không xóa lịch sử/audit bằng API nghiệp vụ.</x:v>
      </x:c>
      <x:c r="S307" s="11" t="str"/>
      <x:c r="T307" s="11" t="str"/>
      <x:c r="U307" s="11" t="str"/>
      <x:c r="V307" s="11" t="str"/>
      <x:c r="W307" s="12"/>
      <x:c r="X307" s="9" t="str">
        <x:v>07-operations-api.yaml paths /driver-applications post</x:v>
      </x:c>
    </x:row>
    <x:row r="308" ht="94" customHeight="1">
      <x:c r="A308" s="10" t="str">
        <x:v>TC13-API-044</x:v>
      </x:c>
      <x:c r="B308" s="10" t="str">
        <x:v>API</x:v>
      </x:c>
      <x:c r="C308" s="10" t="str">
        <x:v>Tài xế xem hồ sơ đăng ký của mình — hợp đồng cơ sở</x:v>
      </x:c>
      <x:c r="D308" s="10" t="str">
        <x:v>P1</x:v>
      </x:c>
      <x:c r="E308" s="10" t="str">
        <x:v>DEFINED</x:v>
      </x:c>
      <x:c r="F308" s="10" t="str">
        <x:v>NOT_RUN</x:v>
      </x:c>
      <x:c r="G308" s="10" t="str"/>
      <x:c r="H308" s="10" t="str">
        <x:v>CONTRACT</x:v>
      </x:c>
      <x:c r="I308" s="10" t="str">
        <x:v>GET /driver-applications/me</x:v>
      </x:c>
      <x:c r="J308" s="10" t="str">
        <x:v>BASE. D_PENDING đã cấp phát xong và login; có Application SUBMITTED.</x:v>
      </x:c>
      <x:c r="K308" s="10" t="str">
        <x:v>Fixture BASE và đối tượng đúng trạng thái nêu trong điều kiện. Không gửi body nếu endpoint không nhận body.</x:v>
      </x:c>
      <x:c r="L308" s="10" t="str">
        <x:v>1. Chuẩn bị fixture đúng vai trò/chủ thể và trạng thái trong mô tả; đọc version nếu lệnh yêu cầu.
2. Gọi GET /driver-applications/me qua Gateway (/v1, riêng health ở gốc).
3. Kiểm tra status, response schema, headers và tác động tại owner.
4. Nếu trả operation, tra cứu bằng đúng proof. Payment dùng GET Payment/attempt; OTP 202 chỉ tiếp nhận gửi mã.</x:v>
      </x:c>
      <x:c r="M308" s="10" t="str">
        <x:v>200: Hồ sơ đăng ký tài xế
Response đúng required/type/enum/oneOf của YAML, không trường bí mật; đọc không tạo tác động ghi ngoài quy tắc endpoint.</x:v>
      </x:c>
      <x:c r="N308" s="10" t="str">
        <x:v>HTTP request/response đã che token; bản ghi trước/sau tại DB sở hữu; correlationId và log/audit liên quan.</x:v>
      </x:c>
      <x:c r="O308" s="10" t="str">
        <x:v>FR23</x:v>
      </x:c>
      <x:c r="P308" s="10" t="str">
        <x:v>UC17; AC15</x:v>
      </x:c>
      <x:c r="Q308" s="10" t="str">
        <x:v>21</x:v>
      </x:c>
      <x:c r="R308" s="10" t="str">
        <x:v>Khôi phục dependency/fault injection nếu có; dùng bộ ID mới cho ca kế tiếp. Không xóa lịch sử/audit bằng API nghiệp vụ.</x:v>
      </x:c>
      <x:c r="S308" s="11" t="str"/>
      <x:c r="T308" s="11" t="str"/>
      <x:c r="U308" s="11" t="str"/>
      <x:c r="V308" s="11" t="str"/>
      <x:c r="W308" s="12"/>
      <x:c r="X308" s="10" t="str">
        <x:v>07-operations-api.yaml paths /driver-applications/me get</x:v>
      </x:c>
    </x:row>
    <x:row r="309" ht="108" customHeight="1">
      <x:c r="A309" s="9" t="str">
        <x:v>TC13-API-045</x:v>
      </x:c>
      <x:c r="B309" s="9" t="str">
        <x:v>API</x:v>
      </x:c>
      <x:c r="C309" s="9" t="str">
        <x:v>Điều hành viên xem danh sách hồ sơ đăng ký — hợp đồng cơ sở</x:v>
      </x:c>
      <x:c r="D309" s="9" t="str">
        <x:v>P1</x:v>
      </x:c>
      <x:c r="E309" s="9" t="str">
        <x:v>DEFINED</x:v>
      </x:c>
      <x:c r="F309" s="9" t="str">
        <x:v>NOT_RUN</x:v>
      </x:c>
      <x:c r="G309" s="9" t="str"/>
      <x:c r="H309" s="9" t="str">
        <x:v>CONTRACT</x:v>
      </x:c>
      <x:c r="I309" s="9" t="str">
        <x:v>GET /operations/driver-applications</x:v>
      </x:c>
      <x:c r="J309" s="9" t="str">
        <x:v>BASE. O_A; có hồ sơ SUBMITTED/APPROVED/REJECTED để lọc và phân trang.</x:v>
      </x:c>
      <x:c r="K309" s="9" t="str">
        <x:v>Fixture BASE và đối tượng đúng trạng thái nêu trong điều kiện. Không gửi body nếu endpoint không nhận body. Query được phép: status, limit, cursor.</x:v>
      </x:c>
      <x:c r="L309" s="9" t="str">
        <x:v>1. Chuẩn bị fixture đúng vai trò/chủ thể và trạng thái trong mô tả; đọc version nếu lệnh yêu cầu.
2. Gọi GET /operations/driver-applications qua Gateway (/v1, riêng health ở gốc).
3. Kiểm tra status, response schema, headers và tác động tại owner.
4. Nếu trả operation, tra cứu bằng đúng proof. Payment dùng GET Payment/attempt; OTP 202 chỉ tiếp nhận gửi mã.</x:v>
      </x:c>
      <x:c r="M309" s="9" t="str">
        <x:v>200: Danh sách hồ sơ đăng ký
Response đúng required/type/enum/oneOf của YAML, không trường bí mật; đọc không tạo tác động ghi ngoài quy tắc endpoint.</x:v>
      </x:c>
      <x:c r="N309" s="9" t="str">
        <x:v>HTTP request/response đã che token; bản ghi trước/sau tại DB sở hữu; correlationId và log/audit liên quan.</x:v>
      </x:c>
      <x:c r="O309" s="9" t="str">
        <x:v>FR17; FR28; NFR18</x:v>
      </x:c>
      <x:c r="P309" s="9" t="str">
        <x:v>UC10; AC09; AC15; UC22; AC21</x:v>
      </x:c>
      <x:c r="Q309" s="9" t="str">
        <x:v>22</x:v>
      </x:c>
      <x:c r="R309" s="9" t="str">
        <x:v>Khôi phục dependency/fault injection nếu có; dùng bộ ID mới cho ca kế tiếp. Không xóa lịch sử/audit bằng API nghiệp vụ.</x:v>
      </x:c>
      <x:c r="S309" s="11" t="str"/>
      <x:c r="T309" s="11" t="str"/>
      <x:c r="U309" s="11" t="str"/>
      <x:c r="V309" s="11" t="str"/>
      <x:c r="W309" s="12"/>
      <x:c r="X309" s="9" t="str">
        <x:v>07-operations-api.yaml paths /operations/driver-applications get</x:v>
      </x:c>
    </x:row>
    <x:row r="310" ht="108" customHeight="1">
      <x:c r="A310" s="10" t="str">
        <x:v>TC13-API-046</x:v>
      </x:c>
      <x:c r="B310" s="10" t="str">
        <x:v>API</x:v>
      </x:c>
      <x:c r="C310" s="10" t="str">
        <x:v>Điều hành viên xem chi tiết hồ sơ đăng ký — hợp đồng cơ sở</x:v>
      </x:c>
      <x:c r="D310" s="10" t="str">
        <x:v>P1</x:v>
      </x:c>
      <x:c r="E310" s="10" t="str">
        <x:v>DEFINED</x:v>
      </x:c>
      <x:c r="F310" s="10" t="str">
        <x:v>NOT_RUN</x:v>
      </x:c>
      <x:c r="G310" s="10" t="str"/>
      <x:c r="H310" s="10" t="str">
        <x:v>CONTRACT</x:v>
      </x:c>
      <x:c r="I310" s="10" t="str">
        <x:v>GET /operations/driver-applications/{applicationId}</x:v>
      </x:c>
      <x:c r="J310" s="10" t="str">
        <x:v>BASE. O_A; applicationId tồn tại.</x:v>
      </x:c>
      <x:c r="K310" s="10" t="str">
        <x:v>Fixture BASE và đối tượng đúng trạng thái nêu trong điều kiện. Không gửi body nếu endpoint không nhận body.</x:v>
      </x:c>
      <x:c r="L310" s="10" t="str">
        <x:v>1. Chuẩn bị fixture đúng vai trò/chủ thể và trạng thái trong mô tả; đọc version nếu lệnh yêu cầu.
2. Gọi GET /operations/driver-applications/{applicationId} qua Gateway (/v1, riêng health ở gốc).
3. Kiểm tra status, response schema, headers và tác động tại owner.
4. Nếu trả operation, tra cứu bằng đúng proof. Payment dùng GET Payment/attempt; OTP 202 chỉ tiếp nhận gửi mã.</x:v>
      </x:c>
      <x:c r="M310" s="10" t="str">
        <x:v>200: Hồ sơ đăng ký tài xế
Response đúng required/type/enum/oneOf của YAML, không trường bí mật; đọc không tạo tác động ghi ngoài quy tắc endpoint.</x:v>
      </x:c>
      <x:c r="N310" s="10" t="str">
        <x:v>HTTP request/response đã che token; bản ghi trước/sau tại DB sở hữu; correlationId và log/audit liên quan.</x:v>
      </x:c>
      <x:c r="O310" s="10" t="str">
        <x:v>FR17; FR28; NFR18</x:v>
      </x:c>
      <x:c r="P310" s="10" t="str">
        <x:v>UC10; AC09; AC15; UC22; AC21</x:v>
      </x:c>
      <x:c r="Q310" s="10" t="str">
        <x:v>22</x:v>
      </x:c>
      <x:c r="R310" s="10" t="str">
        <x:v>Khôi phục dependency/fault injection nếu có; dùng bộ ID mới cho ca kế tiếp. Không xóa lịch sử/audit bằng API nghiệp vụ.</x:v>
      </x:c>
      <x:c r="S310" s="11" t="str"/>
      <x:c r="T310" s="11" t="str"/>
      <x:c r="U310" s="11" t="str"/>
      <x:c r="V310" s="11" t="str"/>
      <x:c r="W310" s="12"/>
      <x:c r="X310" s="10" t="str">
        <x:v>07-operations-api.yaml paths /operations/driver-applications/{applicationId} get</x:v>
      </x:c>
    </x:row>
    <x:row r="311" ht="108" customHeight="1">
      <x:c r="A311" s="9" t="str">
        <x:v>TC13-API-047</x:v>
      </x:c>
      <x:c r="B311" s="9" t="str">
        <x:v>API</x:v>
      </x:c>
      <x:c r="C311" s="9" t="str">
        <x:v>Duyệt hoặc từ chối hồ sơ đăng ký tài xế — hợp đồng cơ sở</x:v>
      </x:c>
      <x:c r="D311" s="9" t="str">
        <x:v>P1</x:v>
      </x:c>
      <x:c r="E311" s="9" t="str">
        <x:v>DEFINED</x:v>
      </x:c>
      <x:c r="F311" s="9" t="str">
        <x:v>NOT_RUN</x:v>
      </x:c>
      <x:c r="G311" s="9" t="str"/>
      <x:c r="H311" s="9" t="str">
        <x:v>CONTRACT</x:v>
      </x:c>
      <x:c r="I311" s="9" t="str">
        <x:v>POST /operations/driver-applications/{applicationId}/review</x:v>
      </x:c>
      <x:c r="J311" s="9" t="str">
        <x:v>BASE. O_A; SUBMITTED/PENDING_APPROVAL/OFFLINE; version Application/Driver mới; biển số chưa tồn tại. Dùng APPROVED, không vehicleId để tạo xe.</x:v>
      </x:c>
      <x:c r="K311" s="9" t="str">
        <x:v>Fixture BASE và đối tượng đúng trạng thái nêu trong điều kiện. Body mẫu (thay placeholder bằng dữ liệu thực): {"expectedVersion": "&lt;Application.version&gt;", "expectedDriverVersion": "&lt;Driver.version&gt;", "decision": "APPROVED"} Header bắt buộc: Idempotency-Key.</x:v>
      </x:c>
      <x:c r="L311" s="9" t="str">
        <x:v>1. Chuẩn bị fixture đúng vai trò/chủ thể và trạng thái trong mô tả; đọc version nếu lệnh yêu cầu.
2. Gọi POST /operations/driver-applications/{applicationId}/review qua Gateway (/v1, riêng health ở gốc).
3. Kiểm tra status, response schema, headers và tác động tại owner.
4. Nếu trả operation, tra cứu bằng đúng proof. Payment dùng GET Payment/attempt; OTP 202 chỉ tiếp nhận gửi mã.</x:v>
      </x:c>
      <x:c r="M311" s="9" t="str">
        <x:v>200: Kết quả xét duyệt và các bản ghi liên quan
Response đúng required/type/enum/oneOf của YAML, không trường bí mật; đọc không tạo tác động ghi ngoài quy tắc endpoint.</x:v>
      </x:c>
      <x:c r="N311" s="9" t="str">
        <x:v>HTTP request/response đã che token; bản ghi trước/sau tại DB sở hữu; correlationId và log/audit liên quan.</x:v>
      </x:c>
      <x:c r="O311" s="9" t="str">
        <x:v>FR17; FR28; NFR18</x:v>
      </x:c>
      <x:c r="P311" s="9" t="str">
        <x:v>UC10; AC09; AC15; UC22; AC21</x:v>
      </x:c>
      <x:c r="Q311" s="9" t="str">
        <x:v>22</x:v>
      </x:c>
      <x:c r="R311" s="9" t="str">
        <x:v>Khôi phục dependency/fault injection nếu có; dùng bộ ID mới cho ca kế tiếp. Không xóa lịch sử/audit bằng API nghiệp vụ.</x:v>
      </x:c>
      <x:c r="S311" s="11" t="str"/>
      <x:c r="T311" s="11" t="str"/>
      <x:c r="U311" s="11" t="str"/>
      <x:c r="V311" s="11" t="str"/>
      <x:c r="W311" s="12"/>
      <x:c r="X311" s="9" t="str">
        <x:v>07-operations-api.yaml paths /operations/driver-applications/{applicationId}/review post</x:v>
      </x:c>
    </x:row>
    <x:row r="312" ht="94" customHeight="1">
      <x:c r="A312" s="10" t="str">
        <x:v>TC13-API-048</x:v>
      </x:c>
      <x:c r="B312" s="10" t="str">
        <x:v>API</x:v>
      </x:c>
      <x:c r="C312" s="10" t="str">
        <x:v>Liệt kê tài khoản khách hàng và tài xế — hợp đồng cơ sở</x:v>
      </x:c>
      <x:c r="D312" s="10" t="str">
        <x:v>P1</x:v>
      </x:c>
      <x:c r="E312" s="10" t="str">
        <x:v>DEFINED</x:v>
      </x:c>
      <x:c r="F312" s="10" t="str">
        <x:v>NOT_RUN</x:v>
      </x:c>
      <x:c r="G312" s="10" t="str"/>
      <x:c r="H312" s="10" t="str">
        <x:v>CONTRACT</x:v>
      </x:c>
      <x:c r="I312" s="10" t="str">
        <x:v>GET /operations/accounts</x:v>
      </x:c>
      <x:c r="J312" s="10" t="str">
        <x:v>BASE. O_A; có CUSTOMER và DRIVER ở các trạng thái.</x:v>
      </x:c>
      <x:c r="K312" s="10" t="str">
        <x:v>Fixture BASE và đối tượng đúng trạng thái nêu trong điều kiện. Không gửi body nếu endpoint không nhận body. Query được phép: role, accountStatus, limit, cursor.</x:v>
      </x:c>
      <x:c r="L312" s="10" t="str">
        <x:v>1. Chuẩn bị fixture đúng vai trò/chủ thể và trạng thái trong mô tả; đọc version nếu lệnh yêu cầu.
2. Gọi GET /operations/accounts qua Gateway (/v1, riêng health ở gốc).
3. Kiểm tra status, response schema, headers và tác động tại owner.
4. Nếu trả operation, tra cứu bằng đúng proof. Payment dùng GET Payment/attempt; OTP 202 chỉ tiếp nhận gửi mã.</x:v>
      </x:c>
      <x:c r="M312" s="10" t="str">
        <x:v>200: Danh sách tài khoản
Response đúng required/type/enum/oneOf của YAML, không trường bí mật; đọc không tạo tác động ghi ngoài quy tắc endpoint.</x:v>
      </x:c>
      <x:c r="N312" s="10" t="str">
        <x:v>HTTP request/response đã che token; bản ghi trước/sau tại DB sở hữu; correlationId và log/audit liên quan.</x:v>
      </x:c>
      <x:c r="O312" s="10" t="str">
        <x:v>FR14; FR01; FR28; NFR18</x:v>
      </x:c>
      <x:c r="P312" s="10" t="str">
        <x:v>UC09; AC08; UC22; AC21</x:v>
      </x:c>
      <x:c r="Q312" s="10" t="str">
        <x:v>28</x:v>
      </x:c>
      <x:c r="R312" s="10" t="str">
        <x:v>Khôi phục dependency/fault injection nếu có; dùng bộ ID mới cho ca kế tiếp. Không xóa lịch sử/audit bằng API nghiệp vụ.</x:v>
      </x:c>
      <x:c r="S312" s="11" t="str"/>
      <x:c r="T312" s="11" t="str"/>
      <x:c r="U312" s="11" t="str"/>
      <x:c r="V312" s="11" t="str"/>
      <x:c r="W312" s="12"/>
      <x:c r="X312" s="10" t="str">
        <x:v>07-operations-api.yaml paths /operations/accounts get</x:v>
      </x:c>
    </x:row>
    <x:row r="313" ht="108" customHeight="1">
      <x:c r="A313" s="9" t="str">
        <x:v>TC13-API-049</x:v>
      </x:c>
      <x:c r="B313" s="9" t="str">
        <x:v>API</x:v>
      </x:c>
      <x:c r="C313" s="9" t="str">
        <x:v>Thay đổi trạng thái tài khoản khách hàng hoặc tài xế — hợp đồng cơ sở</x:v>
      </x:c>
      <x:c r="D313" s="9" t="str">
        <x:v>P1</x:v>
      </x:c>
      <x:c r="E313" s="9" t="str">
        <x:v>DEFINED</x:v>
      </x:c>
      <x:c r="F313" s="9" t="str">
        <x:v>NOT_RUN</x:v>
      </x:c>
      <x:c r="G313" s="9" t="str"/>
      <x:c r="H313" s="9" t="str">
        <x:v>CONTRACT</x:v>
      </x:c>
      <x:c r="I313" s="9" t="str">
        <x:v>PATCH /operations/accounts/{accountId}/status</x:v>
      </x:c>
      <x:c r="J313" s="9" t="str">
        <x:v>BASE. O_A khóa Account DRIVER/CUSTOMER ACTIVE bằng SUSPENDED; expectedVersion đúng; reason không trắng.</x:v>
      </x:c>
      <x:c r="K313" s="9" t="str">
        <x:v>Fixture BASE và đối tượng đúng trạng thái nêu trong điều kiện. Body mẫu (thay placeholder bằng dữ liệu thực): {"expectedVersion": "&lt;Account.version&gt;", "accountStatus": "SUSPENDED", "reason": "Khóa thử nghiệm"} Header bắt buộc: Idempotency-Key.</x:v>
      </x:c>
      <x:c r="L313" s="9" t="str">
        <x:v>1. Chuẩn bị fixture đúng vai trò/chủ thể và trạng thái trong mô tả; đọc version nếu lệnh yêu cầu.
2. Gọi PATCH /operations/accounts/{accountId}/status qua Gateway (/v1, riêng health ở gốc).
3. Kiểm tra status, response schema, headers và tác động tại owner.
4. Nếu trả operation, tra cứu bằng đúng proof. Payment dùng GET Payment/attempt; OTP 202 chỉ tiếp nhận gửi mã.</x:v>
      </x:c>
      <x:c r="M313" s="9" t="str">
        <x:v>200: Tài khoản và công việc liên quan sau thao tác
Response đúng required/type/enum/oneOf của YAML, không trường bí mật; đọc không tạo tác động ghi ngoài quy tắc endpoint.</x:v>
      </x:c>
      <x:c r="N313" s="9" t="str">
        <x:v>HTTP request/response đã che token; bản ghi trước/sau tại DB sở hữu; correlationId và log/audit liên quan.</x:v>
      </x:c>
      <x:c r="O313" s="9" t="str">
        <x:v>FR14; FR01; FR28; NFR18</x:v>
      </x:c>
      <x:c r="P313" s="9" t="str">
        <x:v>UC09; AC08; UC22; AC21</x:v>
      </x:c>
      <x:c r="Q313" s="9" t="str">
        <x:v>28</x:v>
      </x:c>
      <x:c r="R313" s="9" t="str">
        <x:v>Khôi phục dependency/fault injection nếu có; dùng bộ ID mới cho ca kế tiếp. Không xóa lịch sử/audit bằng API nghiệp vụ.</x:v>
      </x:c>
      <x:c r="S313" s="11" t="str"/>
      <x:c r="T313" s="11" t="str"/>
      <x:c r="U313" s="11" t="str"/>
      <x:c r="V313" s="11" t="str"/>
      <x:c r="W313" s="12"/>
      <x:c r="X313" s="9" t="str">
        <x:v>07-operations-api.yaml paths /operations/accounts/{accountId}/status patch</x:v>
      </x:c>
    </x:row>
    <x:row r="314" ht="94" customHeight="1">
      <x:c r="A314" s="10" t="str">
        <x:v>TC13-API-050</x:v>
      </x:c>
      <x:c r="B314" s="10" t="str">
        <x:v>API</x:v>
      </x:c>
      <x:c r="C314" s="10" t="str">
        <x:v>Liệt kê hồ sơ tài xế — hợp đồng cơ sở</x:v>
      </x:c>
      <x:c r="D314" s="10" t="str">
        <x:v>P1</x:v>
      </x:c>
      <x:c r="E314" s="10" t="str">
        <x:v>DEFINED</x:v>
      </x:c>
      <x:c r="F314" s="10" t="str">
        <x:v>NOT_RUN</x:v>
      </x:c>
      <x:c r="G314" s="10" t="str"/>
      <x:c r="H314" s="10" t="str">
        <x:v>CONTRACT</x:v>
      </x:c>
      <x:c r="I314" s="10" t="str">
        <x:v>GET /operations/drivers</x:v>
      </x:c>
      <x:c r="J314" s="10" t="str">
        <x:v>BASE. O_A; có Driver nhiều trạng thái.</x:v>
      </x:c>
      <x:c r="K314" s="10" t="str">
        <x:v>Fixture BASE và đối tượng đúng trạng thái nêu trong điều kiện. Không gửi body nếu endpoint không nhận body. Query được phép: approvalStatus, driverStatus, limit, cursor.</x:v>
      </x:c>
      <x:c r="L314" s="10" t="str">
        <x:v>1. Chuẩn bị fixture đúng vai trò/chủ thể và trạng thái trong mô tả; đọc version nếu lệnh yêu cầu.
2. Gọi GET /operations/drivers qua Gateway (/v1, riêng health ở gốc).
3. Kiểm tra status, response schema, headers và tác động tại owner.
4. Nếu trả operation, tra cứu bằng đúng proof. Payment dùng GET Payment/attempt; OTP 202 chỉ tiếp nhận gửi mã.</x:v>
      </x:c>
      <x:c r="M314" s="10" t="str">
        <x:v>200: Danh sách tài xế
Response đúng required/type/enum/oneOf của YAML, không trường bí mật; đọc không tạo tác động ghi ngoài quy tắc endpoint.</x:v>
      </x:c>
      <x:c r="N314" s="10" t="str">
        <x:v>HTTP request/response đã che token; bản ghi trước/sau tại DB sở hữu; correlationId và log/audit liên quan.</x:v>
      </x:c>
      <x:c r="O314" s="10" t="str">
        <x:v>FR17; FR28; NFR18</x:v>
      </x:c>
      <x:c r="P314" s="10" t="str">
        <x:v>UC10; AC09; AC15; UC22; AC21</x:v>
      </x:c>
      <x:c r="Q314" s="10" t="str">
        <x:v>22</x:v>
      </x:c>
      <x:c r="R314" s="10" t="str">
        <x:v>Khôi phục dependency/fault injection nếu có; dùng bộ ID mới cho ca kế tiếp. Không xóa lịch sử/audit bằng API nghiệp vụ.</x:v>
      </x:c>
      <x:c r="S314" s="11" t="str"/>
      <x:c r="T314" s="11" t="str"/>
      <x:c r="U314" s="11" t="str"/>
      <x:c r="V314" s="11" t="str"/>
      <x:c r="W314" s="12"/>
      <x:c r="X314" s="10" t="str">
        <x:v>07-operations-api.yaml paths /operations/drivers get</x:v>
      </x:c>
    </x:row>
    <x:row r="315" ht="108" customHeight="1">
      <x:c r="A315" s="9" t="str">
        <x:v>TC13-API-051</x:v>
      </x:c>
      <x:c r="B315" s="9" t="str">
        <x:v>API</x:v>
      </x:c>
      <x:c r="C315" s="9" t="str">
        <x:v>Điều hành viên xem chi tiết tài xế — hợp đồng cơ sở</x:v>
      </x:c>
      <x:c r="D315" s="9" t="str">
        <x:v>P1</x:v>
      </x:c>
      <x:c r="E315" s="9" t="str">
        <x:v>DEFINED</x:v>
      </x:c>
      <x:c r="F315" s="9" t="str">
        <x:v>NOT_RUN</x:v>
      </x:c>
      <x:c r="G315" s="9" t="str"/>
      <x:c r="H315" s="9" t="str">
        <x:v>CONTRACT</x:v>
      </x:c>
      <x:c r="I315" s="9" t="str">
        <x:v>GET /operations/drivers/{driverId}</x:v>
      </x:c>
      <x:c r="J315" s="9" t="str">
        <x:v>BASE. O_A; D_A tồn tại với phân công xe hiện tại.</x:v>
      </x:c>
      <x:c r="K315" s="9" t="str">
        <x:v>Fixture BASE và đối tượng đúng trạng thái nêu trong điều kiện. Không gửi body nếu endpoint không nhận body.</x:v>
      </x:c>
      <x:c r="L315" s="9" t="str">
        <x:v>1. Chuẩn bị fixture đúng vai trò/chủ thể và trạng thái trong mô tả; đọc version nếu lệnh yêu cầu.
2. Gọi GET /operations/drivers/{driverId} qua Gateway (/v1, riêng health ở gốc).
3. Kiểm tra status, response schema, headers và tác động tại owner.
4. Nếu trả operation, tra cứu bằng đúng proof. Payment dùng GET Payment/attempt; OTP 202 chỉ tiếp nhận gửi mã.</x:v>
      </x:c>
      <x:c r="M315" s="9" t="str">
        <x:v>200: Hồ sơ tài xế và xe đang phân công nếu có
Response đúng required/type/enum/oneOf của YAML, không trường bí mật; đọc không tạo tác động ghi ngoài quy tắc endpoint.</x:v>
      </x:c>
      <x:c r="N315" s="9" t="str">
        <x:v>HTTP request/response đã che token; bản ghi trước/sau tại DB sở hữu; correlationId và log/audit liên quan.</x:v>
      </x:c>
      <x:c r="O315" s="9" t="str">
        <x:v>FR17; FR28; NFR18</x:v>
      </x:c>
      <x:c r="P315" s="9" t="str">
        <x:v>UC10; AC09; AC15; UC22; AC21</x:v>
      </x:c>
      <x:c r="Q315" s="9" t="str">
        <x:v>22</x:v>
      </x:c>
      <x:c r="R315" s="9" t="str">
        <x:v>Khôi phục dependency/fault injection nếu có; dùng bộ ID mới cho ca kế tiếp. Không xóa lịch sử/audit bằng API nghiệp vụ.</x:v>
      </x:c>
      <x:c r="S315" s="11" t="str"/>
      <x:c r="T315" s="11" t="str"/>
      <x:c r="U315" s="11" t="str"/>
      <x:c r="V315" s="11" t="str"/>
      <x:c r="W315" s="12"/>
      <x:c r="X315" s="9" t="str">
        <x:v>07-operations-api.yaml paths /operations/drivers/{driverId} get</x:v>
      </x:c>
    </x:row>
    <x:row r="316" ht="94" customHeight="1">
      <x:c r="A316" s="10" t="str">
        <x:v>TC13-API-052</x:v>
      </x:c>
      <x:c r="B316" s="10" t="str">
        <x:v>API</x:v>
      </x:c>
      <x:c r="C316" s="10" t="str">
        <x:v>Tài xế xem hồ sơ của mình — hợp đồng cơ sở</x:v>
      </x:c>
      <x:c r="D316" s="10" t="str">
        <x:v>P1</x:v>
      </x:c>
      <x:c r="E316" s="10" t="str">
        <x:v>DEFINED</x:v>
      </x:c>
      <x:c r="F316" s="10" t="str">
        <x:v>NOT_RUN</x:v>
      </x:c>
      <x:c r="G316" s="10" t="str"/>
      <x:c r="H316" s="10" t="str">
        <x:v>CONTRACT</x:v>
      </x:c>
      <x:c r="I316" s="10" t="str">
        <x:v>GET /drivers/me</x:v>
      </x:c>
      <x:c r="J316" s="10" t="str">
        <x:v>BASE. D_A có Account ACTIVE/Session hợp lệ; đọc hồ sơ mình.</x:v>
      </x:c>
      <x:c r="K316" s="10" t="str">
        <x:v>Fixture BASE và đối tượng đúng trạng thái nêu trong điều kiện. Không gửi body nếu endpoint không nhận body.</x:v>
      </x:c>
      <x:c r="L316" s="10" t="str">
        <x:v>1. Chuẩn bị fixture đúng vai trò/chủ thể và trạng thái trong mô tả; đọc version nếu lệnh yêu cầu.
2. Gọi GET /drivers/me qua Gateway (/v1, riêng health ở gốc).
3. Kiểm tra status, response schema, headers và tác động tại owner.
4. Nếu trả operation, tra cứu bằng đúng proof. Payment dùng GET Payment/attempt; OTP 202 chỉ tiếp nhận gửi mã.</x:v>
      </x:c>
      <x:c r="M316" s="10" t="str">
        <x:v>200: Hồ sơ tài xế và xe đang phân công nếu có
Response đúng required/type/enum/oneOf của YAML, không trường bí mật; đọc không tạo tác động ghi ngoài quy tắc endpoint.</x:v>
      </x:c>
      <x:c r="N316" s="10" t="str">
        <x:v>HTTP request/response đã che token; bản ghi trước/sau tại DB sở hữu; correlationId và log/audit liên quan.</x:v>
      </x:c>
      <x:c r="O316" s="10" t="str">
        <x:v>FR17</x:v>
      </x:c>
      <x:c r="P316" s="10" t="str">
        <x:v>UC10; AC09; AC15</x:v>
      </x:c>
      <x:c r="Q316" s="10" t="str">
        <x:v>22</x:v>
      </x:c>
      <x:c r="R316" s="10" t="str">
        <x:v>Khôi phục dependency/fault injection nếu có; dùng bộ ID mới cho ca kế tiếp. Không xóa lịch sử/audit bằng API nghiệp vụ.</x:v>
      </x:c>
      <x:c r="S316" s="11" t="str"/>
      <x:c r="T316" s="11" t="str"/>
      <x:c r="U316" s="11" t="str"/>
      <x:c r="V316" s="11" t="str"/>
      <x:c r="W316" s="12"/>
      <x:c r="X316" s="10" t="str">
        <x:v>07-operations-api.yaml paths /drivers/me get</x:v>
      </x:c>
    </x:row>
    <x:row r="317" ht="94" customHeight="1">
      <x:c r="A317" s="9" t="str">
        <x:v>TC13-API-053</x:v>
      </x:c>
      <x:c r="B317" s="9" t="str">
        <x:v>API</x:v>
      </x:c>
      <x:c r="C317" s="9" t="str">
        <x:v>Lấy thông tin tài xế theo ID trong phạm vi được phép — hợp đồng cơ sở</x:v>
      </x:c>
      <x:c r="D317" s="9" t="str">
        <x:v>P1</x:v>
      </x:c>
      <x:c r="E317" s="9" t="str">
        <x:v>DEFINED</x:v>
      </x:c>
      <x:c r="F317" s="9" t="str">
        <x:v>NOT_RUN</x:v>
      </x:c>
      <x:c r="G317" s="9" t="str"/>
      <x:c r="H317" s="9" t="str">
        <x:v>CONTRACT</x:v>
      </x:c>
      <x:c r="I317" s="9" t="str">
        <x:v>GET /drivers/{driverId}</x:v>
      </x:c>
      <x:c r="J317" s="9" t="str">
        <x:v>BASE. C_A đã có Trip với D_A; chỉ trả driverId/fullName.</x:v>
      </x:c>
      <x:c r="K317" s="9" t="str">
        <x:v>Fixture BASE và đối tượng đúng trạng thái nêu trong điều kiện. Không gửi body nếu endpoint không nhận body.</x:v>
      </x:c>
      <x:c r="L317" s="9" t="str">
        <x:v>1. Chuẩn bị fixture đúng vai trò/chủ thể và trạng thái trong mô tả; đọc version nếu lệnh yêu cầu.
2. Gọi GET /drivers/{driverId} qua Gateway (/v1, riêng health ở gốc).
3. Kiểm tra status, response schema, headers và tác động tại owner.
4. Nếu trả operation, tra cứu bằng đúng proof. Payment dùng GET Payment/attempt; OTP 202 chỉ tiếp nhận gửi mã.</x:v>
      </x:c>
      <x:c r="M317" s="9" t="str">
        <x:v>200: Thông tin hiển thị tối thiểu của tài xế
Response đúng required/type/enum/oneOf của YAML, không trường bí mật; đọc không tạo tác động ghi ngoài quy tắc endpoint.</x:v>
      </x:c>
      <x:c r="N317" s="9" t="str">
        <x:v>HTTP request/response đã che token; bản ghi trước/sau tại DB sở hữu; correlationId và log/audit liên quan.</x:v>
      </x:c>
      <x:c r="O317" s="9" t="str">
        <x:v>FR26</x:v>
      </x:c>
      <x:c r="P317" s="9" t="str">
        <x:v>UC20; AC18</x:v>
      </x:c>
      <x:c r="Q317" s="9" t="str">
        <x:v>12</x:v>
      </x:c>
      <x:c r="R317" s="9" t="str">
        <x:v>Khôi phục dependency/fault injection nếu có; dùng bộ ID mới cho ca kế tiếp. Không xóa lịch sử/audit bằng API nghiệp vụ.</x:v>
      </x:c>
      <x:c r="S317" s="11" t="str"/>
      <x:c r="T317" s="11" t="str"/>
      <x:c r="U317" s="11" t="str"/>
      <x:c r="V317" s="11" t="str"/>
      <x:c r="W317" s="12"/>
      <x:c r="X317" s="9" t="str">
        <x:v>07-operations-api.yaml paths /drivers/{driverId} get</x:v>
      </x:c>
    </x:row>
    <x:row r="318" ht="94" customHeight="1">
      <x:c r="A318" s="10" t="str">
        <x:v>TC13-API-054</x:v>
      </x:c>
      <x:c r="B318" s="10" t="str">
        <x:v>API</x:v>
      </x:c>
      <x:c r="C318" s="10" t="str">
        <x:v>Tài xế chuyển AVAILABLE hoặc OFFLINE — hợp đồng cơ sở</x:v>
      </x:c>
      <x:c r="D318" s="10" t="str">
        <x:v>P1</x:v>
      </x:c>
      <x:c r="E318" s="10" t="str">
        <x:v>DEFINED</x:v>
      </x:c>
      <x:c r="F318" s="10" t="str">
        <x:v>NOT_RUN</x:v>
      </x:c>
      <x:c r="G318" s="10" t="str"/>
      <x:c r="H318" s="10" t="str">
        <x:v>CONTRACT</x:v>
      </x:c>
      <x:c r="I318" s="10" t="str">
        <x:v>PUT /drivers/me/availability</x:v>
      </x:c>
      <x:c r="J318" s="10" t="str">
        <x:v>BASE. D_A OFFLINE/APPROVED, Account ACTIVE, xe ACTIVE, GPS ≤30s, không Trip/reservation; yêu cầu AVAILABLE.</x:v>
      </x:c>
      <x:c r="K318" s="10" t="str">
        <x:v>Fixture BASE và đối tượng đúng trạng thái nêu trong điều kiện. Body mẫu (thay placeholder bằng dữ liệu thực): {"expectedVersion": "&lt;Driver.version&gt;", "driverStatus": "AVAILABLE"} Header bắt buộc: Idempotency-Key.</x:v>
      </x:c>
      <x:c r="L318" s="10" t="str">
        <x:v>1. Chuẩn bị fixture đúng vai trò/chủ thể và trạng thái trong mô tả; đọc version nếu lệnh yêu cầu.
2. Gọi PUT /drivers/me/availability qua Gateway (/v1, riêng health ở gốc).
3. Kiểm tra status, response schema, headers và tác động tại owner.
4. Nếu trả operation, tra cứu bằng đúng proof. Payment dùng GET Payment/attempt; OTP 202 chỉ tiếp nhận gửi mã.</x:v>
      </x:c>
      <x:c r="M318" s="10" t="str">
        <x:v>200: Snapshot hồ sơ tài xế
Response đúng required/type/enum/oneOf của YAML, không trường bí mật; đọc không tạo tác động ghi ngoài quy tắc endpoint.</x:v>
      </x:c>
      <x:c r="N318" s="10" t="str">
        <x:v>HTTP request/response đã che token; bản ghi trước/sau tại DB sở hữu; correlationId và log/audit liên quan.</x:v>
      </x:c>
      <x:c r="O318" s="10" t="str">
        <x:v>FR18</x:v>
      </x:c>
      <x:c r="P318" s="10" t="str">
        <x:v>UC11; AC09</x:v>
      </x:c>
      <x:c r="Q318" s="10" t="str">
        <x:v>23</x:v>
      </x:c>
      <x:c r="R318" s="10" t="str">
        <x:v>Khôi phục dependency/fault injection nếu có; dùng bộ ID mới cho ca kế tiếp. Không xóa lịch sử/audit bằng API nghiệp vụ.</x:v>
      </x:c>
      <x:c r="S318" s="11" t="str"/>
      <x:c r="T318" s="11" t="str"/>
      <x:c r="U318" s="11" t="str"/>
      <x:c r="V318" s="11" t="str"/>
      <x:c r="W318" s="12"/>
      <x:c r="X318" s="10" t="str">
        <x:v>07-operations-api.yaml paths /drivers/me/availability put</x:v>
      </x:c>
    </x:row>
    <x:row r="319" ht="108" customHeight="1">
      <x:c r="A319" s="9" t="str">
        <x:v>TC13-API-055</x:v>
      </x:c>
      <x:c r="B319" s="9" t="str">
        <x:v>API</x:v>
      </x:c>
      <x:c r="C319" s="9" t="str">
        <x:v>Phân công, thay hoặc gỡ xe của tài xế — hợp đồng cơ sở</x:v>
      </x:c>
      <x:c r="D319" s="9" t="str">
        <x:v>P1</x:v>
      </x:c>
      <x:c r="E319" s="9" t="str">
        <x:v>DEFINED</x:v>
      </x:c>
      <x:c r="F319" s="9" t="str">
        <x:v>NOT_RUN</x:v>
      </x:c>
      <x:c r="G319" s="9" t="str"/>
      <x:c r="H319" s="9" t="str">
        <x:v>CONTRACT</x:v>
      </x:c>
      <x:c r="I319" s="9" t="str">
        <x:v>PUT /operations/drivers/{driverId}/vehicle</x:v>
      </x:c>
      <x:c r="J319" s="9" t="str">
        <x:v>BASE. O_A; D_A OFFLINE/APPROVED, không reservation; V_FREE ACTIVE chưa gán; đủ version Driver/Vehicle.</x:v>
      </x:c>
      <x:c r="K319" s="9" t="str">
        <x:v>Fixture BASE và đối tượng đúng trạng thái nêu trong điều kiện. Body mẫu (thay placeholder bằng dữ liệu thực): {"expectedDriverVersion": "&lt;Driver.version&gt;", "vehicleId": "&lt;V_FREE ID&gt;", "expectedVehicleVersion": "&lt;Vehicle.version&gt;"} Header bắt buộc: Idempotency-Key.</x:v>
      </x:c>
      <x:c r="L319" s="9" t="str">
        <x:v>1. Chuẩn bị fixture đúng vai trò/chủ thể và trạng thái trong mô tả; đọc version nếu lệnh yêu cầu.
2. Gọi PUT /operations/drivers/{driverId}/vehicle qua Gateway (/v1, riêng health ở gốc).
3. Kiểm tra status, response schema, headers và tác động tại owner.
4. Nếu trả operation, tra cứu bằng đúng proof. Payment dùng GET Payment/attempt; OTP 202 chỉ tiếp nhận gửi mã.</x:v>
      </x:c>
      <x:c r="M319" s="9" t="str">
        <x:v>200: Snapshot hồ sơ tài xế
Response đúng required/type/enum/oneOf của YAML, không trường bí mật; đọc không tạo tác động ghi ngoài quy tắc endpoint.</x:v>
      </x:c>
      <x:c r="N319" s="9" t="str">
        <x:v>HTTP request/response đã che token; bản ghi trước/sau tại DB sở hữu; correlationId và log/audit liên quan.</x:v>
      </x:c>
      <x:c r="O319" s="9" t="str">
        <x:v>FR17; FR28; NFR18</x:v>
      </x:c>
      <x:c r="P319" s="9" t="str">
        <x:v>UC10; AC09; AC15; UC22; AC21</x:v>
      </x:c>
      <x:c r="Q319" s="9" t="str">
        <x:v>22</x:v>
      </x:c>
      <x:c r="R319" s="9" t="str">
        <x:v>Khôi phục dependency/fault injection nếu có; dùng bộ ID mới cho ca kế tiếp. Không xóa lịch sử/audit bằng API nghiệp vụ.</x:v>
      </x:c>
      <x:c r="S319" s="11" t="str"/>
      <x:c r="T319" s="11" t="str"/>
      <x:c r="U319" s="11" t="str"/>
      <x:c r="V319" s="11" t="str"/>
      <x:c r="W319" s="12"/>
      <x:c r="X319" s="9" t="str">
        <x:v>07-operations-api.yaml paths /operations/drivers/{driverId}/vehicle put</x:v>
      </x:c>
    </x:row>
    <x:row r="320" ht="94" customHeight="1">
      <x:c r="A320" s="10" t="str">
        <x:v>TC13-API-056</x:v>
      </x:c>
      <x:c r="B320" s="10" t="str">
        <x:v>API</x:v>
      </x:c>
      <x:c r="C320" s="10" t="str">
        <x:v>Liệt kê xe — hợp đồng cơ sở</x:v>
      </x:c>
      <x:c r="D320" s="10" t="str">
        <x:v>P1</x:v>
      </x:c>
      <x:c r="E320" s="10" t="str">
        <x:v>DEFINED</x:v>
      </x:c>
      <x:c r="F320" s="10" t="str">
        <x:v>NOT_RUN</x:v>
      </x:c>
      <x:c r="G320" s="10" t="str"/>
      <x:c r="H320" s="10" t="str">
        <x:v>CONTRACT</x:v>
      </x:c>
      <x:c r="I320" s="10" t="str">
        <x:v>GET /operations/vehicles</x:v>
      </x:c>
      <x:c r="J320" s="10" t="str">
        <x:v>BASE. O_A; V_FREE/V_ASSIGNED tồn tại.</x:v>
      </x:c>
      <x:c r="K320" s="10" t="str">
        <x:v>Fixture BASE và đối tượng đúng trạng thái nêu trong điều kiện. Không gửi body nếu endpoint không nhận body. Query được phép: vehicleType, vehicleStatus, limit, cursor.</x:v>
      </x:c>
      <x:c r="L320" s="10" t="str">
        <x:v>1. Chuẩn bị fixture đúng vai trò/chủ thể và trạng thái trong mô tả; đọc version nếu lệnh yêu cầu.
2. Gọi GET /operations/vehicles qua Gateway (/v1, riêng health ở gốc).
3. Kiểm tra status, response schema, headers và tác động tại owner.
4. Nếu trả operation, tra cứu bằng đúng proof. Payment dùng GET Payment/attempt; OTP 202 chỉ tiếp nhận gửi mã.</x:v>
      </x:c>
      <x:c r="M320" s="10" t="str">
        <x:v>200: Danh sách xe
Response đúng required/type/enum/oneOf của YAML, không trường bí mật; đọc không tạo tác động ghi ngoài quy tắc endpoint.</x:v>
      </x:c>
      <x:c r="N320" s="10" t="str">
        <x:v>HTTP request/response đã che token; bản ghi trước/sau tại DB sở hữu; correlationId và log/audit liên quan.</x:v>
      </x:c>
      <x:c r="O320" s="10" t="str">
        <x:v>FR17; FR28; NFR18</x:v>
      </x:c>
      <x:c r="P320" s="10" t="str">
        <x:v>UC10; AC09; AC15; UC22; AC21</x:v>
      </x:c>
      <x:c r="Q320" s="10" t="str">
        <x:v>22</x:v>
      </x:c>
      <x:c r="R320" s="10" t="str">
        <x:v>Khôi phục dependency/fault injection nếu có; dùng bộ ID mới cho ca kế tiếp. Không xóa lịch sử/audit bằng API nghiệp vụ.</x:v>
      </x:c>
      <x:c r="S320" s="11" t="str"/>
      <x:c r="T320" s="11" t="str"/>
      <x:c r="U320" s="11" t="str"/>
      <x:c r="V320" s="11" t="str"/>
      <x:c r="W320" s="12"/>
      <x:c r="X320" s="10" t="str">
        <x:v>07-operations-api.yaml paths /operations/vehicles get</x:v>
      </x:c>
    </x:row>
    <x:row r="321" ht="94" customHeight="1">
      <x:c r="A321" s="9" t="str">
        <x:v>TC13-API-057</x:v>
      </x:c>
      <x:c r="B321" s="9" t="str">
        <x:v>API</x:v>
      </x:c>
      <x:c r="C321" s="9" t="str">
        <x:v>Tạo hồ sơ xe — hợp đồng cơ sở</x:v>
      </x:c>
      <x:c r="D321" s="9" t="str">
        <x:v>P1</x:v>
      </x:c>
      <x:c r="E321" s="9" t="str">
        <x:v>DEFINED</x:v>
      </x:c>
      <x:c r="F321" s="9" t="str">
        <x:v>NOT_RUN</x:v>
      </x:c>
      <x:c r="G321" s="9" t="str"/>
      <x:c r="H321" s="9" t="str">
        <x:v>CONTRACT</x:v>
      </x:c>
      <x:c r="I321" s="9" t="str">
        <x:v>POST /operations/vehicles</x:v>
      </x:c>
      <x:c r="J321" s="9" t="str">
        <x:v>BASE. O_A; biển số mới, vehicleType=STANDARD.</x:v>
      </x:c>
      <x:c r="K321" s="9" t="str">
        <x:v>Fixture BASE và đối tượng đúng trạng thái nêu trong điều kiện. Body mẫu (thay placeholder bằng dữ liệu thực): {"plateNumber": "59A-12345", "vehicleType": "STANDARD"} Header bắt buộc: Idempotency-Key.</x:v>
      </x:c>
      <x:c r="L321" s="9" t="str">
        <x:v>1. Chuẩn bị fixture đúng vai trò/chủ thể và trạng thái trong mô tả; đọc version nếu lệnh yêu cầu.
2. Gọi POST /operations/vehicles qua Gateway (/v1, riêng health ở gốc).
3. Kiểm tra status, response schema, headers và tác động tại owner.
4. Nếu trả operation, tra cứu bằng đúng proof. Payment dùng GET Payment/attempt; OTP 202 chỉ tiếp nhận gửi mã.</x:v>
      </x:c>
      <x:c r="M321" s="9" t="str">
        <x:v>201: Snapshot hồ sơ xe
Response đúng required/type/enum/oneOf của YAML, không trường bí mật; đọc không tạo tác động ghi ngoài quy tắc endpoint.</x:v>
      </x:c>
      <x:c r="N321" s="9" t="str">
        <x:v>HTTP request/response đã che token; bản ghi trước/sau tại DB sở hữu; correlationId và log/audit liên quan.</x:v>
      </x:c>
      <x:c r="O321" s="9" t="str">
        <x:v>FR17; FR28; NFR18</x:v>
      </x:c>
      <x:c r="P321" s="9" t="str">
        <x:v>UC10; AC09; AC15; UC22; AC21</x:v>
      </x:c>
      <x:c r="Q321" s="9" t="str">
        <x:v>22</x:v>
      </x:c>
      <x:c r="R321" s="9" t="str">
        <x:v>Khôi phục dependency/fault injection nếu có; dùng bộ ID mới cho ca kế tiếp. Không xóa lịch sử/audit bằng API nghiệp vụ.</x:v>
      </x:c>
      <x:c r="S321" s="11" t="str"/>
      <x:c r="T321" s="11" t="str"/>
      <x:c r="U321" s="11" t="str"/>
      <x:c r="V321" s="11" t="str"/>
      <x:c r="W321" s="12"/>
      <x:c r="X321" s="9" t="str">
        <x:v>07-operations-api.yaml paths /operations/vehicles post</x:v>
      </x:c>
    </x:row>
    <x:row r="322" ht="108" customHeight="1">
      <x:c r="A322" s="10" t="str">
        <x:v>TC13-API-058</x:v>
      </x:c>
      <x:c r="B322" s="10" t="str">
        <x:v>API</x:v>
      </x:c>
      <x:c r="C322" s="10" t="str">
        <x:v>Xem chi tiết xe và version hiện tại — hợp đồng cơ sở</x:v>
      </x:c>
      <x:c r="D322" s="10" t="str">
        <x:v>P1</x:v>
      </x:c>
      <x:c r="E322" s="10" t="str">
        <x:v>DEFINED</x:v>
      </x:c>
      <x:c r="F322" s="10" t="str">
        <x:v>NOT_RUN</x:v>
      </x:c>
      <x:c r="G322" s="10" t="str"/>
      <x:c r="H322" s="10" t="str">
        <x:v>CONTRACT</x:v>
      </x:c>
      <x:c r="I322" s="10" t="str">
        <x:v>GET /operations/vehicles/{vehicleId}</x:v>
      </x:c>
      <x:c r="J322" s="10" t="str">
        <x:v>BASE. O_A; vehicleId V_FREE tồn tại.</x:v>
      </x:c>
      <x:c r="K322" s="10" t="str">
        <x:v>Fixture BASE và đối tượng đúng trạng thái nêu trong điều kiện. Không gửi body nếu endpoint không nhận body.</x:v>
      </x:c>
      <x:c r="L322" s="10" t="str">
        <x:v>1. Chuẩn bị fixture đúng vai trò/chủ thể và trạng thái trong mô tả; đọc version nếu lệnh yêu cầu.
2. Gọi GET /operations/vehicles/{vehicleId} qua Gateway (/v1, riêng health ở gốc).
3. Kiểm tra status, response schema, headers và tác động tại owner.
4. Nếu trả operation, tra cứu bằng đúng proof. Payment dùng GET Payment/attempt; OTP 202 chỉ tiếp nhận gửi mã.</x:v>
      </x:c>
      <x:c r="M322" s="10" t="str">
        <x:v>200: Snapshot hồ sơ xe
Response đúng required/type/enum/oneOf của YAML, không trường bí mật; đọc không tạo tác động ghi ngoài quy tắc endpoint.</x:v>
      </x:c>
      <x:c r="N322" s="10" t="str">
        <x:v>HTTP request/response đã che token; bản ghi trước/sau tại DB sở hữu; correlationId và log/audit liên quan.</x:v>
      </x:c>
      <x:c r="O322" s="10" t="str">
        <x:v>FR17; FR28; NFR18</x:v>
      </x:c>
      <x:c r="P322" s="10" t="str">
        <x:v>UC10; AC09; AC15; UC22; AC21</x:v>
      </x:c>
      <x:c r="Q322" s="10" t="str">
        <x:v>22</x:v>
      </x:c>
      <x:c r="R322" s="10" t="str">
        <x:v>Khôi phục dependency/fault injection nếu có; dùng bộ ID mới cho ca kế tiếp. Không xóa lịch sử/audit bằng API nghiệp vụ.</x:v>
      </x:c>
      <x:c r="S322" s="11" t="str"/>
      <x:c r="T322" s="11" t="str"/>
      <x:c r="U322" s="11" t="str"/>
      <x:c r="V322" s="11" t="str"/>
      <x:c r="W322" s="12"/>
      <x:c r="X322" s="10" t="str">
        <x:v>07-operations-api.yaml paths /operations/vehicles/{vehicleId} get</x:v>
      </x:c>
    </x:row>
    <x:row r="323" ht="108" customHeight="1">
      <x:c r="A323" s="9" t="str">
        <x:v>TC13-API-059</x:v>
      </x:c>
      <x:c r="B323" s="9" t="str">
        <x:v>API</x:v>
      </x:c>
      <x:c r="C323" s="9" t="str">
        <x:v>Cập nhật thông tin hoặc trạng thái xe — hợp đồng cơ sở</x:v>
      </x:c>
      <x:c r="D323" s="9" t="str">
        <x:v>P1</x:v>
      </x:c>
      <x:c r="E323" s="9" t="str">
        <x:v>DEFINED</x:v>
      </x:c>
      <x:c r="F323" s="9" t="str">
        <x:v>NOT_RUN</x:v>
      </x:c>
      <x:c r="G323" s="9" t="str"/>
      <x:c r="H323" s="9" t="str">
        <x:v>CONTRACT</x:v>
      </x:c>
      <x:c r="I323" s="9" t="str">
        <x:v>PATCH /operations/vehicles/{vehicleId}</x:v>
      </x:c>
      <x:c r="J323" s="9" t="str">
        <x:v>BASE. O_A; V_FREE không Trip/reservation; version mới; cập nhật vehicleStatus=INACTIVE.</x:v>
      </x:c>
      <x:c r="K323" s="9" t="str">
        <x:v>Fixture BASE và đối tượng đúng trạng thái nêu trong điều kiện. Body mẫu (thay placeholder bằng dữ liệu thực): {"expectedVersion": "&lt;Vehicle.version&gt;", "vehicleStatus": "INACTIVE"} Header bắt buộc: Idempotency-Key.</x:v>
      </x:c>
      <x:c r="L323" s="9" t="str">
        <x:v>1. Chuẩn bị fixture đúng vai trò/chủ thể và trạng thái trong mô tả; đọc version nếu lệnh yêu cầu.
2. Gọi PATCH /operations/vehicles/{vehicleId} qua Gateway (/v1, riêng health ở gốc).
3. Kiểm tra status, response schema, headers và tác động tại owner.
4. Nếu trả operation, tra cứu bằng đúng proof. Payment dùng GET Payment/attempt; OTP 202 chỉ tiếp nhận gửi mã.</x:v>
      </x:c>
      <x:c r="M323" s="9" t="str">
        <x:v>200: Snapshot hồ sơ xe
Response đúng required/type/enum/oneOf của YAML, không trường bí mật; đọc không tạo tác động ghi ngoài quy tắc endpoint.</x:v>
      </x:c>
      <x:c r="N323" s="9" t="str">
        <x:v>HTTP request/response đã che token; bản ghi trước/sau tại DB sở hữu; correlationId và log/audit liên quan.</x:v>
      </x:c>
      <x:c r="O323" s="9" t="str">
        <x:v>FR17; FR28; NFR18</x:v>
      </x:c>
      <x:c r="P323" s="9" t="str">
        <x:v>UC10; AC09; AC15; UC22; AC21</x:v>
      </x:c>
      <x:c r="Q323" s="9" t="str">
        <x:v>22</x:v>
      </x:c>
      <x:c r="R323" s="9" t="str">
        <x:v>Khôi phục dependency/fault injection nếu có; dùng bộ ID mới cho ca kế tiếp. Không xóa lịch sử/audit bằng API nghiệp vụ.</x:v>
      </x:c>
      <x:c r="S323" s="11" t="str"/>
      <x:c r="T323" s="11" t="str"/>
      <x:c r="U323" s="11" t="str"/>
      <x:c r="V323" s="11" t="str"/>
      <x:c r="W323" s="12"/>
      <x:c r="X323" s="9" t="str">
        <x:v>07-operations-api.yaml paths /operations/vehicles/{vehicleId} patch</x:v>
      </x:c>
    </x:row>
    <x:row r="324" ht="94" customHeight="1">
      <x:c r="A324" s="10" t="str">
        <x:v>TC13-API-060</x:v>
      </x:c>
      <x:c r="B324" s="10" t="str">
        <x:v>API</x:v>
      </x:c>
      <x:c r="C324" s="10" t="str">
        <x:v>Liệt kê chuyến phục vụ vận hành — hợp đồng cơ sở</x:v>
      </x:c>
      <x:c r="D324" s="10" t="str">
        <x:v>P1</x:v>
      </x:c>
      <x:c r="E324" s="10" t="str">
        <x:v>DEFINED</x:v>
      </x:c>
      <x:c r="F324" s="10" t="str">
        <x:v>NOT_RUN</x:v>
      </x:c>
      <x:c r="G324" s="10" t="str"/>
      <x:c r="H324" s="10" t="str">
        <x:v>CONTRACT</x:v>
      </x:c>
      <x:c r="I324" s="10" t="str">
        <x:v>GET /operations/trips</x:v>
      </x:c>
      <x:c r="J324" s="10" t="str">
        <x:v>BASE. O_A; có Trip đang chạy/ERROR chưa đóng/đã đóng.</x:v>
      </x:c>
      <x:c r="K324" s="10" t="str">
        <x:v>Fixture BASE và đối tượng đúng trạng thái nêu trong điều kiện. Không gửi body nếu endpoint không nhận body. Query được phép: tripStatus, activeOnly, customerId, driverId, from, to, limit, cursor.</x:v>
      </x:c>
      <x:c r="L324" s="10" t="str">
        <x:v>1. Chuẩn bị fixture đúng vai trò/chủ thể và trạng thái trong mô tả; đọc version nếu lệnh yêu cầu.
2. Gọi GET /operations/trips qua Gateway (/v1, riêng health ở gốc).
3. Kiểm tra status, response schema, headers và tác động tại owner.
4. Nếu trả operation, tra cứu bằng đúng proof. Payment dùng GET Payment/attempt; OTP 202 chỉ tiếp nhận gửi mã.</x:v>
      </x:c>
      <x:c r="M324" s="10" t="str">
        <x:v>200: Danh sách chuyến
Response đúng required/type/enum/oneOf của YAML, không trường bí mật; đọc không tạo tác động ghi ngoài quy tắc endpoint.</x:v>
      </x:c>
      <x:c r="N324" s="10" t="str">
        <x:v>HTTP request/response đã che token; bản ghi trước/sau tại DB sở hữu; correlationId và log/audit liên quan.</x:v>
      </x:c>
      <x:c r="O324" s="10" t="str">
        <x:v>FR14; FR15; FR28; NFR18</x:v>
      </x:c>
      <x:c r="P324" s="10" t="str">
        <x:v>UC09; AC08; UC22; AC21</x:v>
      </x:c>
      <x:c r="Q324" s="10" t="str">
        <x:v>17</x:v>
      </x:c>
      <x:c r="R324" s="10" t="str">
        <x:v>Khôi phục dependency/fault injection nếu có; dùng bộ ID mới cho ca kế tiếp. Không xóa lịch sử/audit bằng API nghiệp vụ.</x:v>
      </x:c>
      <x:c r="S324" s="11" t="str"/>
      <x:c r="T324" s="11" t="str"/>
      <x:c r="U324" s="11" t="str"/>
      <x:c r="V324" s="11" t="str"/>
      <x:c r="W324" s="12"/>
      <x:c r="X324" s="10" t="str">
        <x:v>07-operations-api.yaml paths /operations/trips get</x:v>
      </x:c>
    </x:row>
    <x:row r="325" ht="94" customHeight="1">
      <x:c r="A325" s="9" t="str">
        <x:v>TC13-API-061</x:v>
      </x:c>
      <x:c r="B325" s="9" t="str">
        <x:v>API</x:v>
      </x:c>
      <x:c r="C325" s="9" t="str">
        <x:v>Liệt kê sự cố chuyến đi — hợp đồng cơ sở</x:v>
      </x:c>
      <x:c r="D325" s="9" t="str">
        <x:v>P1</x:v>
      </x:c>
      <x:c r="E325" s="9" t="str">
        <x:v>DEFINED</x:v>
      </x:c>
      <x:c r="F325" s="9" t="str">
        <x:v>NOT_RUN</x:v>
      </x:c>
      <x:c r="G325" s="9" t="str"/>
      <x:c r="H325" s="9" t="str">
        <x:v>CONTRACT</x:v>
      </x:c>
      <x:c r="I325" s="9" t="str">
        <x:v>GET /operations/incidents</x:v>
      </x:c>
      <x:c r="J325" s="9" t="str">
        <x:v>BASE. O_A; có Incident OPEN và RESOLVED.</x:v>
      </x:c>
      <x:c r="K325" s="9" t="str">
        <x:v>Fixture BASE và đối tượng đúng trạng thái nêu trong điều kiện. Không gửi body nếu endpoint không nhận body. Query được phép: status, tripId, limit, cursor.</x:v>
      </x:c>
      <x:c r="L325" s="9" t="str">
        <x:v>1. Chuẩn bị fixture đúng vai trò/chủ thể và trạng thái trong mô tả; đọc version nếu lệnh yêu cầu.
2. Gọi GET /operations/incidents qua Gateway (/v1, riêng health ở gốc).
3. Kiểm tra status, response schema, headers và tác động tại owner.
4. Nếu trả operation, tra cứu bằng đúng proof. Payment dùng GET Payment/attempt; OTP 202 chỉ tiếp nhận gửi mã.</x:v>
      </x:c>
      <x:c r="M325" s="9" t="str">
        <x:v>200: Danh sách sự cố
Response đúng required/type/enum/oneOf của YAML, không trường bí mật; đọc không tạo tác động ghi ngoài quy tắc endpoint.</x:v>
      </x:c>
      <x:c r="N325" s="9" t="str">
        <x:v>HTTP request/response đã che token; bản ghi trước/sau tại DB sở hữu; correlationId và log/audit liên quan.</x:v>
      </x:c>
      <x:c r="O325" s="9" t="str">
        <x:v>FR14; FR15; FR28; NFR18</x:v>
      </x:c>
      <x:c r="P325" s="9" t="str">
        <x:v>UC09; AC08; UC22; AC21</x:v>
      </x:c>
      <x:c r="Q325" s="9" t="str">
        <x:v>17</x:v>
      </x:c>
      <x:c r="R325" s="9" t="str">
        <x:v>Khôi phục dependency/fault injection nếu có; dùng bộ ID mới cho ca kế tiếp. Không xóa lịch sử/audit bằng API nghiệp vụ.</x:v>
      </x:c>
      <x:c r="S325" s="11" t="str"/>
      <x:c r="T325" s="11" t="str"/>
      <x:c r="U325" s="11" t="str"/>
      <x:c r="V325" s="11" t="str"/>
      <x:c r="W325" s="12"/>
      <x:c r="X325" s="9" t="str">
        <x:v>07-operations-api.yaml paths /operations/incidents get</x:v>
      </x:c>
    </x:row>
    <x:row r="326" ht="94" customHeight="1">
      <x:c r="A326" s="10" t="str">
        <x:v>TC13-API-062</x:v>
      </x:c>
      <x:c r="B326" s="10" t="str">
        <x:v>API</x:v>
      </x:c>
      <x:c r="C326" s="10" t="str">
        <x:v>Điều hành viên ghi nhận sự cố chuyến đang hoạt động — hợp đồng cơ sở</x:v>
      </x:c>
      <x:c r="D326" s="10" t="str">
        <x:v>P1</x:v>
      </x:c>
      <x:c r="E326" s="10" t="str">
        <x:v>DEFINED</x:v>
      </x:c>
      <x:c r="F326" s="10" t="str">
        <x:v>NOT_RUN</x:v>
      </x:c>
      <x:c r="G326" s="10" t="str"/>
      <x:c r="H326" s="10" t="str">
        <x:v>CONTRACT</x:v>
      </x:c>
      <x:c r="I326" s="10" t="str">
        <x:v>POST /operations/incidents</x:v>
      </x:c>
      <x:c r="J326" s="10" t="str">
        <x:v>BASE. O_A; T_PROGRESS chưa đóng; version hiện tại; issueType và description hợp lệ.</x:v>
      </x:c>
      <x:c r="K326" s="10" t="str">
        <x:v>Fixture BASE và đối tượng đúng trạng thái nêu trong điều kiện. Body mẫu (thay placeholder bằng dữ liệu thực): {"tripId": "&lt;tripId&gt;", "expectedTripVersion": "&lt;version mới đọc từ GET&gt;", "issueType": "VEHICLE_BREAKDOWN", "description": "Sự cố thử nghiệm"} Header bắt buộc: Idempotency-Key.</x:v>
      </x:c>
      <x:c r="L326" s="10" t="str">
        <x:v>1. Chuẩn bị fixture đúng vai trò/chủ thể và trạng thái trong mô tả; đọc version nếu lệnh yêu cầu.
2. Gọi POST /operations/incidents qua Gateway (/v1, riêng health ở gốc).
3. Kiểm tra status, response schema, headers và tác động tại owner.
4. Nếu trả operation, tra cứu bằng đúng proof. Payment dùng GET Payment/attempt; OTP 202 chỉ tiếp nhận gửi mã.</x:v>
      </x:c>
      <x:c r="M326" s="10" t="str">
        <x:v>201: Đã ghi nhận sự cố và cập nhật Trip
Response đúng required/type/enum/oneOf của YAML, không trường bí mật; đọc không tạo tác động ghi ngoài quy tắc endpoint.</x:v>
      </x:c>
      <x:c r="N326" s="10" t="str">
        <x:v>HTTP request/response đã che token; bản ghi trước/sau tại DB sở hữu; correlationId và log/audit liên quan.</x:v>
      </x:c>
      <x:c r="O326" s="10" t="str">
        <x:v>FR14; FR15; FR28; NFR18</x:v>
      </x:c>
      <x:c r="P326" s="10" t="str">
        <x:v>UC09; AC08; UC22; AC21</x:v>
      </x:c>
      <x:c r="Q326" s="10" t="str">
        <x:v>17</x:v>
      </x:c>
      <x:c r="R326" s="10" t="str">
        <x:v>Khôi phục dependency/fault injection nếu có; dùng bộ ID mới cho ca kế tiếp. Không xóa lịch sử/audit bằng API nghiệp vụ.</x:v>
      </x:c>
      <x:c r="S326" s="11" t="str"/>
      <x:c r="T326" s="11" t="str"/>
      <x:c r="U326" s="11" t="str"/>
      <x:c r="V326" s="11" t="str"/>
      <x:c r="W326" s="12"/>
      <x:c r="X326" s="10" t="str">
        <x:v>07-operations-api.yaml paths /operations/incidents post</x:v>
      </x:c>
    </x:row>
    <x:row r="327" ht="108" customHeight="1">
      <x:c r="A327" s="9" t="str">
        <x:v>TC13-API-063</x:v>
      </x:c>
      <x:c r="B327" s="9" t="str">
        <x:v>API</x:v>
      </x:c>
      <x:c r="C327" s="9" t="str">
        <x:v>Khôi phục hoặc đóng bất thường chuyến ERROR — hợp đồng cơ sở</x:v>
      </x:c>
      <x:c r="D327" s="9" t="str">
        <x:v>P1</x:v>
      </x:c>
      <x:c r="E327" s="9" t="str">
        <x:v>DEFINED</x:v>
      </x:c>
      <x:c r="F327" s="9" t="str">
        <x:v>NOT_RUN</x:v>
      </x:c>
      <x:c r="G327" s="9" t="str"/>
      <x:c r="H327" s="9" t="str">
        <x:v>CONTRACT</x:v>
      </x:c>
      <x:c r="I327" s="9" t="str">
        <x:v>POST /operations/trips/{tripId}/resolve-error</x:v>
      </x:c>
      <x:c r="J327" s="9" t="str">
        <x:v>BASE. O_A; T_ERROR chưa đóng, Incident OPEN; resolutionNote không trắng; dùng CLOSE_ABNORMALLY với version mới.</x:v>
      </x:c>
      <x:c r="K327" s="9" t="str">
        <x:v>Fixture BASE và đối tượng đúng trạng thái nêu trong điều kiện. Body mẫu (thay placeholder bằng dữ liệu thực): {"expectedTripVersion": "&lt;Trip.version&gt;", "resolutionAction": "CLOSE_ABNORMALLY", "resolutionNote": "Kết thúc thử nghiệm sự cố"} Header bắt buộc: Idempotency-Key.</x:v>
      </x:c>
      <x:c r="L327" s="9" t="str">
        <x:v>1. Chuẩn bị fixture đúng vai trò/chủ thể và trạng thái trong mô tả; đọc version nếu lệnh yêu cầu.
2. Gọi POST /operations/trips/{tripId}/resolve-error qua Gateway (/v1, riêng health ở gốc).
3. Kiểm tra status, response schema, headers và tác động tại owner.
4. Nếu trả operation, tra cứu bằng đúng proof. Payment dùng GET Payment/attempt; OTP 202 chỉ tiếp nhận gửi mã.</x:v>
      </x:c>
      <x:c r="M327" s="9" t="str">
        <x:v>200: Kết quả xử lý Trip và Incident liên quan
Response đúng required/type/enum/oneOf của YAML, không trường bí mật; đọc không tạo tác động ghi ngoài quy tắc endpoint.</x:v>
      </x:c>
      <x:c r="N327" s="9" t="str">
        <x:v>HTTP request/response đã che token; bản ghi trước/sau tại DB sở hữu; correlationId và log/audit liên quan.</x:v>
      </x:c>
      <x:c r="O327" s="9" t="str">
        <x:v>FR14; FR15; FR28; NFR18</x:v>
      </x:c>
      <x:c r="P327" s="9" t="str">
        <x:v>UC09; AC08; UC22; AC21</x:v>
      </x:c>
      <x:c r="Q327" s="9" t="str">
        <x:v>17</x:v>
      </x:c>
      <x:c r="R327" s="9" t="str">
        <x:v>Khôi phục dependency/fault injection nếu có; dùng bộ ID mới cho ca kế tiếp. Không xóa lịch sử/audit bằng API nghiệp vụ.</x:v>
      </x:c>
      <x:c r="S327" s="11" t="str"/>
      <x:c r="T327" s="11" t="str"/>
      <x:c r="U327" s="11" t="str"/>
      <x:c r="V327" s="11" t="str"/>
      <x:c r="W327" s="12"/>
      <x:c r="X327" s="9" t="str">
        <x:v>07-operations-api.yaml paths /operations/trips/{tripId}/resolve-error post</x:v>
      </x:c>
    </x:row>
    <x:row r="328" ht="94" customHeight="1">
      <x:c r="A328" s="10" t="str">
        <x:v>TC13-API-064</x:v>
      </x:c>
      <x:c r="B328" s="10" t="str">
        <x:v>API</x:v>
      </x:c>
      <x:c r="C328" s="10" t="str">
        <x:v>Xem các phiên bản giá — hợp đồng cơ sở</x:v>
      </x:c>
      <x:c r="D328" s="10" t="str">
        <x:v>P1</x:v>
      </x:c>
      <x:c r="E328" s="10" t="str">
        <x:v>DEFINED</x:v>
      </x:c>
      <x:c r="F328" s="10" t="str">
        <x:v>NOT_RUN</x:v>
      </x:c>
      <x:c r="G328" s="10" t="str"/>
      <x:c r="H328" s="10" t="str">
        <x:v>CONTRACT</x:v>
      </x:c>
      <x:c r="I328" s="10" t="str">
        <x:v>GET /operations/pricing</x:v>
      </x:c>
      <x:c r="J328" s="10" t="str">
        <x:v>BASE. O_A; P_V1 hiệu lực và P_V2 tương lai.</x:v>
      </x:c>
      <x:c r="K328" s="10" t="str">
        <x:v>Fixture BASE và đối tượng đúng trạng thái nêu trong điều kiện. Không gửi body nếu endpoint không nhận body. Query được phép: vehicleType, limit, cursor.</x:v>
      </x:c>
      <x:c r="L328" s="10" t="str">
        <x:v>1. Chuẩn bị fixture đúng vai trò/chủ thể và trạng thái trong mô tả; đọc version nếu lệnh yêu cầu.
2. Gọi GET /operations/pricing qua Gateway (/v1, riêng health ở gốc).
3. Kiểm tra status, response schema, headers và tác động tại owner.
4. Nếu trả operation, tra cứu bằng đúng proof. Payment dùng GET Payment/attempt; OTP 202 chỉ tiếp nhận gửi mã.</x:v>
      </x:c>
      <x:c r="M328" s="10" t="str">
        <x:v>200: Danh sách phiên bản giá
Response đúng required/type/enum/oneOf của YAML, không trường bí mật; đọc không tạo tác động ghi ngoài quy tắc endpoint.</x:v>
      </x:c>
      <x:c r="N328" s="10" t="str">
        <x:v>HTTP request/response đã che token; bản ghi trước/sau tại DB sở hữu; correlationId và log/audit liên quan.</x:v>
      </x:c>
      <x:c r="O328" s="10" t="str">
        <x:v>FR21; FR28; NFR18</x:v>
      </x:c>
      <x:c r="P328" s="10" t="str">
        <x:v>UC14; AC12; UC22; AC21</x:v>
      </x:c>
      <x:c r="Q328" s="10" t="str"/>
      <x:c r="R328" s="10" t="str">
        <x:v>Khôi phục dependency/fault injection nếu có; dùng bộ ID mới cho ca kế tiếp. Không xóa lịch sử/audit bằng API nghiệp vụ.</x:v>
      </x:c>
      <x:c r="S328" s="11" t="str"/>
      <x:c r="T328" s="11" t="str"/>
      <x:c r="U328" s="11" t="str"/>
      <x:c r="V328" s="11" t="str"/>
      <x:c r="W328" s="12"/>
      <x:c r="X328" s="10" t="str">
        <x:v>07-operations-api.yaml paths /operations/pricing get</x:v>
      </x:c>
    </x:row>
    <x:row r="329" ht="94" customHeight="1">
      <x:c r="A329" s="9" t="str">
        <x:v>TC13-API-065</x:v>
      </x:c>
      <x:c r="B329" s="9" t="str">
        <x:v>API</x:v>
      </x:c>
      <x:c r="C329" s="9" t="str">
        <x:v>Ban hành phiên bản giá mới — hợp đồng cơ sở</x:v>
      </x:c>
      <x:c r="D329" s="9" t="str">
        <x:v>P1</x:v>
      </x:c>
      <x:c r="E329" s="9" t="str">
        <x:v>DEFINED</x:v>
      </x:c>
      <x:c r="F329" s="9" t="str">
        <x:v>NOT_RUN</x:v>
      </x:c>
      <x:c r="G329" s="9" t="str"/>
      <x:c r="H329" s="9" t="str">
        <x:v>CONTRACT</x:v>
      </x:c>
      <x:c r="I329" s="9" t="str">
        <x:v>POST /operations/pricing</x:v>
      </x:c>
      <x:c r="J329" s="9" t="str">
        <x:v>BASE. O_A; loại STANDARD; các đơn giá không âm; effectiveFrom bỏ để server ghi thời điểm.</x:v>
      </x:c>
      <x:c r="K329" s="9" t="str">
        <x:v>Fixture BASE và đối tượng đúng trạng thái nêu trong điều kiện. Body mẫu (thay placeholder bằng dữ liệu thực): {"vehicleType": "STANDARD", "currency": "VND", "baseFare": 0, "pricePerKm": 0, "pricePerMinute": 0, "reason": "Lý do kiểm thử"} Header bắt buộc: Idempotency-Key.</x:v>
      </x:c>
      <x:c r="L329" s="9" t="str">
        <x:v>1. Chuẩn bị fixture đúng vai trò/chủ thể và trạng thái trong mô tả; đọc version nếu lệnh yêu cầu.
2. Gọi POST /operations/pricing qua Gateway (/v1, riêng health ở gốc).
3. Kiểm tra status, response schema, headers và tác động tại owner.
4. Nếu trả operation, tra cứu bằng đúng proof. Payment dùng GET Payment/attempt; OTP 202 chỉ tiếp nhận gửi mã.</x:v>
      </x:c>
      <x:c r="M329" s="9" t="str">
        <x:v>201: Phiên bản giá đã được tạo
Response đúng required/type/enum/oneOf của YAML, không trường bí mật; đọc không tạo tác động ghi ngoài quy tắc endpoint.</x:v>
      </x:c>
      <x:c r="N329" s="9" t="str">
        <x:v>HTTP request/response đã che token; bản ghi trước/sau tại DB sở hữu; correlationId và log/audit liên quan.</x:v>
      </x:c>
      <x:c r="O329" s="9" t="str">
        <x:v>FR21; FR28; NFR18</x:v>
      </x:c>
      <x:c r="P329" s="9" t="str">
        <x:v>UC14; AC12; UC22; AC21</x:v>
      </x:c>
      <x:c r="Q329" s="9" t="str"/>
      <x:c r="R329" s="9" t="str">
        <x:v>Khôi phục dependency/fault injection nếu có; dùng bộ ID mới cho ca kế tiếp. Không xóa lịch sử/audit bằng API nghiệp vụ.</x:v>
      </x:c>
      <x:c r="S329" s="11" t="str"/>
      <x:c r="T329" s="11" t="str"/>
      <x:c r="U329" s="11" t="str"/>
      <x:c r="V329" s="11" t="str"/>
      <x:c r="W329" s="12"/>
      <x:c r="X329" s="9" t="str">
        <x:v>07-operations-api.yaml paths /operations/pricing post</x:v>
      </x:c>
    </x:row>
    <x:row r="330" ht="94" customHeight="1">
      <x:c r="A330" s="10" t="str">
        <x:v>TC13-API-066</x:v>
      </x:c>
      <x:c r="B330" s="10" t="str">
        <x:v>API</x:v>
      </x:c>
      <x:c r="C330" s="10" t="str">
        <x:v>Liệt kê thanh toán cần theo dõi — hợp đồng cơ sở</x:v>
      </x:c>
      <x:c r="D330" s="10" t="str">
        <x:v>P1</x:v>
      </x:c>
      <x:c r="E330" s="10" t="str">
        <x:v>DEFINED</x:v>
      </x:c>
      <x:c r="F330" s="10" t="str">
        <x:v>NOT_RUN</x:v>
      </x:c>
      <x:c r="G330" s="10" t="str"/>
      <x:c r="H330" s="10" t="str">
        <x:v>CONTRACT</x:v>
      </x:c>
      <x:c r="I330" s="10" t="str">
        <x:v>GET /operations/payments</x:v>
      </x:c>
      <x:c r="J330" s="10" t="str">
        <x:v>BASE. O_A; nhiều Payment status/requiresReview khác nhau.</x:v>
      </x:c>
      <x:c r="K330" s="10" t="str">
        <x:v>Fixture BASE và đối tượng đúng trạng thái nêu trong điều kiện. Không gửi body nếu endpoint không nhận body. Query được phép: paymentStatus, requiresReview, tripId, limit, cursor.</x:v>
      </x:c>
      <x:c r="L330" s="10" t="str">
        <x:v>1. Chuẩn bị fixture đúng vai trò/chủ thể và trạng thái trong mô tả; đọc version nếu lệnh yêu cầu.
2. Gọi GET /operations/payments qua Gateway (/v1, riêng health ở gốc).
3. Kiểm tra status, response schema, headers và tác động tại owner.
4. Nếu trả operation, tra cứu bằng đúng proof. Payment dùng GET Payment/attempt; OTP 202 chỉ tiếp nhận gửi mã.</x:v>
      </x:c>
      <x:c r="M330" s="10" t="str">
        <x:v>200: Danh sách thanh toán
Response đúng required/type/enum/oneOf của YAML, không trường bí mật; đọc không tạo tác động ghi ngoài quy tắc endpoint.</x:v>
      </x:c>
      <x:c r="N330" s="10" t="str">
        <x:v>HTTP request/response đã che token; bản ghi trước/sau tại DB sở hữu; correlationId và log/audit liên quan.</x:v>
      </x:c>
      <x:c r="O330" s="10" t="str">
        <x:v>FR14; FR12; FR28; NFR18</x:v>
      </x:c>
      <x:c r="P330" s="10" t="str">
        <x:v>UC09; UC07; AC08; AC06; UC22; AC21</x:v>
      </x:c>
      <x:c r="Q330" s="10" t="str">
        <x:v>19</x:v>
      </x:c>
      <x:c r="R330" s="10" t="str">
        <x:v>Khôi phục dependency/fault injection nếu có; dùng bộ ID mới cho ca kế tiếp. Không xóa lịch sử/audit bằng API nghiệp vụ.</x:v>
      </x:c>
      <x:c r="S330" s="11" t="str"/>
      <x:c r="T330" s="11" t="str"/>
      <x:c r="U330" s="11" t="str"/>
      <x:c r="V330" s="11" t="str"/>
      <x:c r="W330" s="12"/>
      <x:c r="X330" s="10" t="str">
        <x:v>07-operations-api.yaml paths /operations/payments get</x:v>
      </x:c>
    </x:row>
    <x:row r="331" ht="94" customHeight="1">
      <x:c r="A331" s="9" t="str">
        <x:v>TC13-API-067</x:v>
      </x:c>
      <x:c r="B331" s="9" t="str">
        <x:v>API</x:v>
      </x:c>
      <x:c r="C331" s="9" t="str">
        <x:v>Kiểm tra API Gateway còn hoạt động — hợp đồng cơ sở</x:v>
      </x:c>
      <x:c r="D331" s="9" t="str">
        <x:v>P1</x:v>
      </x:c>
      <x:c r="E331" s="9" t="str">
        <x:v>DEFINED</x:v>
      </x:c>
      <x:c r="F331" s="9" t="str">
        <x:v>NOT_RUN</x:v>
      </x:c>
      <x:c r="G331" s="9" t="str"/>
      <x:c r="H331" s="9" t="str">
        <x:v>CONTRACT</x:v>
      </x:c>
      <x:c r="I331" s="9" t="str">
        <x:v>GET /health</x:v>
      </x:c>
      <x:c r="J331" s="9" t="str">
        <x:v>BASE. Anonymous; Gateway đang phục vụ probe.</x:v>
      </x:c>
      <x:c r="K331" s="9" t="str">
        <x:v>Fixture BASE và đối tượng đúng trạng thái nêu trong điều kiện. Không gửi body nếu endpoint không nhận body.</x:v>
      </x:c>
      <x:c r="L331" s="9" t="str">
        <x:v>1. Chuẩn bị fixture đúng vai trò/chủ thể và trạng thái trong mô tả; đọc version nếu lệnh yêu cầu.
2. Gọi GET /health qua Gateway (/v1, riêng health ở gốc).
3. Kiểm tra status, response schema, headers và tác động tại owner.
4. Nếu trả operation, tra cứu bằng đúng proof. Payment dùng GET Payment/attempt; OTP 202 chỉ tiếp nhận gửi mã.</x:v>
      </x:c>
      <x:c r="M331" s="9" t="str">
        <x:v>200: Gateway đang hoạt động
Response đúng required/type/enum/oneOf của YAML, không trường bí mật; đọc không tạo tác động ghi ngoài quy tắc endpoint.</x:v>
      </x:c>
      <x:c r="N331" s="9" t="str">
        <x:v>HTTP request/response đã che token; bản ghi trước/sau tại DB sở hữu; correlationId và log/audit liên quan.</x:v>
      </x:c>
      <x:c r="O331" s="9" t="str">
        <x:v>FR27; NFR07</x:v>
      </x:c>
      <x:c r="P331" s="9" t="str">
        <x:v>UC21; AC19</x:v>
      </x:c>
      <x:c r="Q331" s="9" t="str">
        <x:v>6</x:v>
      </x:c>
      <x:c r="R331" s="9" t="str">
        <x:v>Khôi phục dependency/fault injection nếu có; dùng bộ ID mới cho ca kế tiếp. Không xóa lịch sử/audit bằng API nghiệp vụ.</x:v>
      </x:c>
      <x:c r="S331" s="11" t="str"/>
      <x:c r="T331" s="11" t="str"/>
      <x:c r="U331" s="11" t="str"/>
      <x:c r="V331" s="11" t="str"/>
      <x:c r="W331" s="12"/>
      <x:c r="X331" s="9" t="str">
        <x:v>07-operations-api.yaml paths /health get</x:v>
      </x:c>
    </x:row>
    <x:row r="332" ht="94" customHeight="1">
      <x:c r="A332" s="10" t="str">
        <x:v>TC13-API-068</x:v>
      </x:c>
      <x:c r="B332" s="10" t="str">
        <x:v>API</x:v>
      </x:c>
      <x:c r="C332" s="10" t="str">
        <x:v>Kiểm tra hệ thống sẵn sàng phục vụ theo cấu hình triển khai — hợp đồng cơ sở</x:v>
      </x:c>
      <x:c r="D332" s="10" t="str">
        <x:v>P1</x:v>
      </x:c>
      <x:c r="E332" s="10" t="str">
        <x:v>DEFINED</x:v>
      </x:c>
      <x:c r="F332" s="10" t="str">
        <x:v>NOT_RUN</x:v>
      </x:c>
      <x:c r="G332" s="10" t="str"/>
      <x:c r="H332" s="10" t="str">
        <x:v>CONTRACT</x:v>
      </x:c>
      <x:c r="I332" s="10" t="str">
        <x:v>GET /ready</x:v>
      </x:c>
      <x:c r="J332" s="10" t="str">
        <x:v>BASE. Anonymous; tất cả dependency/worker bắt buộc đang healthy.</x:v>
      </x:c>
      <x:c r="K332" s="10" t="str">
        <x:v>Fixture BASE và đối tượng đúng trạng thái nêu trong điều kiện. Không gửi body nếu endpoint không nhận body.</x:v>
      </x:c>
      <x:c r="L332" s="10" t="str">
        <x:v>1. Chuẩn bị fixture đúng vai trò/chủ thể và trạng thái trong mô tả; đọc version nếu lệnh yêu cầu.
2. Gọi GET /ready qua Gateway (/v1, riêng health ở gốc).
3. Kiểm tra status, response schema, headers và tác động tại owner.
4. Nếu trả operation, tra cứu bằng đúng proof. Payment dùng GET Payment/attempt; OTP 202 chỉ tiếp nhận gửi mã.</x:v>
      </x:c>
      <x:c r="M332" s="10" t="str">
        <x:v>200: Các thành phần bắt buộc đã sẵn sàng
Response đúng required/type/enum/oneOf của YAML, không trường bí mật; đọc không tạo tác động ghi ngoài quy tắc endpoint.</x:v>
      </x:c>
      <x:c r="N332" s="10" t="str">
        <x:v>HTTP request/response đã che token; bản ghi trước/sau tại DB sở hữu; correlationId và log/audit liên quan.</x:v>
      </x:c>
      <x:c r="O332" s="10" t="str">
        <x:v>FR27; NFR07</x:v>
      </x:c>
      <x:c r="P332" s="10" t="str">
        <x:v>UC21; AC19</x:v>
      </x:c>
      <x:c r="Q332" s="10" t="str">
        <x:v>6</x:v>
      </x:c>
      <x:c r="R332" s="10" t="str">
        <x:v>Khôi phục dependency/fault injection nếu có; dùng bộ ID mới cho ca kế tiếp. Không xóa lịch sử/audit bằng API nghiệp vụ.</x:v>
      </x:c>
      <x:c r="S332" s="11" t="str"/>
      <x:c r="T332" s="11" t="str"/>
      <x:c r="U332" s="11" t="str"/>
      <x:c r="V332" s="11" t="str"/>
      <x:c r="W332" s="12"/>
      <x:c r="X332" s="10" t="str">
        <x:v>07-operations-api.yaml paths /ready get</x:v>
      </x:c>
    </x:row>
    <x:row r="333" ht="94" customHeight="1">
      <x:c r="A333" s="9" t="str">
        <x:v>TC13-API-069</x:v>
      </x:c>
      <x:c r="B333" s="9" t="str">
        <x:v>API</x:v>
      </x:c>
      <x:c r="C333" s="9" t="str">
        <x:v>Điều hành viên xem sức khỏe các thành phần — hợp đồng cơ sở</x:v>
      </x:c>
      <x:c r="D333" s="9" t="str">
        <x:v>P1</x:v>
      </x:c>
      <x:c r="E333" s="9" t="str">
        <x:v>DEFINED</x:v>
      </x:c>
      <x:c r="F333" s="9" t="str">
        <x:v>NOT_RUN</x:v>
      </x:c>
      <x:c r="G333" s="9" t="str"/>
      <x:c r="H333" s="9" t="str">
        <x:v>CONTRACT</x:v>
      </x:c>
      <x:c r="I333" s="9" t="str">
        <x:v>GET /health/services</x:v>
      </x:c>
      <x:c r="J333" s="9" t="str">
        <x:v>BASE. O_A ACTIVE/Session hợp lệ; 12 thành phần baseline khả dụng.</x:v>
      </x:c>
      <x:c r="K333" s="9" t="str">
        <x:v>Fixture BASE và đối tượng đúng trạng thái nêu trong điều kiện. Không gửi body nếu endpoint không nhận body.</x:v>
      </x:c>
      <x:c r="L333" s="9" t="str">
        <x:v>1. Chuẩn bị fixture đúng vai trò/chủ thể và trạng thái trong mô tả; đọc version nếu lệnh yêu cầu.
2. Gọi GET /health/services qua Gateway (/v1, riêng health ở gốc).
3. Kiểm tra status, response schema, headers và tác động tại owner.
4. Nếu trả operation, tra cứu bằng đúng proof. Payment dùng GET Payment/attempt; OTP 202 chỉ tiếp nhận gửi mã.</x:v>
      </x:c>
      <x:c r="M333" s="9" t="str">
        <x:v>200: Các thành phần bắt buộc đang hoạt động
Response đúng required/type/enum/oneOf của YAML, không trường bí mật; đọc không tạo tác động ghi ngoài quy tắc endpoint.</x:v>
      </x:c>
      <x:c r="N333" s="9" t="str">
        <x:v>HTTP request/response đã che token; bản ghi trước/sau tại DB sở hữu; correlationId và log/audit liên quan.</x:v>
      </x:c>
      <x:c r="O333" s="9" t="str">
        <x:v>FR27; NFR07</x:v>
      </x:c>
      <x:c r="P333" s="9" t="str">
        <x:v>UC21; AC19</x:v>
      </x:c>
      <x:c r="Q333" s="9" t="str">
        <x:v>6</x:v>
      </x:c>
      <x:c r="R333" s="9" t="str">
        <x:v>Khôi phục dependency/fault injection nếu có; dùng bộ ID mới cho ca kế tiếp. Không xóa lịch sử/audit bằng API nghiệp vụ.</x:v>
      </x:c>
      <x:c r="S333" s="11" t="str"/>
      <x:c r="T333" s="11" t="str"/>
      <x:c r="U333" s="11" t="str"/>
      <x:c r="V333" s="11" t="str"/>
      <x:c r="W333" s="12"/>
      <x:c r="X333" s="9" t="str">
        <x:v>07-operations-api.yaml paths /health/services get</x:v>
      </x:c>
    </x:row>
    <x:row r="334" ht="108" customHeight="1">
      <x:c r="A334" s="10" t="str">
        <x:v>TC13-API-070</x:v>
      </x:c>
      <x:c r="B334" s="10" t="str">
        <x:v>API</x:v>
      </x:c>
      <x:c r="C334" s="10" t="str">
        <x:v>Tra cứu tiến trình đăng ký Driver — hợp đồng cơ sở</x:v>
      </x:c>
      <x:c r="D334" s="10" t="str">
        <x:v>P1</x:v>
      </x:c>
      <x:c r="E334" s="10" t="str">
        <x:v>DEFINED</x:v>
      </x:c>
      <x:c r="F334" s="10" t="str">
        <x:v>NOT_RUN</x:v>
      </x:c>
      <x:c r="G334" s="10" t="str"/>
      <x:c r="H334" s="10" t="str">
        <x:v>CONTRACT</x:v>
      </x:c>
      <x:c r="I334" s="10" t="str">
        <x:v>GET /driver-registration-operations/{operationId}</x:v>
      </x:c>
      <x:c r="J334" s="10" t="str">
        <x:v>BASE. Operation đăng ký Driver đã tiếp nhận; token digest gốc và Idempotency-Key đúng.</x:v>
      </x:c>
      <x:c r="K334" s="10" t="str">
        <x:v>Fixture BASE và đối tượng đúng trạng thái nêu trong điều kiện. Không gửi body nếu endpoint không nhận body. Header bắt buộc: Idempotency-Key.</x:v>
      </x:c>
      <x:c r="L334" s="10" t="str">
        <x:v>1. Chuẩn bị fixture đúng vai trò/chủ thể và trạng thái trong mô tả; đọc version nếu lệnh yêu cầu.
2. Gọi GET /driver-registration-operations/{operationId} qua Gateway (/v1, riêng health ở gốc).
3. Kiểm tra status, response schema, headers và tác động tại owner.
4. Nếu trả operation, tra cứu bằng đúng proof. Payment dùng GET Payment/attempt; OTP 202 chỉ tiếp nhận gửi mã.</x:v>
      </x:c>
      <x:c r="M334" s="10" t="str">
        <x:v>200: Tiến trình đăng ký được phép đọc.
Response đúng required/type/enum/oneOf của YAML, không trường bí mật; đọc không tạo tác động ghi ngoài quy tắc endpoint.</x:v>
      </x:c>
      <x:c r="N334" s="10" t="str">
        <x:v>HTTP request/response đã che token; bản ghi trước/sau tại DB sở hữu; correlationId và log/audit liên quan.</x:v>
      </x:c>
      <x:c r="O334" s="10" t="str">
        <x:v>FR23; FR28; NFR18</x:v>
      </x:c>
      <x:c r="P334" s="10" t="str">
        <x:v>UC17; AC15; UC22; AC21</x:v>
      </x:c>
      <x:c r="Q334" s="10" t="str">
        <x:v>21</x:v>
      </x:c>
      <x:c r="R334" s="10" t="str">
        <x:v>Khôi phục dependency/fault injection nếu có; dùng bộ ID mới cho ca kế tiếp. Không xóa lịch sử/audit bằng API nghiệp vụ.</x:v>
      </x:c>
      <x:c r="S334" s="11" t="str"/>
      <x:c r="T334" s="11" t="str"/>
      <x:c r="U334" s="11" t="str"/>
      <x:c r="V334" s="11" t="str"/>
      <x:c r="W334" s="12"/>
      <x:c r="X334" s="10" t="str">
        <x:v>07-operations-api.yaml paths /driver-registration-operations/{operationId} get</x:v>
      </x:c>
    </x:row>
    <x:row r="335" ht="94" customHeight="1">
      <x:c r="A335" s="9" t="str">
        <x:v>TC13-API-071</x:v>
      </x:c>
      <x:c r="B335" s="9" t="str">
        <x:v>API</x:v>
      </x:c>
      <x:c r="C335" s="9" t="str">
        <x:v>Khách hàng đánh giá chuyến đã hoàn tất — hợp đồng cơ sở</x:v>
      </x:c>
      <x:c r="D335" s="9" t="str">
        <x:v>P1</x:v>
      </x:c>
      <x:c r="E335" s="9" t="str">
        <x:v>DEFINED</x:v>
      </x:c>
      <x:c r="F335" s="9" t="str">
        <x:v>NOT_RUN</x:v>
      </x:c>
      <x:c r="G335" s="9" t="str"/>
      <x:c r="H335" s="9" t="str">
        <x:v>CONTRACT</x:v>
      </x:c>
      <x:c r="I335" s="9" t="str">
        <x:v>POST /trips/{tripId}/rating</x:v>
      </x:c>
      <x:c r="J335" s="9" t="str">
        <x:v>BASE. C_A của T_DONE chưa Rating; score=5; không yêu cầu Payment SUCCESS.</x:v>
      </x:c>
      <x:c r="K335" s="9" t="str">
        <x:v>Fixture BASE và đối tượng đúng trạng thái nêu trong điều kiện. Body mẫu (thay placeholder bằng dữ liệu thực): {"score": 1} Header bắt buộc: Idempotency-Key.</x:v>
      </x:c>
      <x:c r="L335" s="9" t="str">
        <x:v>1. Chuẩn bị fixture đúng vai trò/chủ thể và trạng thái trong mô tả; đọc version nếu lệnh yêu cầu.
2. Gọi POST /trips/{tripId}/rating qua Gateway (/v1, riêng health ở gốc).
3. Kiểm tra status, response schema, headers và tác động tại owner.
4. Nếu trả operation, tra cứu bằng đúng proof. Payment dùng GET Payment/attempt; OTP 202 chỉ tiếp nhận gửi mã.</x:v>
      </x:c>
      <x:c r="M335" s="9" t="str">
        <x:v>201: Đã tạo đánh giá hoặc replay kết quả 201 đã lưu
Response đúng required/type/enum/oneOf của YAML, không trường bí mật; đọc không tạo tác động ghi ngoài quy tắc endpoint.</x:v>
      </x:c>
      <x:c r="N335" s="9" t="str">
        <x:v>HTTP request/response đã che token; bản ghi trước/sau tại DB sở hữu; correlationId và log/audit liên quan.</x:v>
      </x:c>
      <x:c r="O335" s="9" t="str">
        <x:v>FR16</x:v>
      </x:c>
      <x:c r="P335" s="9" t="str">
        <x:v>UC08; AC07</x:v>
      </x:c>
      <x:c r="Q335" s="9" t="str">
        <x:v>20</x:v>
      </x:c>
      <x:c r="R335" s="9" t="str">
        <x:v>Khôi phục dependency/fault injection nếu có; dùng bộ ID mới cho ca kế tiếp. Không xóa lịch sử/audit bằng API nghiệp vụ.</x:v>
      </x:c>
      <x:c r="S335" s="11" t="str"/>
      <x:c r="T335" s="11" t="str"/>
      <x:c r="U335" s="11" t="str"/>
      <x:c r="V335" s="11" t="str"/>
      <x:c r="W335" s="12"/>
      <x:c r="X335" s="9" t="str">
        <x:v>08-rating-api.yaml paths /trips/{tripId}/rating post</x:v>
      </x:c>
    </x:row>
    <x:row r="336" ht="94" customHeight="1">
      <x:c r="A336" s="10" t="str">
        <x:v>TC13-API-072</x:v>
      </x:c>
      <x:c r="B336" s="10" t="str">
        <x:v>API</x:v>
      </x:c>
      <x:c r="C336" s="10" t="str">
        <x:v>Xem đánh giá của một chuyến — hợp đồng cơ sở</x:v>
      </x:c>
      <x:c r="D336" s="10" t="str">
        <x:v>P1</x:v>
      </x:c>
      <x:c r="E336" s="10" t="str">
        <x:v>DEFINED</x:v>
      </x:c>
      <x:c r="F336" s="10" t="str">
        <x:v>NOT_RUN</x:v>
      </x:c>
      <x:c r="G336" s="10" t="str"/>
      <x:c r="H336" s="10" t="str">
        <x:v>CONTRACT</x:v>
      </x:c>
      <x:c r="I336" s="10" t="str">
        <x:v>GET /trips/{tripId}/rating</x:v>
      </x:c>
      <x:c r="J336" s="10" t="str">
        <x:v>BASE. C_A/D_A/O_A có quyền Trip đã có Rating.</x:v>
      </x:c>
      <x:c r="K336" s="10" t="str">
        <x:v>Fixture BASE và đối tượng đúng trạng thái nêu trong điều kiện. Không gửi body nếu endpoint không nhận body.</x:v>
      </x:c>
      <x:c r="L336" s="10" t="str">
        <x:v>1. Chuẩn bị fixture đúng vai trò/chủ thể và trạng thái trong mô tả; đọc version nếu lệnh yêu cầu.
2. Gọi GET /trips/{tripId}/rating qua Gateway (/v1, riêng health ở gốc).
3. Kiểm tra status, response schema, headers và tác động tại owner.
4. Nếu trả operation, tra cứu bằng đúng proof. Payment dùng GET Payment/attempt; OTP 202 chỉ tiếp nhận gửi mã.</x:v>
      </x:c>
      <x:c r="M336" s="10" t="str">
        <x:v>200: Đánh giá của chuyến trong phạm vi được phép
Response đúng required/type/enum/oneOf của YAML, không trường bí mật; đọc không tạo tác động ghi ngoài quy tắc endpoint.</x:v>
      </x:c>
      <x:c r="N336" s="10" t="str">
        <x:v>HTTP request/response đã che token; bản ghi trước/sau tại DB sở hữu; correlationId và log/audit liên quan.</x:v>
      </x:c>
      <x:c r="O336" s="10" t="str">
        <x:v>FR16</x:v>
      </x:c>
      <x:c r="P336" s="10" t="str">
        <x:v>UC08; AC07</x:v>
      </x:c>
      <x:c r="Q336" s="10" t="str">
        <x:v>20</x:v>
      </x:c>
      <x:c r="R336" s="10" t="str">
        <x:v>Khôi phục dependency/fault injection nếu có; dùng bộ ID mới cho ca kế tiếp. Không xóa lịch sử/audit bằng API nghiệp vụ.</x:v>
      </x:c>
      <x:c r="S336" s="11" t="str"/>
      <x:c r="T336" s="11" t="str"/>
      <x:c r="U336" s="11" t="str"/>
      <x:c r="V336" s="11" t="str"/>
      <x:c r="W336" s="12"/>
      <x:c r="X336" s="10" t="str">
        <x:v>08-rating-api.yaml paths /trips/{tripId}/rating get</x:v>
      </x:c>
    </x:row>
    <x:row r="337" ht="94" customHeight="1">
      <x:c r="A337" s="9" t="str">
        <x:v>TC13-API-073</x:v>
      </x:c>
      <x:c r="B337" s="9" t="str">
        <x:v>API</x:v>
      </x:c>
      <x:c r="C337" s="9" t="str">
        <x:v>Tài xế xem đánh giá dành cho mình — hợp đồng cơ sở</x:v>
      </x:c>
      <x:c r="D337" s="9" t="str">
        <x:v>P1</x:v>
      </x:c>
      <x:c r="E337" s="9" t="str">
        <x:v>DEFINED</x:v>
      </x:c>
      <x:c r="F337" s="9" t="str">
        <x:v>NOT_RUN</x:v>
      </x:c>
      <x:c r="G337" s="9" t="str"/>
      <x:c r="H337" s="9" t="str">
        <x:v>CONTRACT</x:v>
      </x:c>
      <x:c r="I337" s="9" t="str">
        <x:v>GET /drivers/me/ratings</x:v>
      </x:c>
      <x:c r="J337" s="9" t="str">
        <x:v>BASE. D_A ACTIVE/Session hợp lệ; có Rating lịch sử của mình.</x:v>
      </x:c>
      <x:c r="K337" s="9" t="str">
        <x:v>Fixture BASE và đối tượng đúng trạng thái nêu trong điều kiện. Không gửi body nếu endpoint không nhận body. Query được phép: score, limit, cursor.</x:v>
      </x:c>
      <x:c r="L337" s="9" t="str">
        <x:v>1. Chuẩn bị fixture đúng vai trò/chủ thể và trạng thái trong mô tả; đọc version nếu lệnh yêu cầu.
2. Gọi GET /drivers/me/ratings qua Gateway (/v1, riêng health ở gốc).
3. Kiểm tra status, response schema, headers và tác động tại owner.
4. Nếu trả operation, tra cứu bằng đúng proof. Payment dùng GET Payment/attempt; OTP 202 chỉ tiếp nhận gửi mã.</x:v>
      </x:c>
      <x:c r="M337" s="9" t="str">
        <x:v>200: Danh sách đánh giá phù hợp
Response đúng required/type/enum/oneOf của YAML, không trường bí mật; đọc không tạo tác động ghi ngoài quy tắc endpoint.</x:v>
      </x:c>
      <x:c r="N337" s="9" t="str">
        <x:v>HTTP request/response đã che token; bản ghi trước/sau tại DB sở hữu; correlationId và log/audit liên quan.</x:v>
      </x:c>
      <x:c r="O337" s="9" t="str">
        <x:v>FR16</x:v>
      </x:c>
      <x:c r="P337" s="9" t="str">
        <x:v>UC08; AC07</x:v>
      </x:c>
      <x:c r="Q337" s="9" t="str">
        <x:v>20</x:v>
      </x:c>
      <x:c r="R337" s="9" t="str">
        <x:v>Khôi phục dependency/fault injection nếu có; dùng bộ ID mới cho ca kế tiếp. Không xóa lịch sử/audit bằng API nghiệp vụ.</x:v>
      </x:c>
      <x:c r="S337" s="11" t="str"/>
      <x:c r="T337" s="11" t="str"/>
      <x:c r="U337" s="11" t="str"/>
      <x:c r="V337" s="11" t="str"/>
      <x:c r="W337" s="12"/>
      <x:c r="X337" s="9" t="str">
        <x:v>08-rating-api.yaml paths /drivers/me/ratings get</x:v>
      </x:c>
    </x:row>
    <x:row r="338" ht="94" customHeight="1">
      <x:c r="A338" s="10" t="str">
        <x:v>TC13-API-074</x:v>
      </x:c>
      <x:c r="B338" s="10" t="str">
        <x:v>API</x:v>
      </x:c>
      <x:c r="C338" s="10" t="str">
        <x:v>Điều hành viên tra cứu đánh giá — hợp đồng cơ sở</x:v>
      </x:c>
      <x:c r="D338" s="10" t="str">
        <x:v>P1</x:v>
      </x:c>
      <x:c r="E338" s="10" t="str">
        <x:v>DEFINED</x:v>
      </x:c>
      <x:c r="F338" s="10" t="str">
        <x:v>NOT_RUN</x:v>
      </x:c>
      <x:c r="G338" s="10" t="str"/>
      <x:c r="H338" s="10" t="str">
        <x:v>CONTRACT</x:v>
      </x:c>
      <x:c r="I338" s="10" t="str">
        <x:v>GET /operations/ratings</x:v>
      </x:c>
      <x:c r="J338" s="10" t="str">
        <x:v>BASE. O_A; có Rating của nhiều Driver để lọc theo AND.</x:v>
      </x:c>
      <x:c r="K338" s="10" t="str">
        <x:v>Fixture BASE và đối tượng đúng trạng thái nêu trong điều kiện. Không gửi body nếu endpoint không nhận body. Query được phép: driverId, tripId, score, from, to, limit, cursor.</x:v>
      </x:c>
      <x:c r="L338" s="10" t="str">
        <x:v>1. Chuẩn bị fixture đúng vai trò/chủ thể và trạng thái trong mô tả; đọc version nếu lệnh yêu cầu.
2. Gọi GET /operations/ratings qua Gateway (/v1, riêng health ở gốc).
3. Kiểm tra status, response schema, headers và tác động tại owner.
4. Nếu trả operation, tra cứu bằng đúng proof. Payment dùng GET Payment/attempt; OTP 202 chỉ tiếp nhận gửi mã.</x:v>
      </x:c>
      <x:c r="M338" s="10" t="str">
        <x:v>200: Danh sách đánh giá phù hợp
Response đúng required/type/enum/oneOf của YAML, không trường bí mật; đọc không tạo tác động ghi ngoài quy tắc endpoint.</x:v>
      </x:c>
      <x:c r="N338" s="10" t="str">
        <x:v>HTTP request/response đã che token; bản ghi trước/sau tại DB sở hữu; correlationId và log/audit liên quan.</x:v>
      </x:c>
      <x:c r="O338" s="10" t="str">
        <x:v>FR16; FR28; NFR18</x:v>
      </x:c>
      <x:c r="P338" s="10" t="str">
        <x:v>UC08; AC07; UC22; AC21</x:v>
      </x:c>
      <x:c r="Q338" s="10" t="str">
        <x:v>20</x:v>
      </x:c>
      <x:c r="R338" s="10" t="str">
        <x:v>Khôi phục dependency/fault injection nếu có; dùng bộ ID mới cho ca kế tiếp. Không xóa lịch sử/audit bằng API nghiệp vụ.</x:v>
      </x:c>
      <x:c r="S338" s="11" t="str"/>
      <x:c r="T338" s="11" t="str"/>
      <x:c r="U338" s="11" t="str"/>
      <x:c r="V338" s="11" t="str"/>
      <x:c r="W338" s="12"/>
      <x:c r="X338" s="10" t="str">
        <x:v>08-rating-api.yaml paths /operations/ratings get</x:v>
      </x:c>
    </x:row>
  </x:sheetData>
  <x:conditionalFormatting sqref="E7:E338">
    <x:cfRule type="containsText" dxfId="0" priority="1" operator="containsText" text="NEEDS_DECISION"/>
    <x:cfRule type="containsText" dxfId="1" priority="2" operator="containsText" text="OUT_OF_SCOPE"/>
  </x:conditionalFormatting>
  <x:conditionalFormatting sqref="F7:F338">
    <x:cfRule type="cellIs" dxfId="2" priority="3" operator="equal">
      <x:formula>"PASS"</x:formula>
    </x:cfRule>
    <x:cfRule type="cellIs" dxfId="3" priority="4" operator="equal">
      <x:formula>"FAIL"</x:formula>
    </x:cfRule>
    <x:cfRule type="cellIs" dxfId="4" priority="5" operator="equal">
      <x:formula>"BLOCKED"</x:formula>
    </x:cfRule>
  </x:conditionalFormatting>
  <x:conditionalFormatting sqref="S7:W338">
    <x:cfRule type="expression" dxfId="5" priority="6">
      <x:formula>AND(OR($F7="PASS",$F7="FAIL"),OR($S7="",$T7="",$V7="",$W7=""))</x:formula>
    </x:cfRule>
  </x:conditionalFormatting>
  <x:dataValidations count="3">
    <x:dataValidation type="list" sqref="D7:D338">
      <x:formula1>"P0,P1,P2"</x:formula1>
    </x:dataValidation>
    <x:dataValidation type="list" sqref="E7:E338">
      <x:formula1>"DEFINED,NEEDS_DECISION,OUT_OF_SCOPE"</x:formula1>
    </x:dataValidation>
    <x:dataValidation type="list" sqref="F7:F338">
      <x:formula1>"NOT_RUN,PASS,FAIL,BLOCKED,SKIPPED"</x:formula1>
    </x:dataValidation>
  </x:dataValidations>
  <x:pageMargins left="0.7" right="0.7" top="0.75" bottom="0.75" header="0.3" footer="0.3"/>
  <x:tableParts count="1">
    <x:tablePart xmlns:r="http://schemas.openxmlformats.org/officeDocument/2006/relationships" r:id="R87123dc73fad4a03"/>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5" hidden="0" customWidth="1"/>
    <x:col min="2" max="2" width="77" hidden="0" customWidth="1"/>
    <x:col min="3" max="3" width="20" hidden="0" customWidth="1"/>
    <x:col min="4" max="4" width="13" hidden="0" customWidth="1"/>
    <x:col min="5" max="5" width="15" hidden="0" customWidth="1"/>
    <x:col min="6" max="6" width="20" hidden="0" customWidth="1"/>
    <x:col min="7" max="7" width="13" hidden="0" customWidth="1"/>
    <x:col min="8" max="8" width="13" hidden="0" customWidth="1"/>
    <x:col min="9" max="9" width="100" hidden="0" customWidth="1"/>
  </x:cols>
  <x:sheetData>
    <x:row r="2">
      <x:c r="A2" s="1" t="str">
        <x:v>Truy vết yêu cầu và tiêu chí chấp nhận</x:v>
      </x:c>
    </x:row>
    <x:row r="4">
      <x:c r="A4" t="str">
        <x:v>Liên kết theo nhóm nghiệp vụ; số ca không chứng minh bao phủ mọi biến thể hoặc đã đạt yêu cầu. API contract là kiểm tra bổ sung.</x:v>
      </x:c>
    </x:row>
    <x:row r="6" ht="32" customHeight="1">
      <x:c r="A6" s="8" t="str">
        <x:v>Mã yêu cầu</x:v>
      </x:c>
      <x:c r="B6" s="8" t="str">
        <x:v>Nội dung / vị trí SRS</x:v>
      </x:c>
      <x:c r="C6" s="8" t="str">
        <x:v>Phạm vi</x:v>
      </x:c>
      <x:c r="D6" s="8" t="str">
        <x:v>Số ca liên kết</x:v>
      </x:c>
      <x:c r="E6" s="8" t="str">
        <x:v>DEFINED</x:v>
      </x:c>
      <x:c r="F6" s="8" t="str">
        <x:v>NEEDS_DECISION</x:v>
      </x:c>
      <x:c r="G6" s="8" t="str">
        <x:v>PASS</x:v>
      </x:c>
      <x:c r="H6" s="8" t="str">
        <x:v>FAIL</x:v>
      </x:c>
      <x:c r="I6" s="8" t="str">
        <x:v>Test ID liên quan</x:v>
      </x:c>
    </x:row>
    <x:row r="7" ht="108" customHeight="1">
      <x:c r="A7" s="9" t="str">
        <x:v>FR01</x:v>
      </x:c>
      <x:c r="B7" s="9" t="str">
        <x:v>Quản lý tài khoản và xác thực</x:v>
      </x:c>
      <x:c r="C7" s="9" t="str">
        <x:v>MVP</x:v>
      </x:c>
      <x:c r="D7" s="9" t="n">
        <x:f>COUNTA(Test_Cases!A7,Test_Cases!A8,Test_Cases!A9,Test_Cases!A10,Test_Cases!A11,Test_Cases!A12,Test_Cases!A13,Test_Cases!A14,Test_Cases!A15,Test_Cases!A16,Test_Cases!A17,Test_Cases!A18,Test_Cases!A19,Test_Cases!A20,Test_Cases!A21,Test_Cases!A22,Test_Cases!A23,Test_Cases!A24,Test_Cases!A25,Test_Cases!A26,Test_Cases!A27,Test_Cases!A28,Test_Cases!A29,Test_Cases!A30,Test_Cases!A33,Test_Cases!A34,Test_Cases!A35,Test_Cases!A36,Test_Cases!A78,Test_Cases!A79,Test_Cases!A80,Test_Cases!A219,Test_Cases!A220,Test_Cases!A221,Test_Cases!A253,Test_Cases!A254,Test_Cases!A255,Test_Cases!A256,Test_Cases!A257,Test_Cases!A265,Test_Cases!A266,Test_Cases!A267,Test_Cases!A268,Test_Cases!A269,Test_Cases!A272,Test_Cases!A273,Test_Cases!A275,Test_Cases!A312,Test_Cases!A313)</x:f>
        <x:v>49</x:v>
      </x:c>
      <x:c r="E7" s="9"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19,"DEFINED")+COUNTIFS(Test_Cases!E20,"DEFINED")+COUNTIFS(Test_Cases!E21,"DEFINED")+COUNTIFS(Test_Cases!E22,"DEFINED")+COUNTIFS(Test_Cases!E23,"DEFINED")+COUNTIFS(Test_Cases!E24,"DEFINED")+COUNTIFS(Test_Cases!E25,"DEFINED")+COUNTIFS(Test_Cases!E26,"DEFINED")+COUNTIFS(Test_Cases!E27,"DEFINED")+COUNTIFS(Test_Cases!E28,"DEFINED")+COUNTIFS(Test_Cases!E29,"DEFINED")+COUNTIFS(Test_Cases!E30,"DEFINED")+COUNTIFS(Test_Cases!E33,"DEFINED")+COUNTIFS(Test_Cases!E34,"DEFINED")+COUNTIFS(Test_Cases!E35,"DEFINED")+COUNTIFS(Test_Cases!E36,"DEFINED")+COUNTIFS(Test_Cases!E78,"DEFINED")+COUNTIFS(Test_Cases!E79,"DEFINED")+COUNTIFS(Test_Cases!E80,"DEFINED")+COUNTIFS(Test_Cases!E219,"DEFINED")+COUNTIFS(Test_Cases!E220,"DEFINED")+COUNTIFS(Test_Cases!E221,"DEFINED")+COUNTIFS(Test_Cases!E253,"DEFINED")+COUNTIFS(Test_Cases!E254,"DEFINED")+COUNTIFS(Test_Cases!E255,"DEFINED")+COUNTIFS(Test_Cases!E256,"DEFINED")+COUNTIFS(Test_Cases!E257,"DEFINED")+COUNTIFS(Test_Cases!E265,"DEFINED")+COUNTIFS(Test_Cases!E266,"DEFINED")+COUNTIFS(Test_Cases!E267,"DEFINED")+COUNTIFS(Test_Cases!E268,"DEFINED")+COUNTIFS(Test_Cases!E269,"DEFINED")+COUNTIFS(Test_Cases!E272,"DEFINED")+COUNTIFS(Test_Cases!E273,"DEFINED")+COUNTIFS(Test_Cases!E275,"DEFINED")+COUNTIFS(Test_Cases!E312,"DEFINED")+COUNTIFS(Test_Cases!E313,"DEFINED")</x:f>
        <x:v>42</x:v>
      </x:c>
      <x:c r="F7" s="9"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19,"NEEDS_DECISION")+COUNTIFS(Test_Cases!E20,"NEEDS_DECISION")+COUNTIFS(Test_Cases!E21,"NEEDS_DECISION")+COUNTIFS(Test_Cases!E22,"NEEDS_DECISION")+COUNTIFS(Test_Cases!E23,"NEEDS_DECISION")+COUNTIFS(Test_Cases!E24,"NEEDS_DECISION")+COUNTIFS(Test_Cases!E25,"NEEDS_DECISION")+COUNTIFS(Test_Cases!E26,"NEEDS_DECISION")+COUNTIFS(Test_Cases!E27,"NEEDS_DECISION")+COUNTIFS(Test_Cases!E28,"NEEDS_DECISION")+COUNTIFS(Test_Cases!E29,"NEEDS_DECISION")+COUNTIFS(Test_Cases!E30,"NEEDS_DECISION")+COUNTIFS(Test_Cases!E33,"NEEDS_DECISION")+COUNTIFS(Test_Cases!E34,"NEEDS_DECISION")+COUNTIFS(Test_Cases!E35,"NEEDS_DECISION")+COUNTIFS(Test_Cases!E36,"NEEDS_DECISION")+COUNTIFS(Test_Cases!E78,"NEEDS_DECISION")+COUNTIFS(Test_Cases!E79,"NEEDS_DECISION")+COUNTIFS(Test_Cases!E80,"NEEDS_DECISION")+COUNTIFS(Test_Cases!E219,"NEEDS_DECISION")+COUNTIFS(Test_Cases!E220,"NEEDS_DECISION")+COUNTIFS(Test_Cases!E221,"NEEDS_DECISION")+COUNTIFS(Test_Cases!E253,"NEEDS_DECISION")+COUNTIFS(Test_Cases!E254,"NEEDS_DECISION")+COUNTIFS(Test_Cases!E255,"NEEDS_DECISION")+COUNTIFS(Test_Cases!E256,"NEEDS_DECISION")+COUNTIFS(Test_Cases!E257,"NEEDS_DECISION")+COUNTIFS(Test_Cases!E265,"NEEDS_DECISION")+COUNTIFS(Test_Cases!E266,"NEEDS_DECISION")+COUNTIFS(Test_Cases!E267,"NEEDS_DECISION")+COUNTIFS(Test_Cases!E268,"NEEDS_DECISION")+COUNTIFS(Test_Cases!E269,"NEEDS_DECISION")+COUNTIFS(Test_Cases!E272,"NEEDS_DECISION")+COUNTIFS(Test_Cases!E273,"NEEDS_DECISION")+COUNTIFS(Test_Cases!E275,"NEEDS_DECISION")+COUNTIFS(Test_Cases!E312,"NEEDS_DECISION")+COUNTIFS(Test_Cases!E313,"NEEDS_DECISION")</x:f>
        <x:v>7</x:v>
      </x:c>
      <x:c r="G7" s="9"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19,"PASS")+COUNTIFS(Test_Cases!F20,"PASS")+COUNTIFS(Test_Cases!F21,"PASS")+COUNTIFS(Test_Cases!F22,"PASS")+COUNTIFS(Test_Cases!F23,"PASS")+COUNTIFS(Test_Cases!F24,"PASS")+COUNTIFS(Test_Cases!F25,"PASS")+COUNTIFS(Test_Cases!F26,"PASS")+COUNTIFS(Test_Cases!F27,"PASS")+COUNTIFS(Test_Cases!F28,"PASS")+COUNTIFS(Test_Cases!F29,"PASS")+COUNTIFS(Test_Cases!F30,"PASS")+COUNTIFS(Test_Cases!F33,"PASS")+COUNTIFS(Test_Cases!F34,"PASS")+COUNTIFS(Test_Cases!F35,"PASS")+COUNTIFS(Test_Cases!F36,"PASS")+COUNTIFS(Test_Cases!F78,"PASS")+COUNTIFS(Test_Cases!F79,"PASS")+COUNTIFS(Test_Cases!F80,"PASS")+COUNTIFS(Test_Cases!F219,"PASS")+COUNTIFS(Test_Cases!F220,"PASS")+COUNTIFS(Test_Cases!F221,"PASS")+COUNTIFS(Test_Cases!F253,"PASS")+COUNTIFS(Test_Cases!F254,"PASS")+COUNTIFS(Test_Cases!F255,"PASS")+COUNTIFS(Test_Cases!F256,"PASS")+COUNTIFS(Test_Cases!F257,"PASS")+COUNTIFS(Test_Cases!F265,"PASS")+COUNTIFS(Test_Cases!F266,"PASS")+COUNTIFS(Test_Cases!F267,"PASS")+COUNTIFS(Test_Cases!F268,"PASS")+COUNTIFS(Test_Cases!F269,"PASS")+COUNTIFS(Test_Cases!F272,"PASS")+COUNTIFS(Test_Cases!F273,"PASS")+COUNTIFS(Test_Cases!F275,"PASS")+COUNTIFS(Test_Cases!F312,"PASS")+COUNTIFS(Test_Cases!F313,"PASS")</x:f>
        <x:v>0</x:v>
      </x:c>
      <x:c r="H7" s="9"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19,"FAIL")+COUNTIFS(Test_Cases!F20,"FAIL")+COUNTIFS(Test_Cases!F21,"FAIL")+COUNTIFS(Test_Cases!F22,"FAIL")+COUNTIFS(Test_Cases!F23,"FAIL")+COUNTIFS(Test_Cases!F24,"FAIL")+COUNTIFS(Test_Cases!F25,"FAIL")+COUNTIFS(Test_Cases!F26,"FAIL")+COUNTIFS(Test_Cases!F27,"FAIL")+COUNTIFS(Test_Cases!F28,"FAIL")+COUNTIFS(Test_Cases!F29,"FAIL")+COUNTIFS(Test_Cases!F30,"FAIL")+COUNTIFS(Test_Cases!F33,"FAIL")+COUNTIFS(Test_Cases!F34,"FAIL")+COUNTIFS(Test_Cases!F35,"FAIL")+COUNTIFS(Test_Cases!F36,"FAIL")+COUNTIFS(Test_Cases!F78,"FAIL")+COUNTIFS(Test_Cases!F79,"FAIL")+COUNTIFS(Test_Cases!F80,"FAIL")+COUNTIFS(Test_Cases!F219,"FAIL")+COUNTIFS(Test_Cases!F220,"FAIL")+COUNTIFS(Test_Cases!F221,"FAIL")+COUNTIFS(Test_Cases!F253,"FAIL")+COUNTIFS(Test_Cases!F254,"FAIL")+COUNTIFS(Test_Cases!F255,"FAIL")+COUNTIFS(Test_Cases!F256,"FAIL")+COUNTIFS(Test_Cases!F257,"FAIL")+COUNTIFS(Test_Cases!F265,"FAIL")+COUNTIFS(Test_Cases!F266,"FAIL")+COUNTIFS(Test_Cases!F267,"FAIL")+COUNTIFS(Test_Cases!F268,"FAIL")+COUNTIFS(Test_Cases!F269,"FAIL")+COUNTIFS(Test_Cases!F272,"FAIL")+COUNTIFS(Test_Cases!F273,"FAIL")+COUNTIFS(Test_Cases!F275,"FAIL")+COUNTIFS(Test_Cases!F312,"FAIL")+COUNTIFS(Test_Cases!F313,"FAIL")</x:f>
        <x:v>0</x:v>
      </x:c>
      <x:c r="I7" s="9" t="str">
        <x:v>TC13-AUTH-001, TC13-AUTH-002, TC13-AUTH-003, TC13-AUTH-004, TC13-AUTH-005, TC13-AUTH-006, TC13-AUTH-007, TC13-AUTH-008, TC13-AUTH-009, TC13-AUTH-010, TC13-AUTH-011, TC13-AUTH-012, TC13-AUTH-013, TC13-AUTH-014, TC13-AUTH-015, TC13-AUTH-016, TC13-AUTH-017, TC13-AUTH-018, TC13-AUTH-019, TC13-AUTH-020, TC13-AUTH-021, TC13-AUTH-022, TC13-AUTH-023, TC13-AUTH-024, TC13-AUTH-027, TC13-AUTH-028, TC13-AUTH-029, TC13-AUTH-030, TC13-FLEET-029, TC13-FLEET-030, TC13-FLEET-031, TC13-SEC-003, TC13-SEC-004, TC13-SEC-005, TC13-E2E-001, TC13-E2E-002, TC13-E2E-003, TC13-E2E-004, TC13-E2E-005, TC13-API-001, TC13-API-002, TC13-API-003, TC13-API-004, TC13-API-005, TC13-API-008, TC13-API-009, TC13-API-011, TC13-API-048, TC13-API-049</x:v>
      </x:c>
    </x:row>
    <x:row r="8" ht="52" customHeight="1">
      <x:c r="A8" s="10" t="str">
        <x:v>FR02</x:v>
      </x:c>
      <x:c r="B8" s="10" t="str">
        <x:v>Tạo yêu cầu đặt xe</x:v>
      </x:c>
      <x:c r="C8" s="10" t="str">
        <x:v>MVP</x:v>
      </x:c>
      <x:c r="D8" s="10" t="n">
        <x:f>COUNTA(Test_Cases!A81,Test_Cases!A82,Test_Cases!A83,Test_Cases!A84,Test_Cases!A85,Test_Cases!A86,Test_Cases!A87,Test_Cases!A88,Test_Cases!A89,Test_Cases!A90,Test_Cases!A91,Test_Cases!A253,Test_Cases!A254,Test_Cases!A255,Test_Cases!A256,Test_Cases!A257,Test_Cases!A277,Test_Cases!A278,Test_Cases!A279,Test_Cases!A281)</x:f>
        <x:v>20</x:v>
      </x:c>
      <x:c r="E8" s="10" t="n">
        <x:f>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253,"DEFINED")+COUNTIFS(Test_Cases!E254,"DEFINED")+COUNTIFS(Test_Cases!E255,"DEFINED")+COUNTIFS(Test_Cases!E256,"DEFINED")+COUNTIFS(Test_Cases!E257,"DEFINED")+COUNTIFS(Test_Cases!E277,"DEFINED")+COUNTIFS(Test_Cases!E278,"DEFINED")+COUNTIFS(Test_Cases!E279,"DEFINED")+COUNTIFS(Test_Cases!E281,"DEFINED")</x:f>
        <x:v>16</x:v>
      </x:c>
      <x:c r="F8" s="10" t="n">
        <x:f>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253,"NEEDS_DECISION")+COUNTIFS(Test_Cases!E254,"NEEDS_DECISION")+COUNTIFS(Test_Cases!E255,"NEEDS_DECISION")+COUNTIFS(Test_Cases!E256,"NEEDS_DECISION")+COUNTIFS(Test_Cases!E257,"NEEDS_DECISION")+COUNTIFS(Test_Cases!E277,"NEEDS_DECISION")+COUNTIFS(Test_Cases!E278,"NEEDS_DECISION")+COUNTIFS(Test_Cases!E279,"NEEDS_DECISION")+COUNTIFS(Test_Cases!E281,"NEEDS_DECISION")</x:f>
        <x:v>4</x:v>
      </x:c>
      <x:c r="G8" s="10" t="n">
        <x:f>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253,"PASS")+COUNTIFS(Test_Cases!F254,"PASS")+COUNTIFS(Test_Cases!F255,"PASS")+COUNTIFS(Test_Cases!F256,"PASS")+COUNTIFS(Test_Cases!F257,"PASS")+COUNTIFS(Test_Cases!F277,"PASS")+COUNTIFS(Test_Cases!F278,"PASS")+COUNTIFS(Test_Cases!F279,"PASS")+COUNTIFS(Test_Cases!F281,"PASS")</x:f>
        <x:v>0</x:v>
      </x:c>
      <x:c r="H8" s="10" t="n">
        <x:f>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253,"FAIL")+COUNTIFS(Test_Cases!F254,"FAIL")+COUNTIFS(Test_Cases!F255,"FAIL")+COUNTIFS(Test_Cases!F256,"FAIL")+COUNTIFS(Test_Cases!F257,"FAIL")+COUNTIFS(Test_Cases!F277,"FAIL")+COUNTIFS(Test_Cases!F278,"FAIL")+COUNTIFS(Test_Cases!F279,"FAIL")+COUNTIFS(Test_Cases!F281,"FAIL")</x:f>
        <x:v>0</x:v>
      </x:c>
      <x:c r="I8" s="10" t="str">
        <x:v>TC13-BOOK-001, TC13-BOOK-002, TC13-BOOK-003, TC13-BOOK-004, TC13-BOOK-005, TC13-BOOK-006, TC13-BOOK-007, TC13-BOOK-008, TC13-BOOK-009, TC13-BOOK-010, TC13-BOOK-011, TC13-E2E-001, TC13-E2E-002, TC13-E2E-003, TC13-E2E-004, TC13-E2E-005, TC13-API-013, TC13-API-014, TC13-API-015, TC13-API-017</x:v>
      </x:c>
    </x:row>
    <x:row r="9" ht="52" customHeight="1">
      <x:c r="A9" s="9" t="str">
        <x:v>FR03</x:v>
      </x:c>
      <x:c r="B9" s="9" t="str">
        <x:v>Tiếp nhận và quản lý yêu cầu đặt xe</x:v>
      </x:c>
      <x:c r="C9" s="9" t="str">
        <x:v>MVP</x:v>
      </x:c>
      <x:c r="D9" s="9" t="n">
        <x:f>COUNTA(Test_Cases!A81,Test_Cases!A82,Test_Cases!A83,Test_Cases!A84,Test_Cases!A85,Test_Cases!A86,Test_Cases!A87,Test_Cases!A88,Test_Cases!A89,Test_Cases!A90,Test_Cases!A91,Test_Cases!A253,Test_Cases!A254,Test_Cases!A255,Test_Cases!A256,Test_Cases!A257,Test_Cases!A277,Test_Cases!A278,Test_Cases!A279,Test_Cases!A281)</x:f>
        <x:v>20</x:v>
      </x:c>
      <x:c r="E9" s="9" t="n">
        <x:f>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253,"DEFINED")+COUNTIFS(Test_Cases!E254,"DEFINED")+COUNTIFS(Test_Cases!E255,"DEFINED")+COUNTIFS(Test_Cases!E256,"DEFINED")+COUNTIFS(Test_Cases!E257,"DEFINED")+COUNTIFS(Test_Cases!E277,"DEFINED")+COUNTIFS(Test_Cases!E278,"DEFINED")+COUNTIFS(Test_Cases!E279,"DEFINED")+COUNTIFS(Test_Cases!E281,"DEFINED")</x:f>
        <x:v>16</x:v>
      </x:c>
      <x:c r="F9" s="9" t="n">
        <x:f>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253,"NEEDS_DECISION")+COUNTIFS(Test_Cases!E254,"NEEDS_DECISION")+COUNTIFS(Test_Cases!E255,"NEEDS_DECISION")+COUNTIFS(Test_Cases!E256,"NEEDS_DECISION")+COUNTIFS(Test_Cases!E257,"NEEDS_DECISION")+COUNTIFS(Test_Cases!E277,"NEEDS_DECISION")+COUNTIFS(Test_Cases!E278,"NEEDS_DECISION")+COUNTIFS(Test_Cases!E279,"NEEDS_DECISION")+COUNTIFS(Test_Cases!E281,"NEEDS_DECISION")</x:f>
        <x:v>4</x:v>
      </x:c>
      <x:c r="G9" s="9" t="n">
        <x:f>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253,"PASS")+COUNTIFS(Test_Cases!F254,"PASS")+COUNTIFS(Test_Cases!F255,"PASS")+COUNTIFS(Test_Cases!F256,"PASS")+COUNTIFS(Test_Cases!F257,"PASS")+COUNTIFS(Test_Cases!F277,"PASS")+COUNTIFS(Test_Cases!F278,"PASS")+COUNTIFS(Test_Cases!F279,"PASS")+COUNTIFS(Test_Cases!F281,"PASS")</x:f>
        <x:v>0</x:v>
      </x:c>
      <x:c r="H9" s="9" t="n">
        <x:f>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253,"FAIL")+COUNTIFS(Test_Cases!F254,"FAIL")+COUNTIFS(Test_Cases!F255,"FAIL")+COUNTIFS(Test_Cases!F256,"FAIL")+COUNTIFS(Test_Cases!F257,"FAIL")+COUNTIFS(Test_Cases!F277,"FAIL")+COUNTIFS(Test_Cases!F278,"FAIL")+COUNTIFS(Test_Cases!F279,"FAIL")+COUNTIFS(Test_Cases!F281,"FAIL")</x:f>
        <x:v>0</x:v>
      </x:c>
      <x:c r="I9" s="9" t="str">
        <x:v>TC13-BOOK-001, TC13-BOOK-002, TC13-BOOK-003, TC13-BOOK-004, TC13-BOOK-005, TC13-BOOK-006, TC13-BOOK-007, TC13-BOOK-008, TC13-BOOK-009, TC13-BOOK-010, TC13-BOOK-011, TC13-E2E-001, TC13-E2E-002, TC13-E2E-003, TC13-E2E-004, TC13-E2E-005, TC13-API-013, TC13-API-014, TC13-API-015, TC13-API-017</x:v>
      </x:c>
    </x:row>
    <x:row r="10" ht="52" customHeight="1">
      <x:c r="A10" s="10" t="str">
        <x:v>FR04</x:v>
      </x:c>
      <x:c r="B10" s="10" t="str">
        <x:v>Tìm tài xế phù hợp</x:v>
      </x:c>
      <x:c r="C10" s="10" t="str">
        <x:v>MVP</x:v>
      </x:c>
      <x:c r="D10" s="10" t="n">
        <x:f>COUNTA(Test_Cases!A102,Test_Cases!A103,Test_Cases!A104,Test_Cases!A105,Test_Cases!A106,Test_Cases!A107,Test_Cases!A108,Test_Cases!A109,Test_Cases!A110,Test_Cases!A111,Test_Cases!A120,Test_Cases!A250,Test_Cases!A283,Test_Cases!A284,Test_Cases!A285,Test_Cases!A286,Test_Cases!A287,Test_Cases!A288)</x:f>
        <x:v>18</x:v>
      </x:c>
      <x:c r="E10" s="10" t="n">
        <x:f>COUNTIFS(Test_Cases!E102,"DEFINED")+COUNTIFS(Test_Cases!E103,"DEFINED")+COUNTIFS(Test_Cases!E104,"DEFINED")+COUNTIFS(Test_Cases!E105,"DEFINED")+COUNTIFS(Test_Cases!E106,"DEFINED")+COUNTIFS(Test_Cases!E107,"DEFINED")+COUNTIFS(Test_Cases!E108,"DEFINED")+COUNTIFS(Test_Cases!E109,"DEFINED")+COUNTIFS(Test_Cases!E110,"DEFINED")+COUNTIFS(Test_Cases!E111,"DEFINED")+COUNTIFS(Test_Cases!E120,"DEFINED")+COUNTIFS(Test_Cases!E250,"DEFINED")+COUNTIFS(Test_Cases!E283,"DEFINED")+COUNTIFS(Test_Cases!E284,"DEFINED")+COUNTIFS(Test_Cases!E285,"DEFINED")+COUNTIFS(Test_Cases!E286,"DEFINED")+COUNTIFS(Test_Cases!E287,"DEFINED")+COUNTIFS(Test_Cases!E288,"DEFINED")</x:f>
        <x:v>13</x:v>
      </x:c>
      <x:c r="F10" s="10" t="n">
        <x:f>COUNTIFS(Test_Cases!E102,"NEEDS_DECISION")+COUNTIFS(Test_Cases!E103,"NEEDS_DECISION")+COUNTIFS(Test_Cases!E104,"NEEDS_DECISION")+COUNTIFS(Test_Cases!E105,"NEEDS_DECISION")+COUNTIFS(Test_Cases!E106,"NEEDS_DECISION")+COUNTIFS(Test_Cases!E107,"NEEDS_DECISION")+COUNTIFS(Test_Cases!E108,"NEEDS_DECISION")+COUNTIFS(Test_Cases!E109,"NEEDS_DECISION")+COUNTIFS(Test_Cases!E110,"NEEDS_DECISION")+COUNTIFS(Test_Cases!E111,"NEEDS_DECISION")+COUNTIFS(Test_Cases!E120,"NEEDS_DECISION")+COUNTIFS(Test_Cases!E250,"NEEDS_DECISION")+COUNTIFS(Test_Cases!E283,"NEEDS_DECISION")+COUNTIFS(Test_Cases!E284,"NEEDS_DECISION")+COUNTIFS(Test_Cases!E285,"NEEDS_DECISION")+COUNTIFS(Test_Cases!E286,"NEEDS_DECISION")+COUNTIFS(Test_Cases!E287,"NEEDS_DECISION")+COUNTIFS(Test_Cases!E288,"NEEDS_DECISION")</x:f>
        <x:v>5</x:v>
      </x:c>
      <x:c r="G10" s="10" t="n">
        <x:f>COUNTIFS(Test_Cases!F102,"PASS")+COUNTIFS(Test_Cases!F103,"PASS")+COUNTIFS(Test_Cases!F104,"PASS")+COUNTIFS(Test_Cases!F105,"PASS")+COUNTIFS(Test_Cases!F106,"PASS")+COUNTIFS(Test_Cases!F107,"PASS")+COUNTIFS(Test_Cases!F108,"PASS")+COUNTIFS(Test_Cases!F109,"PASS")+COUNTIFS(Test_Cases!F110,"PASS")+COUNTIFS(Test_Cases!F111,"PASS")+COUNTIFS(Test_Cases!F120,"PASS")+COUNTIFS(Test_Cases!F250,"PASS")+COUNTIFS(Test_Cases!F283,"PASS")+COUNTIFS(Test_Cases!F284,"PASS")+COUNTIFS(Test_Cases!F285,"PASS")+COUNTIFS(Test_Cases!F286,"PASS")+COUNTIFS(Test_Cases!F287,"PASS")+COUNTIFS(Test_Cases!F288,"PASS")</x:f>
        <x:v>0</x:v>
      </x:c>
      <x:c r="H10" s="10" t="n">
        <x:f>COUNTIFS(Test_Cases!F102,"FAIL")+COUNTIFS(Test_Cases!F103,"FAIL")+COUNTIFS(Test_Cases!F104,"FAIL")+COUNTIFS(Test_Cases!F105,"FAIL")+COUNTIFS(Test_Cases!F106,"FAIL")+COUNTIFS(Test_Cases!F107,"FAIL")+COUNTIFS(Test_Cases!F108,"FAIL")+COUNTIFS(Test_Cases!F109,"FAIL")+COUNTIFS(Test_Cases!F110,"FAIL")+COUNTIFS(Test_Cases!F111,"FAIL")+COUNTIFS(Test_Cases!F120,"FAIL")+COUNTIFS(Test_Cases!F250,"FAIL")+COUNTIFS(Test_Cases!F283,"FAIL")+COUNTIFS(Test_Cases!F284,"FAIL")+COUNTIFS(Test_Cases!F285,"FAIL")+COUNTIFS(Test_Cases!F286,"FAIL")+COUNTIFS(Test_Cases!F287,"FAIL")+COUNTIFS(Test_Cases!F288,"FAIL")</x:f>
        <x:v>0</x:v>
      </x:c>
      <x:c r="I10" s="10" t="str">
        <x:v>TC13-DISP-001, TC13-DISP-002, TC13-DISP-003, TC13-DISP-004, TC13-DISP-005, TC13-DISP-006, TC13-DISP-007, TC13-DISP-008, TC13-DISP-009, TC13-DISP-010, TC13-DISP-019, TC13-INFRA-017, TC13-API-019, TC13-API-020, TC13-API-021, TC13-API-022, TC13-API-023, TC13-API-024</x:v>
      </x:c>
    </x:row>
    <x:row r="11" ht="52" customHeight="1">
      <x:c r="A11" s="9" t="str">
        <x:v>FR05</x:v>
      </x:c>
      <x:c r="B11" s="9" t="str">
        <x:v>Gửi và phản hồi lời mời</x:v>
      </x:c>
      <x:c r="C11" s="9" t="str">
        <x:v>MVP</x:v>
      </x:c>
      <x:c r="D11" s="9" t="n">
        <x:f>COUNTA(Test_Cases!A112,Test_Cases!A113,Test_Cases!A114,Test_Cases!A115,Test_Cases!A116,Test_Cases!A117,Test_Cases!A118,Test_Cases!A119,Test_Cases!A190,Test_Cases!A253,Test_Cases!A254,Test_Cases!A255,Test_Cases!A256,Test_Cases!A257,Test_Cases!A283,Test_Cases!A284,Test_Cases!A285,Test_Cases!A286,Test_Cases!A287,Test_Cases!A288)</x:f>
        <x:v>20</x:v>
      </x:c>
      <x:c r="E11" s="9" t="n">
        <x:f>COUNTIFS(Test_Cases!E112,"DEFINED")+COUNTIFS(Test_Cases!E113,"DEFINED")+COUNTIFS(Test_Cases!E114,"DEFINED")+COUNTIFS(Test_Cases!E115,"DEFINED")+COUNTIFS(Test_Cases!E116,"DEFINED")+COUNTIFS(Test_Cases!E117,"DEFINED")+COUNTIFS(Test_Cases!E118,"DEFINED")+COUNTIFS(Test_Cases!E119,"DEFINED")+COUNTIFS(Test_Cases!E190,"DEFINED")+COUNTIFS(Test_Cases!E253,"DEFINED")+COUNTIFS(Test_Cases!E254,"DEFINED")+COUNTIFS(Test_Cases!E255,"DEFINED")+COUNTIFS(Test_Cases!E256,"DEFINED")+COUNTIFS(Test_Cases!E257,"DEFINED")+COUNTIFS(Test_Cases!E283,"DEFINED")+COUNTIFS(Test_Cases!E284,"DEFINED")+COUNTIFS(Test_Cases!E285,"DEFINED")+COUNTIFS(Test_Cases!E286,"DEFINED")+COUNTIFS(Test_Cases!E287,"DEFINED")+COUNTIFS(Test_Cases!E288,"DEFINED")</x:f>
        <x:v>14</x:v>
      </x:c>
      <x:c r="F11" s="9" t="n">
        <x:f>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190,"NEEDS_DECISION")+COUNTIFS(Test_Cases!E253,"NEEDS_DECISION")+COUNTIFS(Test_Cases!E254,"NEEDS_DECISION")+COUNTIFS(Test_Cases!E255,"NEEDS_DECISION")+COUNTIFS(Test_Cases!E256,"NEEDS_DECISION")+COUNTIFS(Test_Cases!E257,"NEEDS_DECISION")+COUNTIFS(Test_Cases!E283,"NEEDS_DECISION")+COUNTIFS(Test_Cases!E284,"NEEDS_DECISION")+COUNTIFS(Test_Cases!E285,"NEEDS_DECISION")+COUNTIFS(Test_Cases!E286,"NEEDS_DECISION")+COUNTIFS(Test_Cases!E287,"NEEDS_DECISION")+COUNTIFS(Test_Cases!E288,"NEEDS_DECISION")</x:f>
        <x:v>6</x:v>
      </x:c>
      <x:c r="G11" s="9" t="n">
        <x:f>COUNTIFS(Test_Cases!F112,"PASS")+COUNTIFS(Test_Cases!F113,"PASS")+COUNTIFS(Test_Cases!F114,"PASS")+COUNTIFS(Test_Cases!F115,"PASS")+COUNTIFS(Test_Cases!F116,"PASS")+COUNTIFS(Test_Cases!F117,"PASS")+COUNTIFS(Test_Cases!F118,"PASS")+COUNTIFS(Test_Cases!F119,"PASS")+COUNTIFS(Test_Cases!F190,"PASS")+COUNTIFS(Test_Cases!F253,"PASS")+COUNTIFS(Test_Cases!F254,"PASS")+COUNTIFS(Test_Cases!F255,"PASS")+COUNTIFS(Test_Cases!F256,"PASS")+COUNTIFS(Test_Cases!F257,"PASS")+COUNTIFS(Test_Cases!F283,"PASS")+COUNTIFS(Test_Cases!F284,"PASS")+COUNTIFS(Test_Cases!F285,"PASS")+COUNTIFS(Test_Cases!F286,"PASS")+COUNTIFS(Test_Cases!F287,"PASS")+COUNTIFS(Test_Cases!F288,"PASS")</x:f>
        <x:v>0</x:v>
      </x:c>
      <x:c r="H11" s="9" t="n">
        <x:f>COUNTIFS(Test_Cases!F112,"FAIL")+COUNTIFS(Test_Cases!F113,"FAIL")+COUNTIFS(Test_Cases!F114,"FAIL")+COUNTIFS(Test_Cases!F115,"FAIL")+COUNTIFS(Test_Cases!F116,"FAIL")+COUNTIFS(Test_Cases!F117,"FAIL")+COUNTIFS(Test_Cases!F118,"FAIL")+COUNTIFS(Test_Cases!F119,"FAIL")+COUNTIFS(Test_Cases!F190,"FAIL")+COUNTIFS(Test_Cases!F253,"FAIL")+COUNTIFS(Test_Cases!F254,"FAIL")+COUNTIFS(Test_Cases!F255,"FAIL")+COUNTIFS(Test_Cases!F256,"FAIL")+COUNTIFS(Test_Cases!F257,"FAIL")+COUNTIFS(Test_Cases!F283,"FAIL")+COUNTIFS(Test_Cases!F284,"FAIL")+COUNTIFS(Test_Cases!F285,"FAIL")+COUNTIFS(Test_Cases!F286,"FAIL")+COUNTIFS(Test_Cases!F287,"FAIL")+COUNTIFS(Test_Cases!F288,"FAIL")</x:f>
        <x:v>0</x:v>
      </x:c>
      <x:c r="I11" s="9" t="str">
        <x:v>TC13-DISP-011, TC13-DISP-012, TC13-DISP-013, TC13-DISP-014, TC13-DISP-015, TC13-DISP-016, TC13-DISP-017, TC13-DISP-018, TC13-NOTI-010, TC13-E2E-001, TC13-E2E-002, TC13-E2E-003, TC13-E2E-004, TC13-E2E-005, TC13-API-019, TC13-API-020, TC13-API-021, TC13-API-022, TC13-API-023, TC13-API-024</x:v>
      </x:c>
    </x:row>
    <x:row r="12" ht="52" customHeight="1">
      <x:c r="A12" s="10" t="str">
        <x:v>FR06</x:v>
      </x:c>
      <x:c r="B12" s="10" t="str">
        <x:v>Tìm tài xế thay thế</x:v>
      </x:c>
      <x:c r="C12" s="10" t="str">
        <x:v>MVP</x:v>
      </x:c>
      <x:c r="D12" s="10" t="n">
        <x:f>COUNTA(Test_Cases!A109,Test_Cases!A110,Test_Cases!A111,Test_Cases!A112,Test_Cases!A113,Test_Cases!A114,Test_Cases!A115,Test_Cases!A116,Test_Cases!A117,Test_Cases!A118,Test_Cases!A119,Test_Cases!A250,Test_Cases!A283,Test_Cases!A284,Test_Cases!A285,Test_Cases!A286,Test_Cases!A287,Test_Cases!A288)</x:f>
        <x:v>18</x:v>
      </x:c>
      <x:c r="E12" s="10" t="n">
        <x:f>COUNTIFS(Test_Cases!E109,"DEFINED")+COUNTIFS(Test_Cases!E110,"DEFINED")+COUNTIFS(Test_Cases!E111,"DEFINED")+COUNTIFS(Test_Cases!E112,"DEFINED")+COUNTIFS(Test_Cases!E113,"DEFINED")+COUNTIFS(Test_Cases!E114,"DEFINED")+COUNTIFS(Test_Cases!E115,"DEFINED")+COUNTIFS(Test_Cases!E116,"DEFINED")+COUNTIFS(Test_Cases!E117,"DEFINED")+COUNTIFS(Test_Cases!E118,"DEFINED")+COUNTIFS(Test_Cases!E119,"DEFINED")+COUNTIFS(Test_Cases!E250,"DEFINED")+COUNTIFS(Test_Cases!E283,"DEFINED")+COUNTIFS(Test_Cases!E284,"DEFINED")+COUNTIFS(Test_Cases!E285,"DEFINED")+COUNTIFS(Test_Cases!E286,"DEFINED")+COUNTIFS(Test_Cases!E287,"DEFINED")+COUNTIFS(Test_Cases!E288,"DEFINED")</x:f>
        <x:v>13</x:v>
      </x:c>
      <x:c r="F12" s="10" t="n">
        <x:f>COUNTIFS(Test_Cases!E109,"NEEDS_DECISION")+COUNTIFS(Test_Cases!E110,"NEEDS_DECISION")+COUNTIFS(Test_Cases!E111,"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250,"NEEDS_DECISION")+COUNTIFS(Test_Cases!E283,"NEEDS_DECISION")+COUNTIFS(Test_Cases!E284,"NEEDS_DECISION")+COUNTIFS(Test_Cases!E285,"NEEDS_DECISION")+COUNTIFS(Test_Cases!E286,"NEEDS_DECISION")+COUNTIFS(Test_Cases!E287,"NEEDS_DECISION")+COUNTIFS(Test_Cases!E288,"NEEDS_DECISION")</x:f>
        <x:v>5</x:v>
      </x:c>
      <x:c r="G12" s="10" t="n">
        <x:f>COUNTIFS(Test_Cases!F109,"PASS")+COUNTIFS(Test_Cases!F110,"PASS")+COUNTIFS(Test_Cases!F111,"PASS")+COUNTIFS(Test_Cases!F112,"PASS")+COUNTIFS(Test_Cases!F113,"PASS")+COUNTIFS(Test_Cases!F114,"PASS")+COUNTIFS(Test_Cases!F115,"PASS")+COUNTIFS(Test_Cases!F116,"PASS")+COUNTIFS(Test_Cases!F117,"PASS")+COUNTIFS(Test_Cases!F118,"PASS")+COUNTIFS(Test_Cases!F119,"PASS")+COUNTIFS(Test_Cases!F250,"PASS")+COUNTIFS(Test_Cases!F283,"PASS")+COUNTIFS(Test_Cases!F284,"PASS")+COUNTIFS(Test_Cases!F285,"PASS")+COUNTIFS(Test_Cases!F286,"PASS")+COUNTIFS(Test_Cases!F287,"PASS")+COUNTIFS(Test_Cases!F288,"PASS")</x:f>
        <x:v>0</x:v>
      </x:c>
      <x:c r="H12" s="10" t="n">
        <x:f>COUNTIFS(Test_Cases!F109,"FAIL")+COUNTIFS(Test_Cases!F110,"FAIL")+COUNTIFS(Test_Cases!F111,"FAIL")+COUNTIFS(Test_Cases!F112,"FAIL")+COUNTIFS(Test_Cases!F113,"FAIL")+COUNTIFS(Test_Cases!F114,"FAIL")+COUNTIFS(Test_Cases!F115,"FAIL")+COUNTIFS(Test_Cases!F116,"FAIL")+COUNTIFS(Test_Cases!F117,"FAIL")+COUNTIFS(Test_Cases!F118,"FAIL")+COUNTIFS(Test_Cases!F119,"FAIL")+COUNTIFS(Test_Cases!F250,"FAIL")+COUNTIFS(Test_Cases!F283,"FAIL")+COUNTIFS(Test_Cases!F284,"FAIL")+COUNTIFS(Test_Cases!F285,"FAIL")+COUNTIFS(Test_Cases!F286,"FAIL")+COUNTIFS(Test_Cases!F287,"FAIL")+COUNTIFS(Test_Cases!F288,"FAIL")</x:f>
        <x:v>0</x:v>
      </x:c>
      <x:c r="I12" s="10" t="str">
        <x:v>TC13-DISP-008, TC13-DISP-009, TC13-DISP-010, TC13-DISP-011, TC13-DISP-012, TC13-DISP-013, TC13-DISP-014, TC13-DISP-015, TC13-DISP-016, TC13-DISP-017, TC13-DISP-018, TC13-INFRA-017, TC13-API-019, TC13-API-020, TC13-API-021, TC13-API-022, TC13-API-023, TC13-API-024</x:v>
      </x:c>
    </x:row>
    <x:row r="13" ht="38" customHeight="1">
      <x:c r="A13" s="9" t="str">
        <x:v>FR07</x:v>
      </x:c>
      <x:c r="B13" s="9" t="str">
        <x:v>Thông báo kết quả điều phối</x:v>
      </x:c>
      <x:c r="C13" s="9" t="str">
        <x:v>MVP</x:v>
      </x:c>
      <x:c r="D13" s="9" t="n">
        <x:f>COUNTA(Test_Cases!A109,Test_Cases!A110,Test_Cases!A111,Test_Cases!A120,Test_Cases!A283,Test_Cases!A284,Test_Cases!A285,Test_Cases!A286,Test_Cases!A287,Test_Cases!A288)</x:f>
        <x:v>10</x:v>
      </x:c>
      <x:c r="E13" s="9" t="n">
        <x:f>COUNTIFS(Test_Cases!E109,"DEFINED")+COUNTIFS(Test_Cases!E110,"DEFINED")+COUNTIFS(Test_Cases!E111,"DEFINED")+COUNTIFS(Test_Cases!E120,"DEFINED")+COUNTIFS(Test_Cases!E283,"DEFINED")+COUNTIFS(Test_Cases!E284,"DEFINED")+COUNTIFS(Test_Cases!E285,"DEFINED")+COUNTIFS(Test_Cases!E286,"DEFINED")+COUNTIFS(Test_Cases!E287,"DEFINED")+COUNTIFS(Test_Cases!E288,"DEFINED")</x:f>
        <x:v>7</x:v>
      </x:c>
      <x:c r="F13" s="9" t="n">
        <x:f>COUNTIFS(Test_Cases!E109,"NEEDS_DECISION")+COUNTIFS(Test_Cases!E110,"NEEDS_DECISION")+COUNTIFS(Test_Cases!E111,"NEEDS_DECISION")+COUNTIFS(Test_Cases!E120,"NEEDS_DECISION")+COUNTIFS(Test_Cases!E283,"NEEDS_DECISION")+COUNTIFS(Test_Cases!E284,"NEEDS_DECISION")+COUNTIFS(Test_Cases!E285,"NEEDS_DECISION")+COUNTIFS(Test_Cases!E286,"NEEDS_DECISION")+COUNTIFS(Test_Cases!E287,"NEEDS_DECISION")+COUNTIFS(Test_Cases!E288,"NEEDS_DECISION")</x:f>
        <x:v>3</x:v>
      </x:c>
      <x:c r="G13" s="9" t="n">
        <x:f>COUNTIFS(Test_Cases!F109,"PASS")+COUNTIFS(Test_Cases!F110,"PASS")+COUNTIFS(Test_Cases!F111,"PASS")+COUNTIFS(Test_Cases!F120,"PASS")+COUNTIFS(Test_Cases!F283,"PASS")+COUNTIFS(Test_Cases!F284,"PASS")+COUNTIFS(Test_Cases!F285,"PASS")+COUNTIFS(Test_Cases!F286,"PASS")+COUNTIFS(Test_Cases!F287,"PASS")+COUNTIFS(Test_Cases!F288,"PASS")</x:f>
        <x:v>0</x:v>
      </x:c>
      <x:c r="H13" s="9" t="n">
        <x:f>COUNTIFS(Test_Cases!F109,"FAIL")+COUNTIFS(Test_Cases!F110,"FAIL")+COUNTIFS(Test_Cases!F111,"FAIL")+COUNTIFS(Test_Cases!F120,"FAIL")+COUNTIFS(Test_Cases!F283,"FAIL")+COUNTIFS(Test_Cases!F284,"FAIL")+COUNTIFS(Test_Cases!F285,"FAIL")+COUNTIFS(Test_Cases!F286,"FAIL")+COUNTIFS(Test_Cases!F287,"FAIL")+COUNTIFS(Test_Cases!F288,"FAIL")</x:f>
        <x:v>0</x:v>
      </x:c>
      <x:c r="I13" s="9" t="str">
        <x:v>TC13-DISP-008, TC13-DISP-009, TC13-DISP-010, TC13-DISP-019, TC13-API-019, TC13-API-020, TC13-API-021, TC13-API-022, TC13-API-023, TC13-API-024</x:v>
      </x:c>
    </x:row>
    <x:row r="14" ht="38" customHeight="1">
      <x:c r="A14" s="10" t="str">
        <x:v>FR08</x:v>
      </x:c>
      <x:c r="B14" s="10" t="str">
        <x:v>Cập nhật trạng thái chuyến</x:v>
      </x:c>
      <x:c r="C14" s="10" t="str">
        <x:v>MVP</x:v>
      </x:c>
      <x:c r="D14" s="10" t="n">
        <x:f>COUNTA(Test_Cases!A122,Test_Cases!A123,Test_Cases!A124,Test_Cases!A125,Test_Cases!A126,Test_Cases!A253,Test_Cases!A254,Test_Cases!A255,Test_Cases!A256,Test_Cases!A257,Test_Cases!A289,Test_Cases!A290,Test_Cases!A292,Test_Cases!A296)</x:f>
        <x:v>14</x:v>
      </x:c>
      <x:c r="E14" s="10" t="n">
        <x:f>COUNTIFS(Test_Cases!E122,"DEFINED")+COUNTIFS(Test_Cases!E123,"DEFINED")+COUNTIFS(Test_Cases!E124,"DEFINED")+COUNTIFS(Test_Cases!E125,"DEFINED")+COUNTIFS(Test_Cases!E126,"DEFINED")+COUNTIFS(Test_Cases!E253,"DEFINED")+COUNTIFS(Test_Cases!E254,"DEFINED")+COUNTIFS(Test_Cases!E255,"DEFINED")+COUNTIFS(Test_Cases!E256,"DEFINED")+COUNTIFS(Test_Cases!E257,"DEFINED")+COUNTIFS(Test_Cases!E289,"DEFINED")+COUNTIFS(Test_Cases!E290,"DEFINED")+COUNTIFS(Test_Cases!E292,"DEFINED")+COUNTIFS(Test_Cases!E296,"DEFINED")</x:f>
        <x:v>12</x:v>
      </x:c>
      <x:c r="F14" s="10" t="n">
        <x:f>COUNTIFS(Test_Cases!E122,"NEEDS_DECISION")+COUNTIFS(Test_Cases!E123,"NEEDS_DECISION")+COUNTIFS(Test_Cases!E124,"NEEDS_DECISION")+COUNTIFS(Test_Cases!E125,"NEEDS_DECISION")+COUNTIFS(Test_Cases!E126,"NEEDS_DECISION")+COUNTIFS(Test_Cases!E253,"NEEDS_DECISION")+COUNTIFS(Test_Cases!E254,"NEEDS_DECISION")+COUNTIFS(Test_Cases!E255,"NEEDS_DECISION")+COUNTIFS(Test_Cases!E256,"NEEDS_DECISION")+COUNTIFS(Test_Cases!E257,"NEEDS_DECISION")+COUNTIFS(Test_Cases!E289,"NEEDS_DECISION")+COUNTIFS(Test_Cases!E290,"NEEDS_DECISION")+COUNTIFS(Test_Cases!E292,"NEEDS_DECISION")+COUNTIFS(Test_Cases!E296,"NEEDS_DECISION")</x:f>
        <x:v>2</x:v>
      </x:c>
      <x:c r="G14" s="10" t="n">
        <x:f>COUNTIFS(Test_Cases!F122,"PASS")+COUNTIFS(Test_Cases!F123,"PASS")+COUNTIFS(Test_Cases!F124,"PASS")+COUNTIFS(Test_Cases!F125,"PASS")+COUNTIFS(Test_Cases!F126,"PASS")+COUNTIFS(Test_Cases!F253,"PASS")+COUNTIFS(Test_Cases!F254,"PASS")+COUNTIFS(Test_Cases!F255,"PASS")+COUNTIFS(Test_Cases!F256,"PASS")+COUNTIFS(Test_Cases!F257,"PASS")+COUNTIFS(Test_Cases!F289,"PASS")+COUNTIFS(Test_Cases!F290,"PASS")+COUNTIFS(Test_Cases!F292,"PASS")+COUNTIFS(Test_Cases!F296,"PASS")</x:f>
        <x:v>0</x:v>
      </x:c>
      <x:c r="H14" s="10" t="n">
        <x:f>COUNTIFS(Test_Cases!F122,"FAIL")+COUNTIFS(Test_Cases!F123,"FAIL")+COUNTIFS(Test_Cases!F124,"FAIL")+COUNTIFS(Test_Cases!F125,"FAIL")+COUNTIFS(Test_Cases!F126,"FAIL")+COUNTIFS(Test_Cases!F253,"FAIL")+COUNTIFS(Test_Cases!F254,"FAIL")+COUNTIFS(Test_Cases!F255,"FAIL")+COUNTIFS(Test_Cases!F256,"FAIL")+COUNTIFS(Test_Cases!F257,"FAIL")+COUNTIFS(Test_Cases!F289,"FAIL")+COUNTIFS(Test_Cases!F290,"FAIL")+COUNTIFS(Test_Cases!F292,"FAIL")+COUNTIFS(Test_Cases!F296,"FAIL")</x:f>
        <x:v>0</x:v>
      </x:c>
      <x:c r="I14" s="10" t="str">
        <x:v>TC13-TRIP-001, TC13-TRIP-002, TC13-TRIP-003, TC13-TRIP-004, TC13-TRIP-005, TC13-E2E-001, TC13-E2E-002, TC13-E2E-003, TC13-E2E-004, TC13-E2E-005, TC13-API-025, TC13-API-026, TC13-API-028, TC13-API-032</x:v>
      </x:c>
    </x:row>
    <x:row r="15" ht="38" customHeight="1">
      <x:c r="A15" s="9" t="str">
        <x:v>FR09</x:v>
      </x:c>
      <x:c r="B15" s="9" t="str">
        <x:v>Theo dõi chuyến</x:v>
      </x:c>
      <x:c r="C15" s="9" t="str">
        <x:v>MVP</x:v>
      </x:c>
      <x:c r="D15" s="9" t="n">
        <x:f>COUNTA(Test_Cases!A142,Test_Cases!A143,Test_Cases!A144,Test_Cases!A145,Test_Cases!A146,Test_Cases!A147,Test_Cases!A148,Test_Cases!A291)</x:f>
        <x:v>8</x:v>
      </x:c>
      <x:c r="E15" s="9" t="n">
        <x:f>COUNTIFS(Test_Cases!E142,"DEFINED")+COUNTIFS(Test_Cases!E143,"DEFINED")+COUNTIFS(Test_Cases!E144,"DEFINED")+COUNTIFS(Test_Cases!E145,"DEFINED")+COUNTIFS(Test_Cases!E146,"DEFINED")+COUNTIFS(Test_Cases!E147,"DEFINED")+COUNTIFS(Test_Cases!E148,"DEFINED")+COUNTIFS(Test_Cases!E291,"DEFINED")</x:f>
        <x:v>8</x:v>
      </x:c>
      <x:c r="F15" s="9" t="n">
        <x:f>COUNTIFS(Test_Cases!E142,"NEEDS_DECISION")+COUNTIFS(Test_Cases!E143,"NEEDS_DECISION")+COUNTIFS(Test_Cases!E144,"NEEDS_DECISION")+COUNTIFS(Test_Cases!E145,"NEEDS_DECISION")+COUNTIFS(Test_Cases!E146,"NEEDS_DECISION")+COUNTIFS(Test_Cases!E147,"NEEDS_DECISION")+COUNTIFS(Test_Cases!E148,"NEEDS_DECISION")+COUNTIFS(Test_Cases!E291,"NEEDS_DECISION")</x:f>
        <x:v>0</x:v>
      </x:c>
      <x:c r="G15" s="9" t="n">
        <x:f>COUNTIFS(Test_Cases!F142,"PASS")+COUNTIFS(Test_Cases!F143,"PASS")+COUNTIFS(Test_Cases!F144,"PASS")+COUNTIFS(Test_Cases!F145,"PASS")+COUNTIFS(Test_Cases!F146,"PASS")+COUNTIFS(Test_Cases!F147,"PASS")+COUNTIFS(Test_Cases!F148,"PASS")+COUNTIFS(Test_Cases!F291,"PASS")</x:f>
        <x:v>0</x:v>
      </x:c>
      <x:c r="H15" s="9" t="n">
        <x:f>COUNTIFS(Test_Cases!F142,"FAIL")+COUNTIFS(Test_Cases!F143,"FAIL")+COUNTIFS(Test_Cases!F144,"FAIL")+COUNTIFS(Test_Cases!F145,"FAIL")+COUNTIFS(Test_Cases!F146,"FAIL")+COUNTIFS(Test_Cases!F147,"FAIL")+COUNTIFS(Test_Cases!F148,"FAIL")+COUNTIFS(Test_Cases!F291,"FAIL")</x:f>
        <x:v>0</x:v>
      </x:c>
      <x:c r="I15" s="9" t="str">
        <x:v>TC13-TRIP-021, TC13-TRIP-022, TC13-TRIP-023, TC13-TRIP-024, TC13-TRIP-025, TC13-TRIP-026, TC13-TRIP-027, TC13-API-027</x:v>
      </x:c>
    </x:row>
    <x:row r="16" ht="52" customHeight="1">
      <x:c r="A16" s="10" t="str">
        <x:v>FR10</x:v>
      </x:c>
      <x:c r="B16" s="10" t="str">
        <x:v>Tính cước thực tế</x:v>
      </x:c>
      <x:c r="C16" s="10" t="str">
        <x:v>MVP</x:v>
      </x:c>
      <x:c r="D16" s="10" t="n">
        <x:f>COUNTA(Test_Cases!A151,Test_Cases!A152,Test_Cases!A153,Test_Cases!A154,Test_Cases!A155,Test_Cases!A156,Test_Cases!A157,Test_Cases!A158,Test_Cases!A179,Test_Cases!A253,Test_Cases!A254,Test_Cases!A255,Test_Cases!A256,Test_Cases!A257,Test_Cases!A297,Test_Cases!A298,Test_Cases!A299,Test_Cases!A300,Test_Cases!A301,Test_Cases!A302,Test_Cases!A303,Test_Cases!A304)</x:f>
        <x:v>22</x:v>
      </x:c>
      <x:c r="E16" s="10" t="n">
        <x:f>COUNTIFS(Test_Cases!E151,"DEFINED")+COUNTIFS(Test_Cases!E152,"DEFINED")+COUNTIFS(Test_Cases!E153,"DEFINED")+COUNTIFS(Test_Cases!E154,"DEFINED")+COUNTIFS(Test_Cases!E155,"DEFINED")+COUNTIFS(Test_Cases!E156,"DEFINED")+COUNTIFS(Test_Cases!E157,"DEFINED")+COUNTIFS(Test_Cases!E158,"DEFINED")+COUNTIFS(Test_Cases!E179,"DEFINED")+COUNTIFS(Test_Cases!E253,"DEFINED")+COUNTIFS(Test_Cases!E254,"DEFINED")+COUNTIFS(Test_Cases!E255,"DEFINED")+COUNTIFS(Test_Cases!E256,"DEFINED")+COUNTIFS(Test_Cases!E257,"DEFINED")+COUNTIFS(Test_Cases!E297,"DEFINED")+COUNTIFS(Test_Cases!E298,"DEFINED")+COUNTIFS(Test_Cases!E299,"DEFINED")+COUNTIFS(Test_Cases!E300,"DEFINED")+COUNTIFS(Test_Cases!E301,"DEFINED")+COUNTIFS(Test_Cases!E302,"DEFINED")+COUNTIFS(Test_Cases!E303,"DEFINED")+COUNTIFS(Test_Cases!E304,"DEFINED")</x:f>
        <x:v>17</x:v>
      </x:c>
      <x:c r="F16" s="10" t="n">
        <x:f>COUNTIFS(Test_Cases!E151,"NEEDS_DECISION")+COUNTIFS(Test_Cases!E152,"NEEDS_DECISION")+COUNTIFS(Test_Cases!E153,"NEEDS_DECISION")+COUNTIFS(Test_Cases!E154,"NEEDS_DECISION")+COUNTIFS(Test_Cases!E155,"NEEDS_DECISION")+COUNTIFS(Test_Cases!E156,"NEEDS_DECISION")+COUNTIFS(Test_Cases!E157,"NEEDS_DECISION")+COUNTIFS(Test_Cases!E158,"NEEDS_DECISION")+COUNTIFS(Test_Cases!E179,"NEEDS_DECISION")+COUNTIFS(Test_Cases!E253,"NEEDS_DECISION")+COUNTIFS(Test_Cases!E254,"NEEDS_DECISION")+COUNTIFS(Test_Cases!E255,"NEEDS_DECISION")+COUNTIFS(Test_Cases!E256,"NEEDS_DECISION")+COUNTIFS(Test_Cases!E257,"NEEDS_DECISION")+COUNTIFS(Test_Cases!E297,"NEEDS_DECISION")+COUNTIFS(Test_Cases!E298,"NEEDS_DECISION")+COUNTIFS(Test_Cases!E299,"NEEDS_DECISION")+COUNTIFS(Test_Cases!E300,"NEEDS_DECISION")+COUNTIFS(Test_Cases!E301,"NEEDS_DECISION")+COUNTIFS(Test_Cases!E302,"NEEDS_DECISION")+COUNTIFS(Test_Cases!E303,"NEEDS_DECISION")+COUNTIFS(Test_Cases!E304,"NEEDS_DECISION")</x:f>
        <x:v>5</x:v>
      </x:c>
      <x:c r="G16" s="10" t="n">
        <x:f>COUNTIFS(Test_Cases!F151,"PASS")+COUNTIFS(Test_Cases!F152,"PASS")+COUNTIFS(Test_Cases!F153,"PASS")+COUNTIFS(Test_Cases!F154,"PASS")+COUNTIFS(Test_Cases!F155,"PASS")+COUNTIFS(Test_Cases!F156,"PASS")+COUNTIFS(Test_Cases!F157,"PASS")+COUNTIFS(Test_Cases!F158,"PASS")+COUNTIFS(Test_Cases!F179,"PASS")+COUNTIFS(Test_Cases!F253,"PASS")+COUNTIFS(Test_Cases!F254,"PASS")+COUNTIFS(Test_Cases!F255,"PASS")+COUNTIFS(Test_Cases!F256,"PASS")+COUNTIFS(Test_Cases!F257,"PASS")+COUNTIFS(Test_Cases!F297,"PASS")+COUNTIFS(Test_Cases!F298,"PASS")+COUNTIFS(Test_Cases!F299,"PASS")+COUNTIFS(Test_Cases!F300,"PASS")+COUNTIFS(Test_Cases!F301,"PASS")+COUNTIFS(Test_Cases!F302,"PASS")+COUNTIFS(Test_Cases!F303,"PASS")+COUNTIFS(Test_Cases!F304,"PASS")</x:f>
        <x:v>0</x:v>
      </x:c>
      <x:c r="H16" s="10" t="n">
        <x:f>COUNTIFS(Test_Cases!F151,"FAIL")+COUNTIFS(Test_Cases!F152,"FAIL")+COUNTIFS(Test_Cases!F153,"FAIL")+COUNTIFS(Test_Cases!F154,"FAIL")+COUNTIFS(Test_Cases!F155,"FAIL")+COUNTIFS(Test_Cases!F156,"FAIL")+COUNTIFS(Test_Cases!F157,"FAIL")+COUNTIFS(Test_Cases!F158,"FAIL")+COUNTIFS(Test_Cases!F179,"FAIL")+COUNTIFS(Test_Cases!F253,"FAIL")+COUNTIFS(Test_Cases!F254,"FAIL")+COUNTIFS(Test_Cases!F255,"FAIL")+COUNTIFS(Test_Cases!F256,"FAIL")+COUNTIFS(Test_Cases!F257,"FAIL")+COUNTIFS(Test_Cases!F297,"FAIL")+COUNTIFS(Test_Cases!F298,"FAIL")+COUNTIFS(Test_Cases!F299,"FAIL")+COUNTIFS(Test_Cases!F300,"FAIL")+COUNTIFS(Test_Cases!F301,"FAIL")+COUNTIFS(Test_Cases!F302,"FAIL")+COUNTIFS(Test_Cases!F303,"FAIL")+COUNTIFS(Test_Cases!F304,"FAIL")</x:f>
        <x:v>0</x:v>
      </x:c>
      <x:c r="I16" s="10" t="str">
        <x:v>TC13-PAY-001, TC13-PAY-002, TC13-PAY-003, TC13-PAY-004, TC13-PAY-005, TC13-PAY-006, TC13-PAY-007, TC13-PAY-008, TC13-PAY-029, TC13-E2E-001, TC13-E2E-002, TC13-E2E-003, TC13-E2E-004, TC13-E2E-005, TC13-API-033, TC13-API-034, TC13-API-035, TC13-API-036, TC13-API-037, TC13-API-038, TC13-API-039, TC13-API-040</x:v>
      </x:c>
    </x:row>
    <x:row r="17" ht="66" customHeight="1">
      <x:c r="A17" s="9" t="str">
        <x:v>FR11</x:v>
      </x:c>
      <x:c r="B17" s="9" t="str">
        <x:v>Thanh toán</x:v>
      </x:c>
      <x:c r="C17" s="9" t="str">
        <x:v>MVP</x:v>
      </x:c>
      <x:c r="D17" s="9" t="n">
        <x:f>COUNTA(Test_Cases!A159,Test_Cases!A160,Test_Cases!A161,Test_Cases!A162,Test_Cases!A163,Test_Cases!A164,Test_Cases!A165,Test_Cases!A166,Test_Cases!A170,Test_Cases!A171,Test_Cases!A172,Test_Cases!A173,Test_Cases!A253,Test_Cases!A254,Test_Cases!A255,Test_Cases!A256,Test_Cases!A257,Test_Cases!A297,Test_Cases!A298,Test_Cases!A299,Test_Cases!A300,Test_Cases!A301,Test_Cases!A302,Test_Cases!A303,Test_Cases!A304)</x:f>
        <x:v>25</x:v>
      </x:c>
      <x:c r="E17" s="9" t="n">
        <x:f>COUNTIFS(Test_Cases!E159,"DEFINED")+COUNTIFS(Test_Cases!E160,"DEFINED")+COUNTIFS(Test_Cases!E161,"DEFINED")+COUNTIFS(Test_Cases!E162,"DEFINED")+COUNTIFS(Test_Cases!E163,"DEFINED")+COUNTIFS(Test_Cases!E164,"DEFINED")+COUNTIFS(Test_Cases!E165,"DEFINED")+COUNTIFS(Test_Cases!E166,"DEFINED")+COUNTIFS(Test_Cases!E170,"DEFINED")+COUNTIFS(Test_Cases!E171,"DEFINED")+COUNTIFS(Test_Cases!E172,"DEFINED")+COUNTIFS(Test_Cases!E173,"DEFINED")+COUNTIFS(Test_Cases!E253,"DEFINED")+COUNTIFS(Test_Cases!E254,"DEFINED")+COUNTIFS(Test_Cases!E255,"DEFINED")+COUNTIFS(Test_Cases!E256,"DEFINED")+COUNTIFS(Test_Cases!E257,"DEFINED")+COUNTIFS(Test_Cases!E297,"DEFINED")+COUNTIFS(Test_Cases!E298,"DEFINED")+COUNTIFS(Test_Cases!E299,"DEFINED")+COUNTIFS(Test_Cases!E300,"DEFINED")+COUNTIFS(Test_Cases!E301,"DEFINED")+COUNTIFS(Test_Cases!E302,"DEFINED")+COUNTIFS(Test_Cases!E303,"DEFINED")+COUNTIFS(Test_Cases!E304,"DEFINED")</x:f>
        <x:v>17</x:v>
      </x:c>
      <x:c r="F17" s="9" t="n">
        <x:f>COUNTIFS(Test_Cases!E159,"NEEDS_DECISION")+COUNTIFS(Test_Cases!E160,"NEEDS_DECISION")+COUNTIFS(Test_Cases!E161,"NEEDS_DECISION")+COUNTIFS(Test_Cases!E162,"NEEDS_DECISION")+COUNTIFS(Test_Cases!E163,"NEEDS_DECISION")+COUNTIFS(Test_Cases!E164,"NEEDS_DECISION")+COUNTIFS(Test_Cases!E165,"NEEDS_DECISION")+COUNTIFS(Test_Cases!E166,"NEEDS_DECISION")+COUNTIFS(Test_Cases!E170,"NEEDS_DECISION")+COUNTIFS(Test_Cases!E171,"NEEDS_DECISION")+COUNTIFS(Test_Cases!E172,"NEEDS_DECISION")+COUNTIFS(Test_Cases!E173,"NEEDS_DECISION")+COUNTIFS(Test_Cases!E253,"NEEDS_DECISION")+COUNTIFS(Test_Cases!E254,"NEEDS_DECISION")+COUNTIFS(Test_Cases!E255,"NEEDS_DECISION")+COUNTIFS(Test_Cases!E256,"NEEDS_DECISION")+COUNTIFS(Test_Cases!E257,"NEEDS_DECISION")+COUNTIFS(Test_Cases!E297,"NEEDS_DECISION")+COUNTIFS(Test_Cases!E298,"NEEDS_DECISION")+COUNTIFS(Test_Cases!E299,"NEEDS_DECISION")+COUNTIFS(Test_Cases!E300,"NEEDS_DECISION")+COUNTIFS(Test_Cases!E301,"NEEDS_DECISION")+COUNTIFS(Test_Cases!E302,"NEEDS_DECISION")+COUNTIFS(Test_Cases!E303,"NEEDS_DECISION")+COUNTIFS(Test_Cases!E304,"NEEDS_DECISION")</x:f>
        <x:v>8</x:v>
      </x:c>
      <x:c r="G17" s="9" t="n">
        <x:f>COUNTIFS(Test_Cases!F159,"PASS")+COUNTIFS(Test_Cases!F160,"PASS")+COUNTIFS(Test_Cases!F161,"PASS")+COUNTIFS(Test_Cases!F162,"PASS")+COUNTIFS(Test_Cases!F163,"PASS")+COUNTIFS(Test_Cases!F164,"PASS")+COUNTIFS(Test_Cases!F165,"PASS")+COUNTIFS(Test_Cases!F166,"PASS")+COUNTIFS(Test_Cases!F170,"PASS")+COUNTIFS(Test_Cases!F171,"PASS")+COUNTIFS(Test_Cases!F172,"PASS")+COUNTIFS(Test_Cases!F173,"PASS")+COUNTIFS(Test_Cases!F253,"PASS")+COUNTIFS(Test_Cases!F254,"PASS")+COUNTIFS(Test_Cases!F255,"PASS")+COUNTIFS(Test_Cases!F256,"PASS")+COUNTIFS(Test_Cases!F257,"PASS")+COUNTIFS(Test_Cases!F297,"PASS")+COUNTIFS(Test_Cases!F298,"PASS")+COUNTIFS(Test_Cases!F299,"PASS")+COUNTIFS(Test_Cases!F300,"PASS")+COUNTIFS(Test_Cases!F301,"PASS")+COUNTIFS(Test_Cases!F302,"PASS")+COUNTIFS(Test_Cases!F303,"PASS")+COUNTIFS(Test_Cases!F304,"PASS")</x:f>
        <x:v>0</x:v>
      </x:c>
      <x:c r="H17" s="9" t="n">
        <x:f>COUNTIFS(Test_Cases!F159,"FAIL")+COUNTIFS(Test_Cases!F160,"FAIL")+COUNTIFS(Test_Cases!F161,"FAIL")+COUNTIFS(Test_Cases!F162,"FAIL")+COUNTIFS(Test_Cases!F163,"FAIL")+COUNTIFS(Test_Cases!F164,"FAIL")+COUNTIFS(Test_Cases!F165,"FAIL")+COUNTIFS(Test_Cases!F166,"FAIL")+COUNTIFS(Test_Cases!F170,"FAIL")+COUNTIFS(Test_Cases!F171,"FAIL")+COUNTIFS(Test_Cases!F172,"FAIL")+COUNTIFS(Test_Cases!F173,"FAIL")+COUNTIFS(Test_Cases!F253,"FAIL")+COUNTIFS(Test_Cases!F254,"FAIL")+COUNTIFS(Test_Cases!F255,"FAIL")+COUNTIFS(Test_Cases!F256,"FAIL")+COUNTIFS(Test_Cases!F257,"FAIL")+COUNTIFS(Test_Cases!F297,"FAIL")+COUNTIFS(Test_Cases!F298,"FAIL")+COUNTIFS(Test_Cases!F299,"FAIL")+COUNTIFS(Test_Cases!F300,"FAIL")+COUNTIFS(Test_Cases!F301,"FAIL")+COUNTIFS(Test_Cases!F302,"FAIL")+COUNTIFS(Test_Cases!F303,"FAIL")+COUNTIFS(Test_Cases!F304,"FAIL")</x:f>
        <x:v>0</x:v>
      </x:c>
      <x:c r="I17" s="9" t="str">
        <x:v>TC13-PAY-009, TC13-PAY-010, TC13-PAY-011, TC13-PAY-012, TC13-PAY-013, TC13-PAY-014, TC13-PAY-015, TC13-PAY-016, TC13-PAY-020, TC13-PAY-021, TC13-PAY-022, TC13-PAY-023, TC13-E2E-001, TC13-E2E-002, TC13-E2E-003, TC13-E2E-004, TC13-E2E-005, TC13-API-033, TC13-API-034, TC13-API-035, TC13-API-036, TC13-API-037, TC13-API-038, TC13-API-039, TC13-API-040</x:v>
      </x:c>
    </x:row>
    <x:row r="18" ht="80" customHeight="1">
      <x:c r="A18" s="10" t="str">
        <x:v>FR12</x:v>
      </x:c>
      <x:c r="B18" s="10" t="str">
        <x:v>Xử lý kết quả thanh toán</x:v>
      </x:c>
      <x:c r="C18" s="10" t="str">
        <x:v>MVP</x:v>
      </x:c>
      <x:c r="D18" s="10" t="n">
        <x:f>COUNTA(Test_Cases!A159,Test_Cases!A160,Test_Cases!A161,Test_Cases!A162,Test_Cases!A163,Test_Cases!A164,Test_Cases!A165,Test_Cases!A166,Test_Cases!A167,Test_Cases!A168,Test_Cases!A169,Test_Cases!A170,Test_Cases!A171,Test_Cases!A172,Test_Cases!A173,Test_Cases!A174,Test_Cases!A175,Test_Cases!A176,Test_Cases!A177,Test_Cases!A178,Test_Cases!A179,Test_Cases!A253,Test_Cases!A254,Test_Cases!A255,Test_Cases!A256,Test_Cases!A257,Test_Cases!A297,Test_Cases!A298,Test_Cases!A299,Test_Cases!A300,Test_Cases!A301,Test_Cases!A302,Test_Cases!A303,Test_Cases!A304,Test_Cases!A330)</x:f>
        <x:v>35</x:v>
      </x:c>
      <x:c r="E18" s="10" t="n">
        <x:f>COUNTIFS(Test_Cases!E159,"DEFINED")+COUNTIFS(Test_Cases!E160,"DEFINED")+COUNTIFS(Test_Cases!E161,"DEFINED")+COUNTIFS(Test_Cases!E162,"DEFINED")+COUNTIFS(Test_Cases!E163,"DEFINED")+COUNTIFS(Test_Cases!E164,"DEFINED")+COUNTIFS(Test_Cases!E165,"DEFINED")+COUNTIFS(Test_Cases!E166,"DEFINED")+COUNTIFS(Test_Cases!E167,"DEFINED")+COUNTIFS(Test_Cases!E168,"DEFINED")+COUNTIFS(Test_Cases!E169,"DEFINED")+COUNTIFS(Test_Cases!E170,"DEFINED")+COUNTIFS(Test_Cases!E171,"DEFINED")+COUNTIFS(Test_Cases!E172,"DEFINED")+COUNTIFS(Test_Cases!E173,"DEFINED")+COUNTIFS(Test_Cases!E174,"DEFINED")+COUNTIFS(Test_Cases!E175,"DEFINED")+COUNTIFS(Test_Cases!E176,"DEFINED")+COUNTIFS(Test_Cases!E177,"DEFINED")+COUNTIFS(Test_Cases!E178,"DEFINED")+COUNTIFS(Test_Cases!E179,"DEFINED")+COUNTIFS(Test_Cases!E253,"DEFINED")+COUNTIFS(Test_Cases!E254,"DEFINED")+COUNTIFS(Test_Cases!E255,"DEFINED")+COUNTIFS(Test_Cases!E256,"DEFINED")+COUNTIFS(Test_Cases!E257,"DEFINED")+COUNTIFS(Test_Cases!E297,"DEFINED")+COUNTIFS(Test_Cases!E298,"DEFINED")+COUNTIFS(Test_Cases!E299,"DEFINED")+COUNTIFS(Test_Cases!E300,"DEFINED")+COUNTIFS(Test_Cases!E301,"DEFINED")+COUNTIFS(Test_Cases!E302,"DEFINED")+COUNTIFS(Test_Cases!E303,"DEFINED")+COUNTIFS(Test_Cases!E304,"DEFINED")+COUNTIFS(Test_Cases!E330,"DEFINED")</x:f>
        <x:v>22</x:v>
      </x:c>
      <x:c r="F18" s="10" t="n">
        <x:f>COUNTIFS(Test_Cases!E159,"NEEDS_DECISION")+COUNTIFS(Test_Cases!E160,"NEEDS_DECISION")+COUNTIFS(Test_Cases!E161,"NEEDS_DECISION")+COUNTIFS(Test_Cases!E162,"NEEDS_DECISION")+COUNTIFS(Test_Cases!E163,"NEEDS_DECISION")+COUNTIFS(Test_Cases!E164,"NEEDS_DECISION")+COUNTIFS(Test_Cases!E165,"NEEDS_DECISION")+COUNTIFS(Test_Cases!E166,"NEEDS_DECISION")+COUNTIFS(Test_Cases!E167,"NEEDS_DECISION")+COUNTIFS(Test_Cases!E168,"NEEDS_DECISION")+COUNTIFS(Test_Cases!E169,"NEEDS_DECISION")+COUNTIFS(Test_Cases!E170,"NEEDS_DECISION")+COUNTIFS(Test_Cases!E171,"NEEDS_DECISION")+COUNTIFS(Test_Cases!E172,"NEEDS_DECISION")+COUNTIFS(Test_Cases!E173,"NEEDS_DECISION")+COUNTIFS(Test_Cases!E174,"NEEDS_DECISION")+COUNTIFS(Test_Cases!E175,"NEEDS_DECISION")+COUNTIFS(Test_Cases!E176,"NEEDS_DECISION")+COUNTIFS(Test_Cases!E177,"NEEDS_DECISION")+COUNTIFS(Test_Cases!E178,"NEEDS_DECISION")+COUNTIFS(Test_Cases!E179,"NEEDS_DECISION")+COUNTIFS(Test_Cases!E253,"NEEDS_DECISION")+COUNTIFS(Test_Cases!E254,"NEEDS_DECISION")+COUNTIFS(Test_Cases!E255,"NEEDS_DECISION")+COUNTIFS(Test_Cases!E256,"NEEDS_DECISION")+COUNTIFS(Test_Cases!E257,"NEEDS_DECISION")+COUNTIFS(Test_Cases!E297,"NEEDS_DECISION")+COUNTIFS(Test_Cases!E298,"NEEDS_DECISION")+COUNTIFS(Test_Cases!E299,"NEEDS_DECISION")+COUNTIFS(Test_Cases!E300,"NEEDS_DECISION")+COUNTIFS(Test_Cases!E301,"NEEDS_DECISION")+COUNTIFS(Test_Cases!E302,"NEEDS_DECISION")+COUNTIFS(Test_Cases!E303,"NEEDS_DECISION")+COUNTIFS(Test_Cases!E304,"NEEDS_DECISION")+COUNTIFS(Test_Cases!E330,"NEEDS_DECISION")</x:f>
        <x:v>13</x:v>
      </x:c>
      <x:c r="G18" s="10" t="n">
        <x:f>COUNTIFS(Test_Cases!F159,"PASS")+COUNTIFS(Test_Cases!F160,"PASS")+COUNTIFS(Test_Cases!F161,"PASS")+COUNTIFS(Test_Cases!F162,"PASS")+COUNTIFS(Test_Cases!F163,"PASS")+COUNTIFS(Test_Cases!F164,"PASS")+COUNTIFS(Test_Cases!F165,"PASS")+COUNTIFS(Test_Cases!F166,"PASS")+COUNTIFS(Test_Cases!F167,"PASS")+COUNTIFS(Test_Cases!F168,"PASS")+COUNTIFS(Test_Cases!F169,"PASS")+COUNTIFS(Test_Cases!F170,"PASS")+COUNTIFS(Test_Cases!F171,"PASS")+COUNTIFS(Test_Cases!F172,"PASS")+COUNTIFS(Test_Cases!F173,"PASS")+COUNTIFS(Test_Cases!F174,"PASS")+COUNTIFS(Test_Cases!F175,"PASS")+COUNTIFS(Test_Cases!F176,"PASS")+COUNTIFS(Test_Cases!F177,"PASS")+COUNTIFS(Test_Cases!F178,"PASS")+COUNTIFS(Test_Cases!F179,"PASS")+COUNTIFS(Test_Cases!F253,"PASS")+COUNTIFS(Test_Cases!F254,"PASS")+COUNTIFS(Test_Cases!F255,"PASS")+COUNTIFS(Test_Cases!F256,"PASS")+COUNTIFS(Test_Cases!F257,"PASS")+COUNTIFS(Test_Cases!F297,"PASS")+COUNTIFS(Test_Cases!F298,"PASS")+COUNTIFS(Test_Cases!F299,"PASS")+COUNTIFS(Test_Cases!F300,"PASS")+COUNTIFS(Test_Cases!F301,"PASS")+COUNTIFS(Test_Cases!F302,"PASS")+COUNTIFS(Test_Cases!F303,"PASS")+COUNTIFS(Test_Cases!F304,"PASS")+COUNTIFS(Test_Cases!F330,"PASS")</x:f>
        <x:v>0</x:v>
      </x:c>
      <x:c r="H18" s="10" t="n">
        <x:f>COUNTIFS(Test_Cases!F159,"FAIL")+COUNTIFS(Test_Cases!F160,"FAIL")+COUNTIFS(Test_Cases!F161,"FAIL")+COUNTIFS(Test_Cases!F162,"FAIL")+COUNTIFS(Test_Cases!F163,"FAIL")+COUNTIFS(Test_Cases!F164,"FAIL")+COUNTIFS(Test_Cases!F165,"FAIL")+COUNTIFS(Test_Cases!F166,"FAIL")+COUNTIFS(Test_Cases!F167,"FAIL")+COUNTIFS(Test_Cases!F168,"FAIL")+COUNTIFS(Test_Cases!F169,"FAIL")+COUNTIFS(Test_Cases!F170,"FAIL")+COUNTIFS(Test_Cases!F171,"FAIL")+COUNTIFS(Test_Cases!F172,"FAIL")+COUNTIFS(Test_Cases!F173,"FAIL")+COUNTIFS(Test_Cases!F174,"FAIL")+COUNTIFS(Test_Cases!F175,"FAIL")+COUNTIFS(Test_Cases!F176,"FAIL")+COUNTIFS(Test_Cases!F177,"FAIL")+COUNTIFS(Test_Cases!F178,"FAIL")+COUNTIFS(Test_Cases!F179,"FAIL")+COUNTIFS(Test_Cases!F253,"FAIL")+COUNTIFS(Test_Cases!F254,"FAIL")+COUNTIFS(Test_Cases!F255,"FAIL")+COUNTIFS(Test_Cases!F256,"FAIL")+COUNTIFS(Test_Cases!F257,"FAIL")+COUNTIFS(Test_Cases!F297,"FAIL")+COUNTIFS(Test_Cases!F298,"FAIL")+COUNTIFS(Test_Cases!F299,"FAIL")+COUNTIFS(Test_Cases!F300,"FAIL")+COUNTIFS(Test_Cases!F301,"FAIL")+COUNTIFS(Test_Cases!F302,"FAIL")+COUNTIFS(Test_Cases!F303,"FAIL")+COUNTIFS(Test_Cases!F304,"FAIL")+COUNTIFS(Test_Cases!F330,"FAIL")</x:f>
        <x:v>0</x:v>
      </x:c>
      <x:c r="I18" s="10" t="str">
        <x:v>TC13-PAY-009, TC13-PAY-010, TC13-PAY-011, TC13-PAY-012, TC13-PAY-013, TC13-PAY-014, TC13-PAY-015, TC13-PAY-016, TC13-PAY-017, TC13-PAY-018, TC13-PAY-019, TC13-PAY-020, TC13-PAY-021, TC13-PAY-022, TC13-PAY-023, TC13-PAY-024, TC13-PAY-025, TC13-PAY-026, TC13-PAY-027, TC13-PAY-028, TC13-PAY-029, TC13-E2E-001, TC13-E2E-002, TC13-E2E-003, TC13-E2E-004, TC13-E2E-005, TC13-API-033, TC13-API-034, TC13-API-035, TC13-API-036, TC13-API-037, TC13-API-038, TC13-API-039, TC13-API-040, TC13-API-066</x:v>
      </x:c>
    </x:row>
    <x:row r="19" ht="80" customHeight="1">
      <x:c r="A19" s="9" t="str">
        <x:v>FR13</x:v>
      </x:c>
      <x:c r="B19" s="9" t="str">
        <x:v>Thông báo</x:v>
      </x:c>
      <x:c r="C19" s="9" t="str">
        <x:v>MVP</x:v>
      </x:c>
      <x:c r="D19" s="9" t="n">
        <x:f>COUNTA(Test_Cases!A56,Test_Cases!A57,Test_Cases!A58,Test_Cases!A59,Test_Cases!A60,Test_Cases!A61,Test_Cases!A62,Test_Cases!A63,Test_Cases!A64,Test_Cases!A65,Test_Cases!A181,Test_Cases!A182,Test_Cases!A183,Test_Cases!A184,Test_Cases!A185,Test_Cases!A186,Test_Cases!A187,Test_Cases!A188,Test_Cases!A189,Test_Cases!A190,Test_Cases!A191,Test_Cases!A192,Test_Cases!A193,Test_Cases!A194,Test_Cases!A253,Test_Cases!A254,Test_Cases!A255,Test_Cases!A256,Test_Cases!A257,Test_Cases!A305,Test_Cases!A306)</x:f>
        <x:v>31</x:v>
      </x:c>
      <x:c r="E19" s="9" t="n">
        <x:f>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181,"DEFINED")+COUNTIFS(Test_Cases!E182,"DEFINED")+COUNTIFS(Test_Cases!E183,"DEFINED")+COUNTIFS(Test_Cases!E184,"DEFINED")+COUNTIFS(Test_Cases!E185,"DEFINED")+COUNTIFS(Test_Cases!E186,"DEFINED")+COUNTIFS(Test_Cases!E187,"DEFINED")+COUNTIFS(Test_Cases!E188,"DEFINED")+COUNTIFS(Test_Cases!E189,"DEFINED")+COUNTIFS(Test_Cases!E190,"DEFINED")+COUNTIFS(Test_Cases!E191,"DEFINED")+COUNTIFS(Test_Cases!E192,"DEFINED")+COUNTIFS(Test_Cases!E193,"DEFINED")+COUNTIFS(Test_Cases!E194,"DEFINED")+COUNTIFS(Test_Cases!E253,"DEFINED")+COUNTIFS(Test_Cases!E254,"DEFINED")+COUNTIFS(Test_Cases!E255,"DEFINED")+COUNTIFS(Test_Cases!E256,"DEFINED")+COUNTIFS(Test_Cases!E257,"DEFINED")+COUNTIFS(Test_Cases!E305,"DEFINED")+COUNTIFS(Test_Cases!E306,"DEFINED")</x:f>
        <x:v>25</x:v>
      </x:c>
      <x:c r="F19" s="9" t="n">
        <x:f>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181,"NEEDS_DECISION")+COUNTIFS(Test_Cases!E182,"NEEDS_DECISION")+COUNTIFS(Test_Cases!E183,"NEEDS_DECISION")+COUNTIFS(Test_Cases!E184,"NEEDS_DECISION")+COUNTIFS(Test_Cases!E185,"NEEDS_DECISION")+COUNTIFS(Test_Cases!E186,"NEEDS_DECISION")+COUNTIFS(Test_Cases!E187,"NEEDS_DECISION")+COUNTIFS(Test_Cases!E188,"NEEDS_DECISION")+COUNTIFS(Test_Cases!E189,"NEEDS_DECISION")+COUNTIFS(Test_Cases!E190,"NEEDS_DECISION")+COUNTIFS(Test_Cases!E191,"NEEDS_DECISION")+COUNTIFS(Test_Cases!E192,"NEEDS_DECISION")+COUNTIFS(Test_Cases!E193,"NEEDS_DECISION")+COUNTIFS(Test_Cases!E194,"NEEDS_DECISION")+COUNTIFS(Test_Cases!E253,"NEEDS_DECISION")+COUNTIFS(Test_Cases!E254,"NEEDS_DECISION")+COUNTIFS(Test_Cases!E255,"NEEDS_DECISION")+COUNTIFS(Test_Cases!E256,"NEEDS_DECISION")+COUNTIFS(Test_Cases!E257,"NEEDS_DECISION")+COUNTIFS(Test_Cases!E305,"NEEDS_DECISION")+COUNTIFS(Test_Cases!E306,"NEEDS_DECISION")</x:f>
        <x:v>6</x:v>
      </x:c>
      <x:c r="G19" s="9" t="n">
        <x:f>COUNTIFS(Test_Cases!F56,"PASS")+COUNTIFS(Test_Cases!F57,"PASS")+COUNTIFS(Test_Cases!F58,"PASS")+COUNTIFS(Test_Cases!F59,"PASS")+COUNTIFS(Test_Cases!F60,"PASS")+COUNTIFS(Test_Cases!F61,"PASS")+COUNTIFS(Test_Cases!F62,"PASS")+COUNTIFS(Test_Cases!F63,"PASS")+COUNTIFS(Test_Cases!F64,"PASS")+COUNTIFS(Test_Cases!F65,"PASS")+COUNTIFS(Test_Cases!F181,"PASS")+COUNTIFS(Test_Cases!F182,"PASS")+COUNTIFS(Test_Cases!F183,"PASS")+COUNTIFS(Test_Cases!F184,"PASS")+COUNTIFS(Test_Cases!F185,"PASS")+COUNTIFS(Test_Cases!F186,"PASS")+COUNTIFS(Test_Cases!F187,"PASS")+COUNTIFS(Test_Cases!F188,"PASS")+COUNTIFS(Test_Cases!F189,"PASS")+COUNTIFS(Test_Cases!F190,"PASS")+COUNTIFS(Test_Cases!F191,"PASS")+COUNTIFS(Test_Cases!F192,"PASS")+COUNTIFS(Test_Cases!F193,"PASS")+COUNTIFS(Test_Cases!F194,"PASS")+COUNTIFS(Test_Cases!F253,"PASS")+COUNTIFS(Test_Cases!F254,"PASS")+COUNTIFS(Test_Cases!F255,"PASS")+COUNTIFS(Test_Cases!F256,"PASS")+COUNTIFS(Test_Cases!F257,"PASS")+COUNTIFS(Test_Cases!F305,"PASS")+COUNTIFS(Test_Cases!F306,"PASS")</x:f>
        <x:v>0</x:v>
      </x:c>
      <x:c r="H19" s="9" t="n">
        <x:f>COUNTIFS(Test_Cases!F56,"FAIL")+COUNTIFS(Test_Cases!F57,"FAIL")+COUNTIFS(Test_Cases!F58,"FAIL")+COUNTIFS(Test_Cases!F59,"FAIL")+COUNTIFS(Test_Cases!F60,"FAIL")+COUNTIFS(Test_Cases!F61,"FAIL")+COUNTIFS(Test_Cases!F62,"FAIL")+COUNTIFS(Test_Cases!F63,"FAIL")+COUNTIFS(Test_Cases!F64,"FAIL")+COUNTIFS(Test_Cases!F65,"FAIL")+COUNTIFS(Test_Cases!F181,"FAIL")+COUNTIFS(Test_Cases!F182,"FAIL")+COUNTIFS(Test_Cases!F183,"FAIL")+COUNTIFS(Test_Cases!F184,"FAIL")+COUNTIFS(Test_Cases!F185,"FAIL")+COUNTIFS(Test_Cases!F186,"FAIL")+COUNTIFS(Test_Cases!F187,"FAIL")+COUNTIFS(Test_Cases!F188,"FAIL")+COUNTIFS(Test_Cases!F189,"FAIL")+COUNTIFS(Test_Cases!F190,"FAIL")+COUNTIFS(Test_Cases!F191,"FAIL")+COUNTIFS(Test_Cases!F192,"FAIL")+COUNTIFS(Test_Cases!F193,"FAIL")+COUNTIFS(Test_Cases!F194,"FAIL")+COUNTIFS(Test_Cases!F253,"FAIL")+COUNTIFS(Test_Cases!F254,"FAIL")+COUNTIFS(Test_Cases!F255,"FAIL")+COUNTIFS(Test_Cases!F256,"FAIL")+COUNTIFS(Test_Cases!F257,"FAIL")+COUNTIFS(Test_Cases!F305,"FAIL")+COUNTIFS(Test_Cases!F306,"FAIL")</x:f>
        <x:v>0</x:v>
      </x:c>
      <x:c r="I19" s="9" t="str">
        <x:v>TC13-FLEET-007, TC13-FLEET-008, TC13-FLEET-009, TC13-FLEET-010, TC13-FLEET-011, TC13-FLEET-012, TC13-FLEET-013, TC13-FLEET-014, TC13-FLEET-015, TC13-FLEET-016, TC13-NOTI-001, TC13-NOTI-002, TC13-NOTI-003, TC13-NOTI-004, TC13-NOTI-005, TC13-NOTI-006, TC13-NOTI-007, TC13-NOTI-008, TC13-NOTI-009, TC13-NOTI-010, TC13-NOTI-011, TC13-NOTI-012, TC13-NOTI-013, TC13-NOTI-014, TC13-E2E-001, TC13-E2E-002, TC13-E2E-003, TC13-E2E-004, TC13-E2E-005, TC13-API-041, TC13-API-042</x:v>
      </x:c>
    </x:row>
    <x:row r="20" ht="38" customHeight="1">
      <x:c r="A20" s="10" t="str">
        <x:v>FR14</x:v>
      </x:c>
      <x:c r="B20" s="10" t="str">
        <x:v>Quản lý dữ liệu vận hành</x:v>
      </x:c>
      <x:c r="C20" s="10" t="str">
        <x:v>MVP</x:v>
      </x:c>
      <x:c r="D20" s="10" t="n">
        <x:f>COUNTA(Test_Cases!A78,Test_Cases!A79,Test_Cases!A80,Test_Cases!A312,Test_Cases!A313,Test_Cases!A324,Test_Cases!A325,Test_Cases!A326,Test_Cases!A327,Test_Cases!A330)</x:f>
        <x:v>10</x:v>
      </x:c>
      <x:c r="E20" s="10" t="n">
        <x:f>COUNTIFS(Test_Cases!E78,"DEFINED")+COUNTIFS(Test_Cases!E79,"DEFINED")+COUNTIFS(Test_Cases!E80,"DEFINED")+COUNTIFS(Test_Cases!E312,"DEFINED")+COUNTIFS(Test_Cases!E313,"DEFINED")+COUNTIFS(Test_Cases!E324,"DEFINED")+COUNTIFS(Test_Cases!E325,"DEFINED")+COUNTIFS(Test_Cases!E326,"DEFINED")+COUNTIFS(Test_Cases!E327,"DEFINED")+COUNTIFS(Test_Cases!E330,"DEFINED")</x:f>
        <x:v>10</x:v>
      </x:c>
      <x:c r="F20" s="10" t="n">
        <x:f>COUNTIFS(Test_Cases!E78,"NEEDS_DECISION")+COUNTIFS(Test_Cases!E79,"NEEDS_DECISION")+COUNTIFS(Test_Cases!E80,"NEEDS_DECISION")+COUNTIFS(Test_Cases!E312,"NEEDS_DECISION")+COUNTIFS(Test_Cases!E313,"NEEDS_DECISION")+COUNTIFS(Test_Cases!E324,"NEEDS_DECISION")+COUNTIFS(Test_Cases!E325,"NEEDS_DECISION")+COUNTIFS(Test_Cases!E326,"NEEDS_DECISION")+COUNTIFS(Test_Cases!E327,"NEEDS_DECISION")+COUNTIFS(Test_Cases!E330,"NEEDS_DECISION")</x:f>
        <x:v>0</x:v>
      </x:c>
      <x:c r="G20" s="10" t="n">
        <x:f>COUNTIFS(Test_Cases!F78,"PASS")+COUNTIFS(Test_Cases!F79,"PASS")+COUNTIFS(Test_Cases!F80,"PASS")+COUNTIFS(Test_Cases!F312,"PASS")+COUNTIFS(Test_Cases!F313,"PASS")+COUNTIFS(Test_Cases!F324,"PASS")+COUNTIFS(Test_Cases!F325,"PASS")+COUNTIFS(Test_Cases!F326,"PASS")+COUNTIFS(Test_Cases!F327,"PASS")+COUNTIFS(Test_Cases!F330,"PASS")</x:f>
        <x:v>0</x:v>
      </x:c>
      <x:c r="H20" s="10" t="n">
        <x:f>COUNTIFS(Test_Cases!F78,"FAIL")+COUNTIFS(Test_Cases!F79,"FAIL")+COUNTIFS(Test_Cases!F80,"FAIL")+COUNTIFS(Test_Cases!F312,"FAIL")+COUNTIFS(Test_Cases!F313,"FAIL")+COUNTIFS(Test_Cases!F324,"FAIL")+COUNTIFS(Test_Cases!F325,"FAIL")+COUNTIFS(Test_Cases!F326,"FAIL")+COUNTIFS(Test_Cases!F327,"FAIL")+COUNTIFS(Test_Cases!F330,"FAIL")</x:f>
        <x:v>0</x:v>
      </x:c>
      <x:c r="I20" s="10" t="str">
        <x:v>TC13-FLEET-029, TC13-FLEET-030, TC13-FLEET-031, TC13-API-048, TC13-API-049, TC13-API-060, TC13-API-061, TC13-API-062, TC13-API-063, TC13-API-066</x:v>
      </x:c>
    </x:row>
    <x:row r="21" ht="38" customHeight="1">
      <x:c r="A21" s="9" t="str">
        <x:v>FR15</x:v>
      </x:c>
      <x:c r="B21" s="9" t="str">
        <x:v>Giám sát và xử lý sự cố</x:v>
      </x:c>
      <x:c r="C21" s="9" t="str">
        <x:v>MVP</x:v>
      </x:c>
      <x:c r="D21" s="9" t="n">
        <x:f>COUNTA(Test_Cases!A134,Test_Cases!A135,Test_Cases!A136,Test_Cases!A137,Test_Cases!A138,Test_Cases!A294,Test_Cases!A324,Test_Cases!A325,Test_Cases!A326,Test_Cases!A327)</x:f>
        <x:v>10</x:v>
      </x:c>
      <x:c r="E21" s="9" t="n">
        <x:f>COUNTIFS(Test_Cases!E134,"DEFINED")+COUNTIFS(Test_Cases!E135,"DEFINED")+COUNTIFS(Test_Cases!E136,"DEFINED")+COUNTIFS(Test_Cases!E137,"DEFINED")+COUNTIFS(Test_Cases!E138,"DEFINED")+COUNTIFS(Test_Cases!E294,"DEFINED")+COUNTIFS(Test_Cases!E324,"DEFINED")+COUNTIFS(Test_Cases!E325,"DEFINED")+COUNTIFS(Test_Cases!E326,"DEFINED")+COUNTIFS(Test_Cases!E327,"DEFINED")</x:f>
        <x:v>10</x:v>
      </x:c>
      <x:c r="F21" s="9" t="n">
        <x:f>COUNTIFS(Test_Cases!E134,"NEEDS_DECISION")+COUNTIFS(Test_Cases!E135,"NEEDS_DECISION")+COUNTIFS(Test_Cases!E136,"NEEDS_DECISION")+COUNTIFS(Test_Cases!E137,"NEEDS_DECISION")+COUNTIFS(Test_Cases!E138,"NEEDS_DECISION")+COUNTIFS(Test_Cases!E294,"NEEDS_DECISION")+COUNTIFS(Test_Cases!E324,"NEEDS_DECISION")+COUNTIFS(Test_Cases!E325,"NEEDS_DECISION")+COUNTIFS(Test_Cases!E326,"NEEDS_DECISION")+COUNTIFS(Test_Cases!E327,"NEEDS_DECISION")</x:f>
        <x:v>0</x:v>
      </x:c>
      <x:c r="G21" s="9" t="n">
        <x:f>COUNTIFS(Test_Cases!F134,"PASS")+COUNTIFS(Test_Cases!F135,"PASS")+COUNTIFS(Test_Cases!F136,"PASS")+COUNTIFS(Test_Cases!F137,"PASS")+COUNTIFS(Test_Cases!F138,"PASS")+COUNTIFS(Test_Cases!F294,"PASS")+COUNTIFS(Test_Cases!F324,"PASS")+COUNTIFS(Test_Cases!F325,"PASS")+COUNTIFS(Test_Cases!F326,"PASS")+COUNTIFS(Test_Cases!F327,"PASS")</x:f>
        <x:v>0</x:v>
      </x:c>
      <x:c r="H21" s="9" t="n">
        <x:f>COUNTIFS(Test_Cases!F134,"FAIL")+COUNTIFS(Test_Cases!F135,"FAIL")+COUNTIFS(Test_Cases!F136,"FAIL")+COUNTIFS(Test_Cases!F137,"FAIL")+COUNTIFS(Test_Cases!F138,"FAIL")+COUNTIFS(Test_Cases!F294,"FAIL")+COUNTIFS(Test_Cases!F324,"FAIL")+COUNTIFS(Test_Cases!F325,"FAIL")+COUNTIFS(Test_Cases!F326,"FAIL")+COUNTIFS(Test_Cases!F327,"FAIL")</x:f>
        <x:v>0</x:v>
      </x:c>
      <x:c r="I21" s="9" t="str">
        <x:v>TC13-TRIP-013, TC13-TRIP-014, TC13-TRIP-015, TC13-TRIP-016, TC13-TRIP-017, TC13-API-030, TC13-API-060, TC13-API-061, TC13-API-062, TC13-API-063</x:v>
      </x:c>
    </x:row>
    <x:row r="22" ht="52" customHeight="1">
      <x:c r="A22" s="10" t="str">
        <x:v>FR16</x:v>
      </x:c>
      <x:c r="B22" s="10" t="str">
        <x:v>Đánh giá tài xế</x:v>
      </x:c>
      <x:c r="C22" s="10" t="str">
        <x:v>MVP</x:v>
      </x:c>
      <x:c r="D22" s="10" t="n">
        <x:f>COUNTA(Test_Cases!A195,Test_Cases!A196,Test_Cases!A197,Test_Cases!A198,Test_Cases!A199,Test_Cases!A200,Test_Cases!A201,Test_Cases!A202,Test_Cases!A203,Test_Cases!A204,Test_Cases!A205,Test_Cases!A253,Test_Cases!A254,Test_Cases!A255,Test_Cases!A256,Test_Cases!A257,Test_Cases!A335,Test_Cases!A336,Test_Cases!A337,Test_Cases!A338)</x:f>
        <x:v>20</x:v>
      </x:c>
      <x:c r="E22" s="10" t="n">
        <x:f>COUNTIFS(Test_Cases!E195,"DEFINED")+COUNTIFS(Test_Cases!E196,"DEFINED")+COUNTIFS(Test_Cases!E197,"DEFINED")+COUNTIFS(Test_Cases!E198,"DEFINED")+COUNTIFS(Test_Cases!E199,"DEFINED")+COUNTIFS(Test_Cases!E200,"DEFINED")+COUNTIFS(Test_Cases!E201,"DEFINED")+COUNTIFS(Test_Cases!E202,"DEFINED")+COUNTIFS(Test_Cases!E203,"DEFINED")+COUNTIFS(Test_Cases!E204,"DEFINED")+COUNTIFS(Test_Cases!E205,"DEFINED")+COUNTIFS(Test_Cases!E253,"DEFINED")+COUNTIFS(Test_Cases!E254,"DEFINED")+COUNTIFS(Test_Cases!E255,"DEFINED")+COUNTIFS(Test_Cases!E256,"DEFINED")+COUNTIFS(Test_Cases!E257,"DEFINED")+COUNTIFS(Test_Cases!E335,"DEFINED")+COUNTIFS(Test_Cases!E336,"DEFINED")+COUNTIFS(Test_Cases!E337,"DEFINED")+COUNTIFS(Test_Cases!E338,"DEFINED")</x:f>
        <x:v>17</x:v>
      </x:c>
      <x:c r="F22" s="10" t="n">
        <x:f>COUNTIFS(Test_Cases!E195,"NEEDS_DECISION")+COUNTIFS(Test_Cases!E196,"NEEDS_DECISION")+COUNTIFS(Test_Cases!E197,"NEEDS_DECISION")+COUNTIFS(Test_Cases!E198,"NEEDS_DECISION")+COUNTIFS(Test_Cases!E199,"NEEDS_DECISION")+COUNTIFS(Test_Cases!E200,"NEEDS_DECISION")+COUNTIFS(Test_Cases!E201,"NEEDS_DECISION")+COUNTIFS(Test_Cases!E202,"NEEDS_DECISION")+COUNTIFS(Test_Cases!E203,"NEEDS_DECISION")+COUNTIFS(Test_Cases!E204,"NEEDS_DECISION")+COUNTIFS(Test_Cases!E205,"NEEDS_DECISION")+COUNTIFS(Test_Cases!E253,"NEEDS_DECISION")+COUNTIFS(Test_Cases!E254,"NEEDS_DECISION")+COUNTIFS(Test_Cases!E255,"NEEDS_DECISION")+COUNTIFS(Test_Cases!E256,"NEEDS_DECISION")+COUNTIFS(Test_Cases!E257,"NEEDS_DECISION")+COUNTIFS(Test_Cases!E335,"NEEDS_DECISION")+COUNTIFS(Test_Cases!E336,"NEEDS_DECISION")+COUNTIFS(Test_Cases!E337,"NEEDS_DECISION")+COUNTIFS(Test_Cases!E338,"NEEDS_DECISION")</x:f>
        <x:v>3</x:v>
      </x:c>
      <x:c r="G22" s="10" t="n">
        <x:f>COUNTIFS(Test_Cases!F195,"PASS")+COUNTIFS(Test_Cases!F196,"PASS")+COUNTIFS(Test_Cases!F197,"PASS")+COUNTIFS(Test_Cases!F198,"PASS")+COUNTIFS(Test_Cases!F199,"PASS")+COUNTIFS(Test_Cases!F200,"PASS")+COUNTIFS(Test_Cases!F201,"PASS")+COUNTIFS(Test_Cases!F202,"PASS")+COUNTIFS(Test_Cases!F203,"PASS")+COUNTIFS(Test_Cases!F204,"PASS")+COUNTIFS(Test_Cases!F205,"PASS")+COUNTIFS(Test_Cases!F253,"PASS")+COUNTIFS(Test_Cases!F254,"PASS")+COUNTIFS(Test_Cases!F255,"PASS")+COUNTIFS(Test_Cases!F256,"PASS")+COUNTIFS(Test_Cases!F257,"PASS")+COUNTIFS(Test_Cases!F335,"PASS")+COUNTIFS(Test_Cases!F336,"PASS")+COUNTIFS(Test_Cases!F337,"PASS")+COUNTIFS(Test_Cases!F338,"PASS")</x:f>
        <x:v>0</x:v>
      </x:c>
      <x:c r="H22" s="10" t="n">
        <x:f>COUNTIFS(Test_Cases!F195,"FAIL")+COUNTIFS(Test_Cases!F196,"FAIL")+COUNTIFS(Test_Cases!F197,"FAIL")+COUNTIFS(Test_Cases!F198,"FAIL")+COUNTIFS(Test_Cases!F199,"FAIL")+COUNTIFS(Test_Cases!F200,"FAIL")+COUNTIFS(Test_Cases!F201,"FAIL")+COUNTIFS(Test_Cases!F202,"FAIL")+COUNTIFS(Test_Cases!F203,"FAIL")+COUNTIFS(Test_Cases!F204,"FAIL")+COUNTIFS(Test_Cases!F205,"FAIL")+COUNTIFS(Test_Cases!F253,"FAIL")+COUNTIFS(Test_Cases!F254,"FAIL")+COUNTIFS(Test_Cases!F255,"FAIL")+COUNTIFS(Test_Cases!F256,"FAIL")+COUNTIFS(Test_Cases!F257,"FAIL")+COUNTIFS(Test_Cases!F335,"FAIL")+COUNTIFS(Test_Cases!F336,"FAIL")+COUNTIFS(Test_Cases!F337,"FAIL")+COUNTIFS(Test_Cases!F338,"FAIL")</x:f>
        <x:v>0</x:v>
      </x:c>
      <x:c r="I22" s="10" t="str">
        <x:v>TC13-RATE-001, TC13-RATE-002, TC13-RATE-003, TC13-RATE-004, TC13-RATE-005, TC13-RATE-006, TC13-RATE-007, TC13-RATE-008, TC13-RATE-009, TC13-RATE-010, TC13-RATE-011, TC13-E2E-001, TC13-E2E-002, TC13-E2E-003, TC13-E2E-004, TC13-E2E-005, TC13-API-071, TC13-API-072, TC13-API-073, TC13-API-074</x:v>
      </x:c>
    </x:row>
    <x:row r="23" ht="66" customHeight="1">
      <x:c r="A23" s="9" t="str">
        <x:v>FR17</x:v>
      </x:c>
      <x:c r="B23" s="9" t="str">
        <x:v>Quản lý hồ sơ tài xế và phương tiện</x:v>
      </x:c>
      <x:c r="C23" s="9" t="str">
        <x:v>MVP</x:v>
      </x:c>
      <x:c r="D23" s="9" t="n">
        <x:f>COUNTA(Test_Cases!A56,Test_Cases!A57,Test_Cases!A58,Test_Cases!A59,Test_Cases!A60,Test_Cases!A61,Test_Cases!A62,Test_Cases!A63,Test_Cases!A64,Test_Cases!A65,Test_Cases!A72,Test_Cases!A73,Test_Cases!A74,Test_Cases!A75,Test_Cases!A76,Test_Cases!A309,Test_Cases!A310,Test_Cases!A311,Test_Cases!A314,Test_Cases!A315,Test_Cases!A316,Test_Cases!A319,Test_Cases!A320,Test_Cases!A321,Test_Cases!A322,Test_Cases!A323)</x:f>
        <x:v>26</x:v>
      </x:c>
      <x:c r="E23" s="9" t="n">
        <x:f>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72,"DEFINED")+COUNTIFS(Test_Cases!E73,"DEFINED")+COUNTIFS(Test_Cases!E74,"DEFINED")+COUNTIFS(Test_Cases!E75,"DEFINED")+COUNTIFS(Test_Cases!E76,"DEFINED")+COUNTIFS(Test_Cases!E309,"DEFINED")+COUNTIFS(Test_Cases!E310,"DEFINED")+COUNTIFS(Test_Cases!E311,"DEFINED")+COUNTIFS(Test_Cases!E314,"DEFINED")+COUNTIFS(Test_Cases!E315,"DEFINED")+COUNTIFS(Test_Cases!E316,"DEFINED")+COUNTIFS(Test_Cases!E319,"DEFINED")+COUNTIFS(Test_Cases!E320,"DEFINED")+COUNTIFS(Test_Cases!E321,"DEFINED")+COUNTIFS(Test_Cases!E322,"DEFINED")+COUNTIFS(Test_Cases!E323,"DEFINED")</x:f>
        <x:v>26</x:v>
      </x:c>
      <x:c r="F23" s="9" t="n">
        <x:f>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72,"NEEDS_DECISION")+COUNTIFS(Test_Cases!E73,"NEEDS_DECISION")+COUNTIFS(Test_Cases!E74,"NEEDS_DECISION")+COUNTIFS(Test_Cases!E75,"NEEDS_DECISION")+COUNTIFS(Test_Cases!E76,"NEEDS_DECISION")+COUNTIFS(Test_Cases!E309,"NEEDS_DECISION")+COUNTIFS(Test_Cases!E310,"NEEDS_DECISION")+COUNTIFS(Test_Cases!E311,"NEEDS_DECISION")+COUNTIFS(Test_Cases!E314,"NEEDS_DECISION")+COUNTIFS(Test_Cases!E315,"NEEDS_DECISION")+COUNTIFS(Test_Cases!E316,"NEEDS_DECISION")+COUNTIFS(Test_Cases!E319,"NEEDS_DECISION")+COUNTIFS(Test_Cases!E320,"NEEDS_DECISION")+COUNTIFS(Test_Cases!E321,"NEEDS_DECISION")+COUNTIFS(Test_Cases!E322,"NEEDS_DECISION")+COUNTIFS(Test_Cases!E323,"NEEDS_DECISION")</x:f>
        <x:v>0</x:v>
      </x:c>
      <x:c r="G23" s="9" t="n">
        <x:f>COUNTIFS(Test_Cases!F56,"PASS")+COUNTIFS(Test_Cases!F57,"PASS")+COUNTIFS(Test_Cases!F58,"PASS")+COUNTIFS(Test_Cases!F59,"PASS")+COUNTIFS(Test_Cases!F60,"PASS")+COUNTIFS(Test_Cases!F61,"PASS")+COUNTIFS(Test_Cases!F62,"PASS")+COUNTIFS(Test_Cases!F63,"PASS")+COUNTIFS(Test_Cases!F64,"PASS")+COUNTIFS(Test_Cases!F65,"PASS")+COUNTIFS(Test_Cases!F72,"PASS")+COUNTIFS(Test_Cases!F73,"PASS")+COUNTIFS(Test_Cases!F74,"PASS")+COUNTIFS(Test_Cases!F75,"PASS")+COUNTIFS(Test_Cases!F76,"PASS")+COUNTIFS(Test_Cases!F309,"PASS")+COUNTIFS(Test_Cases!F310,"PASS")+COUNTIFS(Test_Cases!F311,"PASS")+COUNTIFS(Test_Cases!F314,"PASS")+COUNTIFS(Test_Cases!F315,"PASS")+COUNTIFS(Test_Cases!F316,"PASS")+COUNTIFS(Test_Cases!F319,"PASS")+COUNTIFS(Test_Cases!F320,"PASS")+COUNTIFS(Test_Cases!F321,"PASS")+COUNTIFS(Test_Cases!F322,"PASS")+COUNTIFS(Test_Cases!F323,"PASS")</x:f>
        <x:v>0</x:v>
      </x:c>
      <x:c r="H23" s="9" t="n">
        <x:f>COUNTIFS(Test_Cases!F56,"FAIL")+COUNTIFS(Test_Cases!F57,"FAIL")+COUNTIFS(Test_Cases!F58,"FAIL")+COUNTIFS(Test_Cases!F59,"FAIL")+COUNTIFS(Test_Cases!F60,"FAIL")+COUNTIFS(Test_Cases!F61,"FAIL")+COUNTIFS(Test_Cases!F62,"FAIL")+COUNTIFS(Test_Cases!F63,"FAIL")+COUNTIFS(Test_Cases!F64,"FAIL")+COUNTIFS(Test_Cases!F65,"FAIL")+COUNTIFS(Test_Cases!F72,"FAIL")+COUNTIFS(Test_Cases!F73,"FAIL")+COUNTIFS(Test_Cases!F74,"FAIL")+COUNTIFS(Test_Cases!F75,"FAIL")+COUNTIFS(Test_Cases!F76,"FAIL")+COUNTIFS(Test_Cases!F309,"FAIL")+COUNTIFS(Test_Cases!F310,"FAIL")+COUNTIFS(Test_Cases!F311,"FAIL")+COUNTIFS(Test_Cases!F314,"FAIL")+COUNTIFS(Test_Cases!F315,"FAIL")+COUNTIFS(Test_Cases!F316,"FAIL")+COUNTIFS(Test_Cases!F319,"FAIL")+COUNTIFS(Test_Cases!F320,"FAIL")+COUNTIFS(Test_Cases!F321,"FAIL")+COUNTIFS(Test_Cases!F322,"FAIL")+COUNTIFS(Test_Cases!F323,"FAIL")</x:f>
        <x:v>0</x:v>
      </x:c>
      <x:c r="I23" s="9" t="str">
        <x:v>TC13-FLEET-007, TC13-FLEET-008, TC13-FLEET-009, TC13-FLEET-010, TC13-FLEET-011, TC13-FLEET-012, TC13-FLEET-013, TC13-FLEET-014, TC13-FLEET-015, TC13-FLEET-016, TC13-FLEET-023, TC13-FLEET-024, TC13-FLEET-025, TC13-FLEET-026, TC13-FLEET-027, TC13-API-045, TC13-API-046, TC13-API-047, TC13-API-050, TC13-API-051, TC13-API-052, TC13-API-055, TC13-API-056, TC13-API-057, TC13-API-058, TC13-API-059</x:v>
      </x:c>
    </x:row>
    <x:row r="24" ht="38" customHeight="1">
      <x:c r="A24" s="10" t="str">
        <x:v>FR18</x:v>
      </x:c>
      <x:c r="B24" s="10" t="str">
        <x:v>Trạng thái hoạt động và vị trí tài xế</x:v>
      </x:c>
      <x:c r="C24" s="10" t="str">
        <x:v>MVP</x:v>
      </x:c>
      <x:c r="D24" s="10" t="n">
        <x:f>COUNTA(Test_Cases!A66,Test_Cases!A67,Test_Cases!A68,Test_Cases!A69,Test_Cases!A70,Test_Cases!A71,Test_Cases!A142,Test_Cases!A143,Test_Cases!A144,Test_Cases!A145,Test_Cases!A295,Test_Cases!A318)</x:f>
        <x:v>12</x:v>
      </x:c>
      <x:c r="E24" s="10" t="n">
        <x:f>COUNTIFS(Test_Cases!E66,"DEFINED")+COUNTIFS(Test_Cases!E67,"DEFINED")+COUNTIFS(Test_Cases!E68,"DEFINED")+COUNTIFS(Test_Cases!E69,"DEFINED")+COUNTIFS(Test_Cases!E70,"DEFINED")+COUNTIFS(Test_Cases!E71,"DEFINED")+COUNTIFS(Test_Cases!E142,"DEFINED")+COUNTIFS(Test_Cases!E143,"DEFINED")+COUNTIFS(Test_Cases!E144,"DEFINED")+COUNTIFS(Test_Cases!E145,"DEFINED")+COUNTIFS(Test_Cases!E295,"DEFINED")+COUNTIFS(Test_Cases!E318,"DEFINED")</x:f>
        <x:v>11</x:v>
      </x:c>
      <x:c r="F24" s="10" t="n">
        <x:f>COUNTIFS(Test_Cases!E66,"NEEDS_DECISION")+COUNTIFS(Test_Cases!E67,"NEEDS_DECISION")+COUNTIFS(Test_Cases!E68,"NEEDS_DECISION")+COUNTIFS(Test_Cases!E69,"NEEDS_DECISION")+COUNTIFS(Test_Cases!E70,"NEEDS_DECISION")+COUNTIFS(Test_Cases!E71,"NEEDS_DECISION")+COUNTIFS(Test_Cases!E142,"NEEDS_DECISION")+COUNTIFS(Test_Cases!E143,"NEEDS_DECISION")+COUNTIFS(Test_Cases!E144,"NEEDS_DECISION")+COUNTIFS(Test_Cases!E145,"NEEDS_DECISION")+COUNTIFS(Test_Cases!E295,"NEEDS_DECISION")+COUNTIFS(Test_Cases!E318,"NEEDS_DECISION")</x:f>
        <x:v>1</x:v>
      </x:c>
      <x:c r="G24" s="10" t="n">
        <x:f>COUNTIFS(Test_Cases!F66,"PASS")+COUNTIFS(Test_Cases!F67,"PASS")+COUNTIFS(Test_Cases!F68,"PASS")+COUNTIFS(Test_Cases!F69,"PASS")+COUNTIFS(Test_Cases!F70,"PASS")+COUNTIFS(Test_Cases!F71,"PASS")+COUNTIFS(Test_Cases!F142,"PASS")+COUNTIFS(Test_Cases!F143,"PASS")+COUNTIFS(Test_Cases!F144,"PASS")+COUNTIFS(Test_Cases!F145,"PASS")+COUNTIFS(Test_Cases!F295,"PASS")+COUNTIFS(Test_Cases!F318,"PASS")</x:f>
        <x:v>0</x:v>
      </x:c>
      <x:c r="H24" s="10" t="n">
        <x:f>COUNTIFS(Test_Cases!F66,"FAIL")+COUNTIFS(Test_Cases!F67,"FAIL")+COUNTIFS(Test_Cases!F68,"FAIL")+COUNTIFS(Test_Cases!F69,"FAIL")+COUNTIFS(Test_Cases!F70,"FAIL")+COUNTIFS(Test_Cases!F71,"FAIL")+COUNTIFS(Test_Cases!F142,"FAIL")+COUNTIFS(Test_Cases!F143,"FAIL")+COUNTIFS(Test_Cases!F144,"FAIL")+COUNTIFS(Test_Cases!F145,"FAIL")+COUNTIFS(Test_Cases!F295,"FAIL")+COUNTIFS(Test_Cases!F318,"FAIL")</x:f>
        <x:v>0</x:v>
      </x:c>
      <x:c r="I24" s="10" t="str">
        <x:v>TC13-FLEET-017, TC13-FLEET-018, TC13-FLEET-019, TC13-FLEET-020, TC13-FLEET-021, TC13-FLEET-022, TC13-TRIP-021, TC13-TRIP-022, TC13-TRIP-023, TC13-TRIP-024, TC13-API-031, TC13-API-054</x:v>
      </x:c>
    </x:row>
    <x:row r="25" ht="38" customHeight="1">
      <x:c r="A25" s="9" t="str">
        <x:v>FR19</x:v>
      </x:c>
      <x:c r="B25" s="9" t="str">
        <x:v>Hủy Booking hoặc Trip</x:v>
      </x:c>
      <x:c r="C25" s="9" t="str">
        <x:v>MVP</x:v>
      </x:c>
      <x:c r="D25" s="9" t="n">
        <x:f>COUNTA(Test_Cases!A96,Test_Cases!A97,Test_Cases!A98,Test_Cases!A99,Test_Cases!A100,Test_Cases!A127,Test_Cases!A128,Test_Cases!A129,Test_Cases!A130,Test_Cases!A131,Test_Cases!A132,Test_Cases!A133,Test_Cases!A280,Test_Cases!A293)</x:f>
        <x:v>14</x:v>
      </x:c>
      <x:c r="E25" s="9" t="n">
        <x:f>COUNTIFS(Test_Cases!E96,"DEFINED")+COUNTIFS(Test_Cases!E97,"DEFINED")+COUNTIFS(Test_Cases!E98,"DEFINED")+COUNTIFS(Test_Cases!E99,"DEFINED")+COUNTIFS(Test_Cases!E100,"DEFINED")+COUNTIFS(Test_Cases!E127,"DEFINED")+COUNTIFS(Test_Cases!E128,"DEFINED")+COUNTIFS(Test_Cases!E129,"DEFINED")+COUNTIFS(Test_Cases!E130,"DEFINED")+COUNTIFS(Test_Cases!E131,"DEFINED")+COUNTIFS(Test_Cases!E132,"DEFINED")+COUNTIFS(Test_Cases!E133,"DEFINED")+COUNTIFS(Test_Cases!E280,"DEFINED")+COUNTIFS(Test_Cases!E293,"DEFINED")</x:f>
        <x:v>11</x:v>
      </x:c>
      <x:c r="F25" s="9" t="n">
        <x:f>COUNTIFS(Test_Cases!E96,"NEEDS_DECISION")+COUNTIFS(Test_Cases!E97,"NEEDS_DECISION")+COUNTIFS(Test_Cases!E98,"NEEDS_DECISION")+COUNTIFS(Test_Cases!E99,"NEEDS_DECISION")+COUNTIFS(Test_Cases!E100,"NEEDS_DECISION")+COUNTIFS(Test_Cases!E127,"NEEDS_DECISION")+COUNTIFS(Test_Cases!E128,"NEEDS_DECISION")+COUNTIFS(Test_Cases!E129,"NEEDS_DECISION")+COUNTIFS(Test_Cases!E130,"NEEDS_DECISION")+COUNTIFS(Test_Cases!E131,"NEEDS_DECISION")+COUNTIFS(Test_Cases!E132,"NEEDS_DECISION")+COUNTIFS(Test_Cases!E133,"NEEDS_DECISION")+COUNTIFS(Test_Cases!E280,"NEEDS_DECISION")+COUNTIFS(Test_Cases!E293,"NEEDS_DECISION")</x:f>
        <x:v>3</x:v>
      </x:c>
      <x:c r="G25" s="9" t="n">
        <x:f>COUNTIFS(Test_Cases!F96,"PASS")+COUNTIFS(Test_Cases!F97,"PASS")+COUNTIFS(Test_Cases!F98,"PASS")+COUNTIFS(Test_Cases!F99,"PASS")+COUNTIFS(Test_Cases!F100,"PASS")+COUNTIFS(Test_Cases!F127,"PASS")+COUNTIFS(Test_Cases!F128,"PASS")+COUNTIFS(Test_Cases!F129,"PASS")+COUNTIFS(Test_Cases!F130,"PASS")+COUNTIFS(Test_Cases!F131,"PASS")+COUNTIFS(Test_Cases!F132,"PASS")+COUNTIFS(Test_Cases!F133,"PASS")+COUNTIFS(Test_Cases!F280,"PASS")+COUNTIFS(Test_Cases!F293,"PASS")</x:f>
        <x:v>0</x:v>
      </x:c>
      <x:c r="H25" s="9" t="n">
        <x:f>COUNTIFS(Test_Cases!F96,"FAIL")+COUNTIFS(Test_Cases!F97,"FAIL")+COUNTIFS(Test_Cases!F98,"FAIL")+COUNTIFS(Test_Cases!F99,"FAIL")+COUNTIFS(Test_Cases!F100,"FAIL")+COUNTIFS(Test_Cases!F127,"FAIL")+COUNTIFS(Test_Cases!F128,"FAIL")+COUNTIFS(Test_Cases!F129,"FAIL")+COUNTIFS(Test_Cases!F130,"FAIL")+COUNTIFS(Test_Cases!F131,"FAIL")+COUNTIFS(Test_Cases!F132,"FAIL")+COUNTIFS(Test_Cases!F133,"FAIL")+COUNTIFS(Test_Cases!F280,"FAIL")+COUNTIFS(Test_Cases!F293,"FAIL")</x:f>
        <x:v>0</x:v>
      </x:c>
      <x:c r="I25" s="9" t="str">
        <x:v>TC13-BOOK-016, TC13-BOOK-017, TC13-BOOK-018, TC13-BOOK-019, TC13-BOOK-020, TC13-TRIP-006, TC13-TRIP-007, TC13-TRIP-008, TC13-TRIP-009, TC13-TRIP-010, TC13-TRIP-011, TC13-TRIP-012, TC13-API-016, TC13-API-029</x:v>
      </x:c>
    </x:row>
    <x:row r="26" ht="34" customHeight="1">
      <x:c r="A26" s="10" t="str">
        <x:v>FR20</x:v>
      </x:c>
      <x:c r="B26" s="10" t="str">
        <x:v>Lịch sử chuyến</x:v>
      </x:c>
      <x:c r="C26" s="10" t="str">
        <x:v>MVP</x:v>
      </x:c>
      <x:c r="D26" s="10" t="n">
        <x:f>COUNTA(Test_Cases!A149,Test_Cases!A150,Test_Cases!A289,Test_Cases!A290,Test_Cases!A292,Test_Cases!A296)</x:f>
        <x:v>6</x:v>
      </x:c>
      <x:c r="E26" s="10" t="n">
        <x:f>COUNTIFS(Test_Cases!E149,"DEFINED")+COUNTIFS(Test_Cases!E150,"DEFINED")+COUNTIFS(Test_Cases!E289,"DEFINED")+COUNTIFS(Test_Cases!E290,"DEFINED")+COUNTIFS(Test_Cases!E292,"DEFINED")+COUNTIFS(Test_Cases!E296,"DEFINED")</x:f>
        <x:v>6</x:v>
      </x:c>
      <x:c r="F26" s="10" t="n">
        <x:f>COUNTIFS(Test_Cases!E149,"NEEDS_DECISION")+COUNTIFS(Test_Cases!E150,"NEEDS_DECISION")+COUNTIFS(Test_Cases!E289,"NEEDS_DECISION")+COUNTIFS(Test_Cases!E290,"NEEDS_DECISION")+COUNTIFS(Test_Cases!E292,"NEEDS_DECISION")+COUNTIFS(Test_Cases!E296,"NEEDS_DECISION")</x:f>
        <x:v>0</x:v>
      </x:c>
      <x:c r="G26" s="10" t="n">
        <x:f>COUNTIFS(Test_Cases!F149,"PASS")+COUNTIFS(Test_Cases!F150,"PASS")+COUNTIFS(Test_Cases!F289,"PASS")+COUNTIFS(Test_Cases!F290,"PASS")+COUNTIFS(Test_Cases!F292,"PASS")+COUNTIFS(Test_Cases!F296,"PASS")</x:f>
        <x:v>0</x:v>
      </x:c>
      <x:c r="H26" s="10" t="n">
        <x:f>COUNTIFS(Test_Cases!F149,"FAIL")+COUNTIFS(Test_Cases!F150,"FAIL")+COUNTIFS(Test_Cases!F289,"FAIL")+COUNTIFS(Test_Cases!F290,"FAIL")+COUNTIFS(Test_Cases!F292,"FAIL")+COUNTIFS(Test_Cases!F296,"FAIL")</x:f>
        <x:v>0</x:v>
      </x:c>
      <x:c r="I26" s="10" t="str">
        <x:v>TC13-TRIP-028, TC13-TRIP-029, TC13-API-025, TC13-API-026, TC13-API-028, TC13-API-032</x:v>
      </x:c>
    </x:row>
    <x:row r="27" ht="38" customHeight="1">
      <x:c r="A27" s="9" t="str">
        <x:v>FR21</x:v>
      </x:c>
      <x:c r="B27" s="9" t="str">
        <x:v>Biểu giá và cước dự kiến</x:v>
      </x:c>
      <x:c r="C27" s="9" t="str">
        <x:v>MVP</x:v>
      </x:c>
      <x:c r="D27" s="9" t="n">
        <x:f>COUNTA(Test_Cases!A151,Test_Cases!A152,Test_Cases!A153,Test_Cases!A154,Test_Cases!A155,Test_Cases!A156,Test_Cases!A157,Test_Cases!A158,Test_Cases!A180,Test_Cases!A328,Test_Cases!A329)</x:f>
        <x:v>11</x:v>
      </x:c>
      <x:c r="E27" s="9" t="n">
        <x:f>COUNTIFS(Test_Cases!E151,"DEFINED")+COUNTIFS(Test_Cases!E152,"DEFINED")+COUNTIFS(Test_Cases!E153,"DEFINED")+COUNTIFS(Test_Cases!E154,"DEFINED")+COUNTIFS(Test_Cases!E155,"DEFINED")+COUNTIFS(Test_Cases!E156,"DEFINED")+COUNTIFS(Test_Cases!E157,"DEFINED")+COUNTIFS(Test_Cases!E158,"DEFINED")+COUNTIFS(Test_Cases!E180,"DEFINED")+COUNTIFS(Test_Cases!E328,"DEFINED")+COUNTIFS(Test_Cases!E329,"DEFINED")</x:f>
        <x:v>10</x:v>
      </x:c>
      <x:c r="F27" s="9" t="n">
        <x:f>COUNTIFS(Test_Cases!E151,"NEEDS_DECISION")+COUNTIFS(Test_Cases!E152,"NEEDS_DECISION")+COUNTIFS(Test_Cases!E153,"NEEDS_DECISION")+COUNTIFS(Test_Cases!E154,"NEEDS_DECISION")+COUNTIFS(Test_Cases!E155,"NEEDS_DECISION")+COUNTIFS(Test_Cases!E156,"NEEDS_DECISION")+COUNTIFS(Test_Cases!E157,"NEEDS_DECISION")+COUNTIFS(Test_Cases!E158,"NEEDS_DECISION")+COUNTIFS(Test_Cases!E180,"NEEDS_DECISION")+COUNTIFS(Test_Cases!E328,"NEEDS_DECISION")+COUNTIFS(Test_Cases!E329,"NEEDS_DECISION")</x:f>
        <x:v>1</x:v>
      </x:c>
      <x:c r="G27" s="9" t="n">
        <x:f>COUNTIFS(Test_Cases!F151,"PASS")+COUNTIFS(Test_Cases!F152,"PASS")+COUNTIFS(Test_Cases!F153,"PASS")+COUNTIFS(Test_Cases!F154,"PASS")+COUNTIFS(Test_Cases!F155,"PASS")+COUNTIFS(Test_Cases!F156,"PASS")+COUNTIFS(Test_Cases!F157,"PASS")+COUNTIFS(Test_Cases!F158,"PASS")+COUNTIFS(Test_Cases!F180,"PASS")+COUNTIFS(Test_Cases!F328,"PASS")+COUNTIFS(Test_Cases!F329,"PASS")</x:f>
        <x:v>0</x:v>
      </x:c>
      <x:c r="H27" s="9" t="n">
        <x:f>COUNTIFS(Test_Cases!F151,"FAIL")+COUNTIFS(Test_Cases!F152,"FAIL")+COUNTIFS(Test_Cases!F153,"FAIL")+COUNTIFS(Test_Cases!F154,"FAIL")+COUNTIFS(Test_Cases!F155,"FAIL")+COUNTIFS(Test_Cases!F156,"FAIL")+COUNTIFS(Test_Cases!F157,"FAIL")+COUNTIFS(Test_Cases!F158,"FAIL")+COUNTIFS(Test_Cases!F180,"FAIL")+COUNTIFS(Test_Cases!F328,"FAIL")+COUNTIFS(Test_Cases!F329,"FAIL")</x:f>
        <x:v>0</x:v>
      </x:c>
      <x:c r="I27" s="9" t="str">
        <x:v>TC13-PAY-001, TC13-PAY-002, TC13-PAY-003, TC13-PAY-004, TC13-PAY-005, TC13-PAY-006, TC13-PAY-007, TC13-PAY-008, TC13-PAY-030, TC13-API-064, TC13-API-065</x:v>
      </x:c>
    </x:row>
    <x:row r="28" ht="34" customHeight="1">
      <x:c r="A28" s="10" t="str">
        <x:v>FR22</x:v>
      </x:c>
      <x:c r="B28" s="10" t="str">
        <x:v>Báo cáo cơ bản</x:v>
      </x:c>
      <x:c r="C28" s="10" t="str">
        <x:v>OUT_OF_SCOPE</x:v>
      </x:c>
      <x:c r="D28" s="10" t="n">
        <x:f>COUNTA(Test_Cases!A261)</x:f>
        <x:v>1</x:v>
      </x:c>
      <x:c r="E28" s="10" t="n">
        <x:f>COUNTIFS(Test_Cases!E261,"DEFINED")</x:f>
        <x:v>0</x:v>
      </x:c>
      <x:c r="F28" s="10" t="n">
        <x:f>COUNTIFS(Test_Cases!E261,"NEEDS_DECISION")</x:f>
        <x:v>0</x:v>
      </x:c>
      <x:c r="G28" s="10" t="n">
        <x:f>COUNTIFS(Test_Cases!F261,"PASS")</x:f>
        <x:v>0</x:v>
      </x:c>
      <x:c r="H28" s="10" t="n">
        <x:f>COUNTIFS(Test_Cases!F261,"FAIL")</x:f>
        <x:v>0</x:v>
      </x:c>
      <x:c r="I28" s="10" t="str">
        <x:v>TC13-SCOPE-001</x:v>
      </x:c>
    </x:row>
    <x:row r="29" ht="66" customHeight="1">
      <x:c r="A29" s="9" t="str">
        <x:v>FR23</x:v>
      </x:c>
      <x:c r="B29" s="9" t="str">
        <x:v>Đăng ký tài xế qua OTP</x:v>
      </x:c>
      <x:c r="C29" s="9" t="str">
        <x:v>MVP</x:v>
      </x:c>
      <x:c r="D29" s="9" t="n">
        <x:f>COUNTA(Test_Cases!A37,Test_Cases!A38,Test_Cases!A39,Test_Cases!A40,Test_Cases!A41,Test_Cases!A42,Test_Cases!A43,Test_Cases!A44,Test_Cases!A45,Test_Cases!A46,Test_Cases!A47,Test_Cases!A48,Test_Cases!A49,Test_Cases!A50,Test_Cases!A51,Test_Cases!A52,Test_Cases!A53,Test_Cases!A54,Test_Cases!A55,Test_Cases!A270,Test_Cases!A271,Test_Cases!A307,Test_Cases!A308,Test_Cases!A334)</x:f>
        <x:v>24</x:v>
      </x:c>
      <x:c r="E29" s="9" t="n">
        <x:f>COUNTIFS(Test_Cases!E37,"DEFINED")+COUNTIFS(Test_Cases!E38,"DEFINED")+COUNTIFS(Test_Cases!E39,"DEFINED")+COUNTIFS(Test_Cases!E40,"DEFINED")+COUNTIFS(Test_Cases!E41,"DEFINED")+COUNTIFS(Test_Cases!E42,"DEFINED")+COUNTIFS(Test_Cases!E43,"DEFINED")+COUNTIFS(Test_Cases!E44,"DEFINED")+COUNTIFS(Test_Cases!E45,"DEFINED")+COUNTIFS(Test_Cases!E46,"DEFINED")+COUNTIFS(Test_Cases!E47,"DEFINED")+COUNTIFS(Test_Cases!E48,"DEFINED")+COUNTIFS(Test_Cases!E49,"DEFINED")+COUNTIFS(Test_Cases!E50,"DEFINED")+COUNTIFS(Test_Cases!E51,"DEFINED")+COUNTIFS(Test_Cases!E52,"DEFINED")+COUNTIFS(Test_Cases!E53,"DEFINED")+COUNTIFS(Test_Cases!E54,"DEFINED")+COUNTIFS(Test_Cases!E55,"DEFINED")+COUNTIFS(Test_Cases!E270,"DEFINED")+COUNTIFS(Test_Cases!E271,"DEFINED")+COUNTIFS(Test_Cases!E307,"DEFINED")+COUNTIFS(Test_Cases!E308,"DEFINED")+COUNTIFS(Test_Cases!E334,"DEFINED")</x:f>
        <x:v>18</x:v>
      </x:c>
      <x:c r="F29" s="9" t="n">
        <x:f>COUNTIFS(Test_Cases!E37,"NEEDS_DECISION")+COUNTIFS(Test_Cases!E38,"NEEDS_DECISION")+COUNTIFS(Test_Cases!E39,"NEEDS_DECISION")+COUNTIFS(Test_Cases!E40,"NEEDS_DECISION")+COUNTIFS(Test_Cases!E41,"NEEDS_DECISION")+COUNTIFS(Test_Cases!E42,"NEEDS_DECISION")+COUNTIFS(Test_Cases!E43,"NEEDS_DECISION")+COUNTIFS(Test_Cases!E44,"NEEDS_DECISION")+COUNTIFS(Test_Cases!E45,"NEEDS_DECISION")+COUNTIFS(Test_Cases!E46,"NEEDS_DECISION")+COUNTIFS(Test_Cases!E47,"NEEDS_DECISION")+COUNTIFS(Test_Cases!E48,"NEEDS_DECISION")+COUNTIFS(Test_Cases!E49,"NEEDS_DECISION")+COUNTIFS(Test_Cases!E50,"NEEDS_DECISION")+COUNTIFS(Test_Cases!E51,"NEEDS_DECISION")+COUNTIFS(Test_Cases!E52,"NEEDS_DECISION")+COUNTIFS(Test_Cases!E53,"NEEDS_DECISION")+COUNTIFS(Test_Cases!E54,"NEEDS_DECISION")+COUNTIFS(Test_Cases!E55,"NEEDS_DECISION")+COUNTIFS(Test_Cases!E270,"NEEDS_DECISION")+COUNTIFS(Test_Cases!E271,"NEEDS_DECISION")+COUNTIFS(Test_Cases!E307,"NEEDS_DECISION")+COUNTIFS(Test_Cases!E308,"NEEDS_DECISION")+COUNTIFS(Test_Cases!E334,"NEEDS_DECISION")</x:f>
        <x:v>6</x:v>
      </x:c>
      <x:c r="G29" s="9" t="n">
        <x:f>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50,"PASS")+COUNTIFS(Test_Cases!F51,"PASS")+COUNTIFS(Test_Cases!F52,"PASS")+COUNTIFS(Test_Cases!F53,"PASS")+COUNTIFS(Test_Cases!F54,"PASS")+COUNTIFS(Test_Cases!F55,"PASS")+COUNTIFS(Test_Cases!F270,"PASS")+COUNTIFS(Test_Cases!F271,"PASS")+COUNTIFS(Test_Cases!F307,"PASS")+COUNTIFS(Test_Cases!F308,"PASS")+COUNTIFS(Test_Cases!F334,"PASS")</x:f>
        <x:v>0</x:v>
      </x:c>
      <x:c r="H29" s="9" t="n">
        <x:f>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50,"FAIL")+COUNTIFS(Test_Cases!F51,"FAIL")+COUNTIFS(Test_Cases!F52,"FAIL")+COUNTIFS(Test_Cases!F53,"FAIL")+COUNTIFS(Test_Cases!F54,"FAIL")+COUNTIFS(Test_Cases!F55,"FAIL")+COUNTIFS(Test_Cases!F270,"FAIL")+COUNTIFS(Test_Cases!F271,"FAIL")+COUNTIFS(Test_Cases!F307,"FAIL")+COUNTIFS(Test_Cases!F308,"FAIL")+COUNTIFS(Test_Cases!F334,"FAIL")</x:f>
        <x:v>0</x:v>
      </x:c>
      <x:c r="I29" s="9" t="str">
        <x:v>TC13-OTP-001, TC13-OTP-002, TC13-OTP-003, TC13-OTP-004, TC13-OTP-005, TC13-OTP-006, TC13-OTP-007, TC13-OTP-008, TC13-OTP-009, TC13-OTP-010, TC13-OTP-011, TC13-OTP-012, TC13-OTP-013, TC13-FLEET-001, TC13-FLEET-002, TC13-FLEET-003, TC13-FLEET-004, TC13-FLEET-005, TC13-FLEET-006, TC13-API-006, TC13-API-007, TC13-API-043, TC13-API-044, TC13-API-070</x:v>
      </x:c>
    </x:row>
    <x:row r="30" ht="38" customHeight="1">
      <x:c r="A30" s="10" t="str">
        <x:v>FR24</x:v>
      </x:c>
      <x:c r="B30" s="10" t="str">
        <x:v>Tra cứu tài xế gần vị trí</x:v>
      </x:c>
      <x:c r="C30" s="10" t="str">
        <x:v>MVP</x:v>
      </x:c>
      <x:c r="D30" s="10" t="n">
        <x:f>COUNTA(Test_Cases!A102,Test_Cases!A103,Test_Cases!A104,Test_Cases!A105,Test_Cases!A106,Test_Cases!A107,Test_Cases!A108,Test_Cases!A282)</x:f>
        <x:v>8</x:v>
      </x:c>
      <x:c r="E30" s="10" t="n">
        <x:f>COUNTIFS(Test_Cases!E102,"DEFINED")+COUNTIFS(Test_Cases!E103,"DEFINED")+COUNTIFS(Test_Cases!E104,"DEFINED")+COUNTIFS(Test_Cases!E105,"DEFINED")+COUNTIFS(Test_Cases!E106,"DEFINED")+COUNTIFS(Test_Cases!E107,"DEFINED")+COUNTIFS(Test_Cases!E108,"DEFINED")+COUNTIFS(Test_Cases!E282,"DEFINED")</x:f>
        <x:v>5</x:v>
      </x:c>
      <x:c r="F30" s="10" t="n">
        <x:f>COUNTIFS(Test_Cases!E102,"NEEDS_DECISION")+COUNTIFS(Test_Cases!E103,"NEEDS_DECISION")+COUNTIFS(Test_Cases!E104,"NEEDS_DECISION")+COUNTIFS(Test_Cases!E105,"NEEDS_DECISION")+COUNTIFS(Test_Cases!E106,"NEEDS_DECISION")+COUNTIFS(Test_Cases!E107,"NEEDS_DECISION")+COUNTIFS(Test_Cases!E108,"NEEDS_DECISION")+COUNTIFS(Test_Cases!E282,"NEEDS_DECISION")</x:f>
        <x:v>3</x:v>
      </x:c>
      <x:c r="G30" s="10" t="n">
        <x:f>COUNTIFS(Test_Cases!F102,"PASS")+COUNTIFS(Test_Cases!F103,"PASS")+COUNTIFS(Test_Cases!F104,"PASS")+COUNTIFS(Test_Cases!F105,"PASS")+COUNTIFS(Test_Cases!F106,"PASS")+COUNTIFS(Test_Cases!F107,"PASS")+COUNTIFS(Test_Cases!F108,"PASS")+COUNTIFS(Test_Cases!F282,"PASS")</x:f>
        <x:v>0</x:v>
      </x:c>
      <x:c r="H30" s="10" t="n">
        <x:f>COUNTIFS(Test_Cases!F102,"FAIL")+COUNTIFS(Test_Cases!F103,"FAIL")+COUNTIFS(Test_Cases!F104,"FAIL")+COUNTIFS(Test_Cases!F105,"FAIL")+COUNTIFS(Test_Cases!F106,"FAIL")+COUNTIFS(Test_Cases!F107,"FAIL")+COUNTIFS(Test_Cases!F108,"FAIL")+COUNTIFS(Test_Cases!F282,"FAIL")</x:f>
        <x:v>0</x:v>
      </x:c>
      <x:c r="I30" s="10" t="str">
        <x:v>TC13-DISP-001, TC13-DISP-002, TC13-DISP-003, TC13-DISP-004, TC13-DISP-005, TC13-DISP-006, TC13-DISP-007, TC13-API-018</x:v>
      </x:c>
    </x:row>
    <x:row r="31" ht="34" customHeight="1">
      <x:c r="A31" s="9" t="str">
        <x:v>FR25</x:v>
      </x:c>
      <x:c r="B31" s="9" t="str">
        <x:v>Danh sách Booking của khách hàng</x:v>
      </x:c>
      <x:c r="C31" s="9" t="str">
        <x:v>MVP</x:v>
      </x:c>
      <x:c r="D31" s="9" t="n">
        <x:f>COUNTA(Test_Cases!A92,Test_Cases!A93,Test_Cases!A94,Test_Cases!A95,Test_Cases!A276)</x:f>
        <x:v>5</x:v>
      </x:c>
      <x:c r="E31" s="9" t="n">
        <x:f>COUNTIFS(Test_Cases!E92,"DEFINED")+COUNTIFS(Test_Cases!E93,"DEFINED")+COUNTIFS(Test_Cases!E94,"DEFINED")+COUNTIFS(Test_Cases!E95,"DEFINED")+COUNTIFS(Test_Cases!E276,"DEFINED")</x:f>
        <x:v>5</x:v>
      </x:c>
      <x:c r="F31" s="9" t="n">
        <x:f>COUNTIFS(Test_Cases!E92,"NEEDS_DECISION")+COUNTIFS(Test_Cases!E93,"NEEDS_DECISION")+COUNTIFS(Test_Cases!E94,"NEEDS_DECISION")+COUNTIFS(Test_Cases!E95,"NEEDS_DECISION")+COUNTIFS(Test_Cases!E276,"NEEDS_DECISION")</x:f>
        <x:v>0</x:v>
      </x:c>
      <x:c r="G31" s="9" t="n">
        <x:f>COUNTIFS(Test_Cases!F92,"PASS")+COUNTIFS(Test_Cases!F93,"PASS")+COUNTIFS(Test_Cases!F94,"PASS")+COUNTIFS(Test_Cases!F95,"PASS")+COUNTIFS(Test_Cases!F276,"PASS")</x:f>
        <x:v>0</x:v>
      </x:c>
      <x:c r="H31" s="9" t="n">
        <x:f>COUNTIFS(Test_Cases!F92,"FAIL")+COUNTIFS(Test_Cases!F93,"FAIL")+COUNTIFS(Test_Cases!F94,"FAIL")+COUNTIFS(Test_Cases!F95,"FAIL")+COUNTIFS(Test_Cases!F276,"FAIL")</x:f>
        <x:v>0</x:v>
      </x:c>
      <x:c r="I31" s="9" t="str">
        <x:v>TC13-BOOK-012, TC13-BOOK-013, TC13-BOOK-014, TC13-BOOK-015, TC13-API-012</x:v>
      </x:c>
    </x:row>
    <x:row r="32" ht="34" customHeight="1">
      <x:c r="A32" s="10" t="str">
        <x:v>FR26</x:v>
      </x:c>
      <x:c r="B32" s="10" t="str">
        <x:v>Tra cứu hồ sơ theo mã</x:v>
      </x:c>
      <x:c r="C32" s="10" t="str">
        <x:v>MVP</x:v>
      </x:c>
      <x:c r="D32" s="10" t="n">
        <x:f>COUNTA(Test_Cases!A31,Test_Cases!A32,Test_Cases!A33,Test_Cases!A77,Test_Cases!A274,Test_Cases!A317)</x:f>
        <x:v>6</x:v>
      </x:c>
      <x:c r="E32" s="10" t="n">
        <x:f>COUNTIFS(Test_Cases!E31,"DEFINED")+COUNTIFS(Test_Cases!E32,"DEFINED")+COUNTIFS(Test_Cases!E33,"DEFINED")+COUNTIFS(Test_Cases!E77,"DEFINED")+COUNTIFS(Test_Cases!E274,"DEFINED")+COUNTIFS(Test_Cases!E317,"DEFINED")</x:f>
        <x:v>6</x:v>
      </x:c>
      <x:c r="F32" s="10" t="n">
        <x:f>COUNTIFS(Test_Cases!E31,"NEEDS_DECISION")+COUNTIFS(Test_Cases!E32,"NEEDS_DECISION")+COUNTIFS(Test_Cases!E33,"NEEDS_DECISION")+COUNTIFS(Test_Cases!E77,"NEEDS_DECISION")+COUNTIFS(Test_Cases!E274,"NEEDS_DECISION")+COUNTIFS(Test_Cases!E317,"NEEDS_DECISION")</x:f>
        <x:v>0</x:v>
      </x:c>
      <x:c r="G32" s="10" t="n">
        <x:f>COUNTIFS(Test_Cases!F31,"PASS")+COUNTIFS(Test_Cases!F32,"PASS")+COUNTIFS(Test_Cases!F33,"PASS")+COUNTIFS(Test_Cases!F77,"PASS")+COUNTIFS(Test_Cases!F274,"PASS")+COUNTIFS(Test_Cases!F317,"PASS")</x:f>
        <x:v>0</x:v>
      </x:c>
      <x:c r="H32" s="10" t="n">
        <x:f>COUNTIFS(Test_Cases!F31,"FAIL")+COUNTIFS(Test_Cases!F32,"FAIL")+COUNTIFS(Test_Cases!F33,"FAIL")+COUNTIFS(Test_Cases!F77,"FAIL")+COUNTIFS(Test_Cases!F274,"FAIL")+COUNTIFS(Test_Cases!F317,"FAIL")</x:f>
        <x:v>0</x:v>
      </x:c>
      <x:c r="I32" s="10" t="str">
        <x:v>TC13-AUTH-025, TC13-AUTH-026, TC13-AUTH-027, TC13-FLEET-028, TC13-API-010, TC13-API-053</x:v>
      </x:c>
    </x:row>
    <x:row r="33" ht="38" customHeight="1">
      <x:c r="A33" s="9" t="str">
        <x:v>FR27</x:v>
      </x:c>
      <x:c r="B33" s="9" t="str">
        <x:v>Kiểm tra sức khỏe hệ thống</x:v>
      </x:c>
      <x:c r="C33" s="9" t="str">
        <x:v>MVP</x:v>
      </x:c>
      <x:c r="D33" s="9" t="n">
        <x:f>COUNTA(Test_Cases!A241,Test_Cases!A242,Test_Cases!A243,Test_Cases!A244,Test_Cases!A245,Test_Cases!A331,Test_Cases!A332,Test_Cases!A333)</x:f>
        <x:v>8</x:v>
      </x:c>
      <x:c r="E33" s="9" t="n">
        <x:f>COUNTIFS(Test_Cases!E241,"DEFINED")+COUNTIFS(Test_Cases!E242,"DEFINED")+COUNTIFS(Test_Cases!E243,"DEFINED")+COUNTIFS(Test_Cases!E244,"DEFINED")+COUNTIFS(Test_Cases!E245,"DEFINED")+COUNTIFS(Test_Cases!E331,"DEFINED")+COUNTIFS(Test_Cases!E332,"DEFINED")+COUNTIFS(Test_Cases!E333,"DEFINED")</x:f>
        <x:v>7</x:v>
      </x:c>
      <x:c r="F33" s="9" t="n">
        <x:f>COUNTIFS(Test_Cases!E241,"NEEDS_DECISION")+COUNTIFS(Test_Cases!E242,"NEEDS_DECISION")+COUNTIFS(Test_Cases!E243,"NEEDS_DECISION")+COUNTIFS(Test_Cases!E244,"NEEDS_DECISION")+COUNTIFS(Test_Cases!E245,"NEEDS_DECISION")+COUNTIFS(Test_Cases!E331,"NEEDS_DECISION")+COUNTIFS(Test_Cases!E332,"NEEDS_DECISION")+COUNTIFS(Test_Cases!E333,"NEEDS_DECISION")</x:f>
        <x:v>1</x:v>
      </x:c>
      <x:c r="G33" s="9" t="n">
        <x:f>COUNTIFS(Test_Cases!F241,"PASS")+COUNTIFS(Test_Cases!F242,"PASS")+COUNTIFS(Test_Cases!F243,"PASS")+COUNTIFS(Test_Cases!F244,"PASS")+COUNTIFS(Test_Cases!F245,"PASS")+COUNTIFS(Test_Cases!F331,"PASS")+COUNTIFS(Test_Cases!F332,"PASS")+COUNTIFS(Test_Cases!F333,"PASS")</x:f>
        <x:v>0</x:v>
      </x:c>
      <x:c r="H33" s="9" t="n">
        <x:f>COUNTIFS(Test_Cases!F241,"FAIL")+COUNTIFS(Test_Cases!F242,"FAIL")+COUNTIFS(Test_Cases!F243,"FAIL")+COUNTIFS(Test_Cases!F244,"FAIL")+COUNTIFS(Test_Cases!F245,"FAIL")+COUNTIFS(Test_Cases!F331,"FAIL")+COUNTIFS(Test_Cases!F332,"FAIL")+COUNTIFS(Test_Cases!F333,"FAIL")</x:f>
        <x:v>0</x:v>
      </x:c>
      <x:c r="I33" s="9" t="str">
        <x:v>TC13-INFRA-008, TC13-INFRA-009, TC13-INFRA-010, TC13-INFRA-011, TC13-INFRA-012, TC13-API-067, TC13-API-068, TC13-API-069</x:v>
      </x:c>
    </x:row>
    <x:row r="34" ht="178" customHeight="1">
      <x:c r="A34" s="10" t="str">
        <x:v>FR28</x:v>
      </x:c>
      <x:c r="B34" s="10" t="str">
        <x:v>Theo dõi kết quả và phục hồi thao tác liên dịch vụ</x:v>
      </x:c>
      <x:c r="C34" s="10" t="str">
        <x:v>MVP</x:v>
      </x:c>
      <x:c r="D34" s="10" t="n">
        <x:f>COUNTA(Test_Cases!A7,Test_Cases!A8,Test_Cases!A9,Test_Cases!A10,Test_Cases!A11,Test_Cases!A12,Test_Cases!A13,Test_Cases!A14,Test_Cases!A15,Test_Cases!A16,Test_Cases!A17,Test_Cases!A18,Test_Cases!A50,Test_Cases!A51,Test_Cases!A52,Test_Cases!A53,Test_Cases!A54,Test_Cases!A55,Test_Cases!A81,Test_Cases!A82,Test_Cases!A83,Test_Cases!A84,Test_Cases!A85,Test_Cases!A86,Test_Cases!A87,Test_Cases!A88,Test_Cases!A89,Test_Cases!A90,Test_Cases!A91,Test_Cases!A96,Test_Cases!A97,Test_Cases!A98,Test_Cases!A99,Test_Cases!A100,Test_Cases!A101,Test_Cases!A112,Test_Cases!A113,Test_Cases!A114,Test_Cases!A115,Test_Cases!A116,Test_Cases!A117,Test_Cases!A118,Test_Cases!A119,Test_Cases!A121,Test_Cases!A127,Test_Cases!A128,Test_Cases!A129,Test_Cases!A130,Test_Cases!A131,Test_Cases!A132,Test_Cases!A133,Test_Cases!A139,Test_Cases!A140,Test_Cases!A141,Test_Cases!A206,Test_Cases!A207,Test_Cases!A208,Test_Cases!A209,Test_Cases!A210,Test_Cases!A211,Test_Cases!A212,Test_Cases!A213,Test_Cases!A214,Test_Cases!A215,Test_Cases!A216,Test_Cases!A275,Test_Cases!A281,Test_Cases!A288,Test_Cases!A296,Test_Cases!A309,Test_Cases!A310,Test_Cases!A311,Test_Cases!A312,Test_Cases!A313,Test_Cases!A314,Test_Cases!A315,Test_Cases!A319,Test_Cases!A320,Test_Cases!A321,Test_Cases!A322,Test_Cases!A323,Test_Cases!A324,Test_Cases!A325,Test_Cases!A326,Test_Cases!A327,Test_Cases!A328,Test_Cases!A329,Test_Cases!A330,Test_Cases!A334,Test_Cases!A338)</x:f>
        <x:v>90</x:v>
      </x:c>
      <x:c r="E34" s="10"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50,"DEFINED")+COUNTIFS(Test_Cases!E51,"DEFINED")+COUNTIFS(Test_Cases!E52,"DEFINED")+COUNTIFS(Test_Cases!E53,"DEFINED")+COUNTIFS(Test_Cases!E54,"DEFINED")+COUNTIFS(Test_Cases!E55,"DEFINED")+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96,"DEFINED")+COUNTIFS(Test_Cases!E97,"DEFINED")+COUNTIFS(Test_Cases!E98,"DEFINED")+COUNTIFS(Test_Cases!E99,"DEFINED")+COUNTIFS(Test_Cases!E100,"DEFINED")+COUNTIFS(Test_Cases!E101,"DEFINED")+COUNTIFS(Test_Cases!E112,"DEFINED")+COUNTIFS(Test_Cases!E113,"DEFINED")+COUNTIFS(Test_Cases!E114,"DEFINED")+COUNTIFS(Test_Cases!E115,"DEFINED")+COUNTIFS(Test_Cases!E116,"DEFINED")+COUNTIFS(Test_Cases!E117,"DEFINED")+COUNTIFS(Test_Cases!E118,"DEFINED")+COUNTIFS(Test_Cases!E119,"DEFINED")+COUNTIFS(Test_Cases!E121,"DEFINED")+COUNTIFS(Test_Cases!E127,"DEFINED")+COUNTIFS(Test_Cases!E128,"DEFINED")+COUNTIFS(Test_Cases!E129,"DEFINED")+COUNTIFS(Test_Cases!E130,"DEFINED")+COUNTIFS(Test_Cases!E131,"DEFINED")+COUNTIFS(Test_Cases!E132,"DEFINED")+COUNTIFS(Test_Cases!E133,"DEFINED")+COUNTIFS(Test_Cases!E139,"DEFINED")+COUNTIFS(Test_Cases!E140,"DEFINED")+COUNTIFS(Test_Cases!E141,"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275,"DEFINED")+COUNTIFS(Test_Cases!E281,"DEFINED")+COUNTIFS(Test_Cases!E288,"DEFINED")+COUNTIFS(Test_Cases!E296,"DEFINED")+COUNTIFS(Test_Cases!E309,"DEFINED")+COUNTIFS(Test_Cases!E310,"DEFINED")+COUNTIFS(Test_Cases!E311,"DEFINED")+COUNTIFS(Test_Cases!E312,"DEFINED")+COUNTIFS(Test_Cases!E313,"DEFINED")+COUNTIFS(Test_Cases!E314,"DEFINED")+COUNTIFS(Test_Cases!E315,"DEFINED")+COUNTIFS(Test_Cases!E319,"DEFINED")+COUNTIFS(Test_Cases!E320,"DEFINED")+COUNTIFS(Test_Cases!E321,"DEFINED")+COUNTIFS(Test_Cases!E322,"DEFINED")+COUNTIFS(Test_Cases!E323,"DEFINED")+COUNTIFS(Test_Cases!E324,"DEFINED")+COUNTIFS(Test_Cases!E325,"DEFINED")+COUNTIFS(Test_Cases!E326,"DEFINED")+COUNTIFS(Test_Cases!E327,"DEFINED")+COUNTIFS(Test_Cases!E328,"DEFINED")+COUNTIFS(Test_Cases!E329,"DEFINED")+COUNTIFS(Test_Cases!E330,"DEFINED")+COUNTIFS(Test_Cases!E334,"DEFINED")+COUNTIFS(Test_Cases!E338,"DEFINED")</x:f>
        <x:v>66</x:v>
      </x:c>
      <x:c r="F34" s="10"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50,"NEEDS_DECISION")+COUNTIFS(Test_Cases!E51,"NEEDS_DECISION")+COUNTIFS(Test_Cases!E52,"NEEDS_DECISION")+COUNTIFS(Test_Cases!E53,"NEEDS_DECISION")+COUNTIFS(Test_Cases!E54,"NEEDS_DECISION")+COUNTIFS(Test_Cases!E55,"NEEDS_DECISION")+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96,"NEEDS_DECISION")+COUNTIFS(Test_Cases!E97,"NEEDS_DECISION")+COUNTIFS(Test_Cases!E98,"NEEDS_DECISION")+COUNTIFS(Test_Cases!E99,"NEEDS_DECISION")+COUNTIFS(Test_Cases!E100,"NEEDS_DECISION")+COUNTIFS(Test_Cases!E101,"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121,"NEEDS_DECISION")+COUNTIFS(Test_Cases!E127,"NEEDS_DECISION")+COUNTIFS(Test_Cases!E128,"NEEDS_DECISION")+COUNTIFS(Test_Cases!E129,"NEEDS_DECISION")+COUNTIFS(Test_Cases!E130,"NEEDS_DECISION")+COUNTIFS(Test_Cases!E131,"NEEDS_DECISION")+COUNTIFS(Test_Cases!E132,"NEEDS_DECISION")+COUNTIFS(Test_Cases!E133,"NEEDS_DECISION")+COUNTIFS(Test_Cases!E139,"NEEDS_DECISION")+COUNTIFS(Test_Cases!E140,"NEEDS_DECISION")+COUNTIFS(Test_Cases!E141,"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275,"NEEDS_DECISION")+COUNTIFS(Test_Cases!E281,"NEEDS_DECISION")+COUNTIFS(Test_Cases!E288,"NEEDS_DECISION")+COUNTIFS(Test_Cases!E296,"NEEDS_DECISION")+COUNTIFS(Test_Cases!E309,"NEEDS_DECISION")+COUNTIFS(Test_Cases!E310,"NEEDS_DECISION")+COUNTIFS(Test_Cases!E311,"NEEDS_DECISION")+COUNTIFS(Test_Cases!E312,"NEEDS_DECISION")+COUNTIFS(Test_Cases!E313,"NEEDS_DECISION")+COUNTIFS(Test_Cases!E314,"NEEDS_DECISION")+COUNTIFS(Test_Cases!E315,"NEEDS_DECISION")+COUNTIFS(Test_Cases!E319,"NEEDS_DECISION")+COUNTIFS(Test_Cases!E320,"NEEDS_DECISION")+COUNTIFS(Test_Cases!E321,"NEEDS_DECISION")+COUNTIFS(Test_Cases!E322,"NEEDS_DECISION")+COUNTIFS(Test_Cases!E323,"NEEDS_DECISION")+COUNTIFS(Test_Cases!E324,"NEEDS_DECISION")+COUNTIFS(Test_Cases!E325,"NEEDS_DECISION")+COUNTIFS(Test_Cases!E326,"NEEDS_DECISION")+COUNTIFS(Test_Cases!E327,"NEEDS_DECISION")+COUNTIFS(Test_Cases!E328,"NEEDS_DECISION")+COUNTIFS(Test_Cases!E329,"NEEDS_DECISION")+COUNTIFS(Test_Cases!E330,"NEEDS_DECISION")+COUNTIFS(Test_Cases!E334,"NEEDS_DECISION")+COUNTIFS(Test_Cases!E338,"NEEDS_DECISION")</x:f>
        <x:v>24</x:v>
      </x:c>
      <x:c r="G34" s="10"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50,"PASS")+COUNTIFS(Test_Cases!F51,"PASS")+COUNTIFS(Test_Cases!F52,"PASS")+COUNTIFS(Test_Cases!F53,"PASS")+COUNTIFS(Test_Cases!F54,"PASS")+COUNTIFS(Test_Cases!F55,"PASS")+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96,"PASS")+COUNTIFS(Test_Cases!F97,"PASS")+COUNTIFS(Test_Cases!F98,"PASS")+COUNTIFS(Test_Cases!F99,"PASS")+COUNTIFS(Test_Cases!F100,"PASS")+COUNTIFS(Test_Cases!F101,"PASS")+COUNTIFS(Test_Cases!F112,"PASS")+COUNTIFS(Test_Cases!F113,"PASS")+COUNTIFS(Test_Cases!F114,"PASS")+COUNTIFS(Test_Cases!F115,"PASS")+COUNTIFS(Test_Cases!F116,"PASS")+COUNTIFS(Test_Cases!F117,"PASS")+COUNTIFS(Test_Cases!F118,"PASS")+COUNTIFS(Test_Cases!F119,"PASS")+COUNTIFS(Test_Cases!F121,"PASS")+COUNTIFS(Test_Cases!F127,"PASS")+COUNTIFS(Test_Cases!F128,"PASS")+COUNTIFS(Test_Cases!F129,"PASS")+COUNTIFS(Test_Cases!F130,"PASS")+COUNTIFS(Test_Cases!F131,"PASS")+COUNTIFS(Test_Cases!F132,"PASS")+COUNTIFS(Test_Cases!F133,"PASS")+COUNTIFS(Test_Cases!F139,"PASS")+COUNTIFS(Test_Cases!F140,"PASS")+COUNTIFS(Test_Cases!F141,"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275,"PASS")+COUNTIFS(Test_Cases!F281,"PASS")+COUNTIFS(Test_Cases!F288,"PASS")+COUNTIFS(Test_Cases!F296,"PASS")+COUNTIFS(Test_Cases!F309,"PASS")+COUNTIFS(Test_Cases!F310,"PASS")+COUNTIFS(Test_Cases!F311,"PASS")+COUNTIFS(Test_Cases!F312,"PASS")+COUNTIFS(Test_Cases!F313,"PASS")+COUNTIFS(Test_Cases!F314,"PASS")+COUNTIFS(Test_Cases!F315,"PASS")+COUNTIFS(Test_Cases!F319,"PASS")+COUNTIFS(Test_Cases!F320,"PASS")+COUNTIFS(Test_Cases!F321,"PASS")+COUNTIFS(Test_Cases!F322,"PASS")+COUNTIFS(Test_Cases!F323,"PASS")+COUNTIFS(Test_Cases!F324,"PASS")+COUNTIFS(Test_Cases!F325,"PASS")+COUNTIFS(Test_Cases!F326,"PASS")+COUNTIFS(Test_Cases!F327,"PASS")+COUNTIFS(Test_Cases!F328,"PASS")+COUNTIFS(Test_Cases!F329,"PASS")+COUNTIFS(Test_Cases!F330,"PASS")+COUNTIFS(Test_Cases!F334,"PASS")+COUNTIFS(Test_Cases!F338,"PASS")</x:f>
        <x:v>0</x:v>
      </x:c>
      <x:c r="H34" s="10"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50,"FAIL")+COUNTIFS(Test_Cases!F51,"FAIL")+COUNTIFS(Test_Cases!F52,"FAIL")+COUNTIFS(Test_Cases!F53,"FAIL")+COUNTIFS(Test_Cases!F54,"FAIL")+COUNTIFS(Test_Cases!F55,"FAIL")+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96,"FAIL")+COUNTIFS(Test_Cases!F97,"FAIL")+COUNTIFS(Test_Cases!F98,"FAIL")+COUNTIFS(Test_Cases!F99,"FAIL")+COUNTIFS(Test_Cases!F100,"FAIL")+COUNTIFS(Test_Cases!F101,"FAIL")+COUNTIFS(Test_Cases!F112,"FAIL")+COUNTIFS(Test_Cases!F113,"FAIL")+COUNTIFS(Test_Cases!F114,"FAIL")+COUNTIFS(Test_Cases!F115,"FAIL")+COUNTIFS(Test_Cases!F116,"FAIL")+COUNTIFS(Test_Cases!F117,"FAIL")+COUNTIFS(Test_Cases!F118,"FAIL")+COUNTIFS(Test_Cases!F119,"FAIL")+COUNTIFS(Test_Cases!F121,"FAIL")+COUNTIFS(Test_Cases!F127,"FAIL")+COUNTIFS(Test_Cases!F128,"FAIL")+COUNTIFS(Test_Cases!F129,"FAIL")+COUNTIFS(Test_Cases!F130,"FAIL")+COUNTIFS(Test_Cases!F131,"FAIL")+COUNTIFS(Test_Cases!F132,"FAIL")+COUNTIFS(Test_Cases!F133,"FAIL")+COUNTIFS(Test_Cases!F139,"FAIL")+COUNTIFS(Test_Cases!F140,"FAIL")+COUNTIFS(Test_Cases!F141,"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275,"FAIL")+COUNTIFS(Test_Cases!F281,"FAIL")+COUNTIFS(Test_Cases!F288,"FAIL")+COUNTIFS(Test_Cases!F296,"FAIL")+COUNTIFS(Test_Cases!F309,"FAIL")+COUNTIFS(Test_Cases!F310,"FAIL")+COUNTIFS(Test_Cases!F311,"FAIL")+COUNTIFS(Test_Cases!F312,"FAIL")+COUNTIFS(Test_Cases!F313,"FAIL")+COUNTIFS(Test_Cases!F314,"FAIL")+COUNTIFS(Test_Cases!F315,"FAIL")+COUNTIFS(Test_Cases!F319,"FAIL")+COUNTIFS(Test_Cases!F320,"FAIL")+COUNTIFS(Test_Cases!F321,"FAIL")+COUNTIFS(Test_Cases!F322,"FAIL")+COUNTIFS(Test_Cases!F323,"FAIL")+COUNTIFS(Test_Cases!F324,"FAIL")+COUNTIFS(Test_Cases!F325,"FAIL")+COUNTIFS(Test_Cases!F326,"FAIL")+COUNTIFS(Test_Cases!F327,"FAIL")+COUNTIFS(Test_Cases!F328,"FAIL")+COUNTIFS(Test_Cases!F329,"FAIL")+COUNTIFS(Test_Cases!F330,"FAIL")+COUNTIFS(Test_Cases!F334,"FAIL")+COUNTIFS(Test_Cases!F338,"FAIL")</x:f>
        <x:v>0</x:v>
      </x:c>
      <x:c r="I34" s="10" t="str">
        <x:v>TC13-AUTH-001, TC13-AUTH-002, TC13-AUTH-003, TC13-AUTH-004, TC13-AUTH-005, TC13-AUTH-006, TC13-AUTH-007, TC13-AUTH-008, TC13-AUTH-009, TC13-AUTH-010, TC13-AUTH-011, TC13-AUTH-012, TC13-FLEET-001, TC13-FLEET-002, TC13-FLEET-003, TC13-FLEET-004, TC13-FLEET-005, TC13-FLEET-006, TC13-BOOK-001, TC13-BOOK-002, TC13-BOOK-003, TC13-BOOK-004, TC13-BOOK-005, TC13-BOOK-006, TC13-BOOK-007, TC13-BOOK-008, TC13-BOOK-009, TC13-BOOK-010, TC13-BOOK-011, TC13-BOOK-016, TC13-BOOK-017, TC13-BOOK-018, TC13-BOOK-019, TC13-BOOK-020, TC13-BOOK-021, TC13-DISP-011, TC13-DISP-012, TC13-DISP-013, TC13-DISP-014, TC13-DISP-015, TC13-DISP-016, TC13-DISP-017, TC13-DISP-018, TC13-DISP-020, TC13-TRIP-006, TC13-TRIP-007, TC13-TRIP-008, TC13-TRIP-009, TC13-TRIP-010, TC13-TRIP-011, TC13-TRIP-012, TC13-TRIP-018, TC13-TRIP-019, TC13-TRIP-020, TC13-SAGA-001, TC13-SAGA-002, TC13-SAGA-003, TC13-SAGA-004, TC13-SAGA-005, TC13-SAGA-006, TC13-SAGA-007, TC13-SAGA-008, TC13-SAGA-009, TC13-SAGA-010, TC13-SAGA-011, TC13-API-011, TC13-API-017, TC13-API-024, TC13-API-032, TC13-API-045, TC13-API-046, TC13-API-047, TC13-API-048, TC13-API-049, TC13-API-050, TC13-API-051, TC13-API-055, TC13-API-056, TC13-API-057, TC13-API-058, TC13-API-059, TC13-API-060, TC13-API-061, TC13-API-062, TC13-API-063, TC13-API-064, TC13-API-065, TC13-API-066, TC13-API-070, TC13-API-074</x:v>
      </x:c>
    </x:row>
    <x:row r="35" ht="52" customHeight="1">
      <x:c r="A35" s="9" t="str">
        <x:v>NFR01</x:v>
      </x:c>
      <x:c r="B35" s="9" t="str">
        <x:v>Với 50 người dùng đồng thời, dữ liệu 10.000 chuyến, bài thử 10 phút: mục tiêu 95% yêu cầu hồ sơ, tạo Booking, cập nhật/xem trạng thái phản hồi trong 1 giây; tỷ lệ lỗi ngoài dự kiến</x:v>
      </x:c>
      <x:c r="C35" s="9" t="str">
        <x:v>MVP</x:v>
      </x:c>
      <x:c r="D35" s="9" t="n">
        <x:f>COUNTA(Test_Cases!A258)</x:f>
        <x:v>1</x:v>
      </x:c>
      <x:c r="E35" s="9" t="n">
        <x:f>COUNTIFS(Test_Cases!E258,"DEFINED")</x:f>
        <x:v>0</x:v>
      </x:c>
      <x:c r="F35" s="9" t="n">
        <x:f>COUNTIFS(Test_Cases!E258,"NEEDS_DECISION")</x:f>
        <x:v>1</x:v>
      </x:c>
      <x:c r="G35" s="9" t="n">
        <x:f>COUNTIFS(Test_Cases!F258,"PASS")</x:f>
        <x:v>0</x:v>
      </x:c>
      <x:c r="H35" s="9" t="n">
        <x:f>COUNTIFS(Test_Cases!F258,"FAIL")</x:f>
        <x:v>0</x:v>
      </x:c>
      <x:c r="I35" s="9" t="str">
        <x:v>TC13-PERF-001</x:v>
      </x:c>
    </x:row>
    <x:row r="36" ht="108" customHeight="1">
      <x:c r="A36" s="10" t="str">
        <x:v>NFR02</x:v>
      </x:c>
      <x:c r="B36" s="10" t="str">
        <x:v>Tám MS Identity, Customer, Driver, Booking, Trip, Payment, Rating và Notification có tiến trình, quyền sở hữu dữ liệu và khả năng build/triển khai riêng khi giữ tương thích hợp đồn</x:v>
      </x:c>
      <x:c r="C36" s="10" t="str">
        <x:v>MVP</x:v>
      </x:c>
      <x:c r="D36" s="10" t="n">
        <x:f>COUNTA(Test_Cases!A66,Test_Cases!A67,Test_Cases!A68,Test_Cases!A69,Test_Cases!A70,Test_Cases!A71,Test_Cases!A72,Test_Cases!A73,Test_Cases!A74,Test_Cases!A75,Test_Cases!A76,Test_Cases!A102,Test_Cases!A103,Test_Cases!A104,Test_Cases!A105,Test_Cases!A106,Test_Cases!A107,Test_Cases!A108,Test_Cases!A112,Test_Cases!A113,Test_Cases!A114,Test_Cases!A115,Test_Cases!A116,Test_Cases!A117,Test_Cases!A118,Test_Cases!A119,Test_Cases!A127,Test_Cases!A128,Test_Cases!A129,Test_Cases!A130,Test_Cases!A131,Test_Cases!A132,Test_Cases!A133,Test_Cases!A206,Test_Cases!A207,Test_Cases!A208,Test_Cases!A209,Test_Cases!A210,Test_Cases!A211,Test_Cases!A212,Test_Cases!A213,Test_Cases!A214,Test_Cases!A215,Test_Cases!A216,Test_Cases!A234,Test_Cases!A240)</x:f>
        <x:v>46</x:v>
      </x:c>
      <x:c r="E36" s="10" t="n">
        <x:f>COUNTIFS(Test_Cases!E66,"DEFINED")+COUNTIFS(Test_Cases!E67,"DEFINED")+COUNTIFS(Test_Cases!E68,"DEFINED")+COUNTIFS(Test_Cases!E69,"DEFINED")+COUNTIFS(Test_Cases!E70,"DEFINED")+COUNTIFS(Test_Cases!E71,"DEFINED")+COUNTIFS(Test_Cases!E72,"DEFINED")+COUNTIFS(Test_Cases!E73,"DEFINED")+COUNTIFS(Test_Cases!E74,"DEFINED")+COUNTIFS(Test_Cases!E75,"DEFINED")+COUNTIFS(Test_Cases!E76,"DEFINED")+COUNTIFS(Test_Cases!E102,"DEFINED")+COUNTIFS(Test_Cases!E103,"DEFINED")+COUNTIFS(Test_Cases!E104,"DEFINED")+COUNTIFS(Test_Cases!E105,"DEFINED")+COUNTIFS(Test_Cases!E106,"DEFINED")+COUNTIFS(Test_Cases!E107,"DEFINED")+COUNTIFS(Test_Cases!E108,"DEFINED")+COUNTIFS(Test_Cases!E112,"DEFINED")+COUNTIFS(Test_Cases!E113,"DEFINED")+COUNTIFS(Test_Cases!E114,"DEFINED")+COUNTIFS(Test_Cases!E115,"DEFINED")+COUNTIFS(Test_Cases!E116,"DEFINED")+COUNTIFS(Test_Cases!E117,"DEFINED")+COUNTIFS(Test_Cases!E118,"DEFINED")+COUNTIFS(Test_Cases!E119,"DEFINED")+COUNTIFS(Test_Cases!E127,"DEFINED")+COUNTIFS(Test_Cases!E128,"DEFINED")+COUNTIFS(Test_Cases!E129,"DEFINED")+COUNTIFS(Test_Cases!E130,"DEFINED")+COUNTIFS(Test_Cases!E131,"DEFINED")+COUNTIFS(Test_Cases!E132,"DEFINED")+COUNTIFS(Test_Cases!E133,"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234,"DEFINED")+COUNTIFS(Test_Cases!E240,"DEFINED")</x:f>
        <x:v>30</x:v>
      </x:c>
      <x:c r="F36" s="10" t="n">
        <x:f>COUNTIFS(Test_Cases!E66,"NEEDS_DECISION")+COUNTIFS(Test_Cases!E67,"NEEDS_DECISION")+COUNTIFS(Test_Cases!E68,"NEEDS_DECISION")+COUNTIFS(Test_Cases!E69,"NEEDS_DECISION")+COUNTIFS(Test_Cases!E70,"NEEDS_DECISION")+COUNTIFS(Test_Cases!E71,"NEEDS_DECISION")+COUNTIFS(Test_Cases!E72,"NEEDS_DECISION")+COUNTIFS(Test_Cases!E73,"NEEDS_DECISION")+COUNTIFS(Test_Cases!E74,"NEEDS_DECISION")+COUNTIFS(Test_Cases!E75,"NEEDS_DECISION")+COUNTIFS(Test_Cases!E76,"NEEDS_DECISION")+COUNTIFS(Test_Cases!E102,"NEEDS_DECISION")+COUNTIFS(Test_Cases!E103,"NEEDS_DECISION")+COUNTIFS(Test_Cases!E104,"NEEDS_DECISION")+COUNTIFS(Test_Cases!E105,"NEEDS_DECISION")+COUNTIFS(Test_Cases!E106,"NEEDS_DECISION")+COUNTIFS(Test_Cases!E107,"NEEDS_DECISION")+COUNTIFS(Test_Cases!E108,"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127,"NEEDS_DECISION")+COUNTIFS(Test_Cases!E128,"NEEDS_DECISION")+COUNTIFS(Test_Cases!E129,"NEEDS_DECISION")+COUNTIFS(Test_Cases!E130,"NEEDS_DECISION")+COUNTIFS(Test_Cases!E131,"NEEDS_DECISION")+COUNTIFS(Test_Cases!E132,"NEEDS_DECISION")+COUNTIFS(Test_Cases!E133,"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234,"NEEDS_DECISION")+COUNTIFS(Test_Cases!E240,"NEEDS_DECISION")</x:f>
        <x:v>16</x:v>
      </x:c>
      <x:c r="G36" s="10" t="n">
        <x:f>COUNTIFS(Test_Cases!F66,"PASS")+COUNTIFS(Test_Cases!F67,"PASS")+COUNTIFS(Test_Cases!F68,"PASS")+COUNTIFS(Test_Cases!F69,"PASS")+COUNTIFS(Test_Cases!F70,"PASS")+COUNTIFS(Test_Cases!F71,"PASS")+COUNTIFS(Test_Cases!F72,"PASS")+COUNTIFS(Test_Cases!F73,"PASS")+COUNTIFS(Test_Cases!F74,"PASS")+COUNTIFS(Test_Cases!F75,"PASS")+COUNTIFS(Test_Cases!F76,"PASS")+COUNTIFS(Test_Cases!F102,"PASS")+COUNTIFS(Test_Cases!F103,"PASS")+COUNTIFS(Test_Cases!F104,"PASS")+COUNTIFS(Test_Cases!F105,"PASS")+COUNTIFS(Test_Cases!F106,"PASS")+COUNTIFS(Test_Cases!F107,"PASS")+COUNTIFS(Test_Cases!F108,"PASS")+COUNTIFS(Test_Cases!F112,"PASS")+COUNTIFS(Test_Cases!F113,"PASS")+COUNTIFS(Test_Cases!F114,"PASS")+COUNTIFS(Test_Cases!F115,"PASS")+COUNTIFS(Test_Cases!F116,"PASS")+COUNTIFS(Test_Cases!F117,"PASS")+COUNTIFS(Test_Cases!F118,"PASS")+COUNTIFS(Test_Cases!F119,"PASS")+COUNTIFS(Test_Cases!F127,"PASS")+COUNTIFS(Test_Cases!F128,"PASS")+COUNTIFS(Test_Cases!F129,"PASS")+COUNTIFS(Test_Cases!F130,"PASS")+COUNTIFS(Test_Cases!F131,"PASS")+COUNTIFS(Test_Cases!F132,"PASS")+COUNTIFS(Test_Cases!F133,"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234,"PASS")+COUNTIFS(Test_Cases!F240,"PASS")</x:f>
        <x:v>0</x:v>
      </x:c>
      <x:c r="H36" s="10" t="n">
        <x:f>COUNTIFS(Test_Cases!F66,"FAIL")+COUNTIFS(Test_Cases!F67,"FAIL")+COUNTIFS(Test_Cases!F68,"FAIL")+COUNTIFS(Test_Cases!F69,"FAIL")+COUNTIFS(Test_Cases!F70,"FAIL")+COUNTIFS(Test_Cases!F71,"FAIL")+COUNTIFS(Test_Cases!F72,"FAIL")+COUNTIFS(Test_Cases!F73,"FAIL")+COUNTIFS(Test_Cases!F74,"FAIL")+COUNTIFS(Test_Cases!F75,"FAIL")+COUNTIFS(Test_Cases!F76,"FAIL")+COUNTIFS(Test_Cases!F102,"FAIL")+COUNTIFS(Test_Cases!F103,"FAIL")+COUNTIFS(Test_Cases!F104,"FAIL")+COUNTIFS(Test_Cases!F105,"FAIL")+COUNTIFS(Test_Cases!F106,"FAIL")+COUNTIFS(Test_Cases!F107,"FAIL")+COUNTIFS(Test_Cases!F108,"FAIL")+COUNTIFS(Test_Cases!F112,"FAIL")+COUNTIFS(Test_Cases!F113,"FAIL")+COUNTIFS(Test_Cases!F114,"FAIL")+COUNTIFS(Test_Cases!F115,"FAIL")+COUNTIFS(Test_Cases!F116,"FAIL")+COUNTIFS(Test_Cases!F117,"FAIL")+COUNTIFS(Test_Cases!F118,"FAIL")+COUNTIFS(Test_Cases!F119,"FAIL")+COUNTIFS(Test_Cases!F127,"FAIL")+COUNTIFS(Test_Cases!F128,"FAIL")+COUNTIFS(Test_Cases!F129,"FAIL")+COUNTIFS(Test_Cases!F130,"FAIL")+COUNTIFS(Test_Cases!F131,"FAIL")+COUNTIFS(Test_Cases!F132,"FAIL")+COUNTIFS(Test_Cases!F133,"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234,"FAIL")+COUNTIFS(Test_Cases!F240,"FAIL")</x:f>
        <x:v>0</x:v>
      </x:c>
      <x:c r="I36" s="10" t="str">
        <x:v>TC13-FLEET-017, TC13-FLEET-018, TC13-FLEET-019, TC13-FLEET-020, TC13-FLEET-021, TC13-FLEET-022, TC13-FLEET-023, TC13-FLEET-024, TC13-FLEET-025, TC13-FLEET-026, TC13-FLEET-027, TC13-DISP-001, TC13-DISP-002, TC13-DISP-003, TC13-DISP-004, TC13-DISP-005, TC13-DISP-006, TC13-DISP-007, TC13-DISP-011, TC13-DISP-012, TC13-DISP-013, TC13-DISP-014, TC13-DISP-015, TC13-DISP-016, TC13-DISP-017, TC13-DISP-018, TC13-TRIP-006, TC13-TRIP-007, TC13-TRIP-008, TC13-TRIP-009, TC13-TRIP-010, TC13-TRIP-011, TC13-TRIP-012, TC13-SAGA-001, TC13-SAGA-002, TC13-SAGA-003, TC13-SAGA-004, TC13-SAGA-005, TC13-SAGA-006, TC13-SAGA-007, TC13-SAGA-008, TC13-SAGA-009, TC13-SAGA-010, TC13-SAGA-011, TC13-INFRA-001, TC13-INFRA-007</x:v>
      </x:c>
    </x:row>
    <x:row r="37" ht="248" customHeight="1">
      <x:c r="A37" s="9" t="str">
        <x:v>NFR03</x:v>
      </x:c>
      <x:c r="B37" s="9" t="str">
        <x:v>Sau restart không mất kết quả đã xác nhận; retry không tạo Booking, hồ sơ, Trip, Rating, thông báo hoặc thanh toán trùng. Saga lưu bước đã hoàn tất; mất phản hồi được tra cứu trước</x:v>
      </x:c>
      <x:c r="C37" s="9" t="str">
        <x:v>MVP</x:v>
      </x:c>
      <x:c r="D37" s="9" t="n">
        <x:f>COUNTA(Test_Cases!A7,Test_Cases!A8,Test_Cases!A9,Test_Cases!A10,Test_Cases!A11,Test_Cases!A12,Test_Cases!A13,Test_Cases!A14,Test_Cases!A15,Test_Cases!A16,Test_Cases!A17,Test_Cases!A18,Test_Cases!A50,Test_Cases!A51,Test_Cases!A52,Test_Cases!A53,Test_Cases!A54,Test_Cases!A55,Test_Cases!A56,Test_Cases!A57,Test_Cases!A58,Test_Cases!A59,Test_Cases!A60,Test_Cases!A61,Test_Cases!A62,Test_Cases!A63,Test_Cases!A64,Test_Cases!A65,Test_Cases!A81,Test_Cases!A82,Test_Cases!A83,Test_Cases!A84,Test_Cases!A85,Test_Cases!A86,Test_Cases!A87,Test_Cases!A88,Test_Cases!A89,Test_Cases!A90,Test_Cases!A91,Test_Cases!A96,Test_Cases!A97,Test_Cases!A98,Test_Cases!A99,Test_Cases!A100,Test_Cases!A109,Test_Cases!A110,Test_Cases!A111,Test_Cases!A112,Test_Cases!A113,Test_Cases!A114,Test_Cases!A115,Test_Cases!A116,Test_Cases!A117,Test_Cases!A118,Test_Cases!A119,Test_Cases!A120,Test_Cases!A122,Test_Cases!A123,Test_Cases!A124,Test_Cases!A125,Test_Cases!A126,Test_Cases!A134,Test_Cases!A135,Test_Cases!A136,Test_Cases!A137,Test_Cases!A138,Test_Cases!A139,Test_Cases!A140,Test_Cases!A141,Test_Cases!A142,Test_Cases!A143,Test_Cases!A144,Test_Cases!A145,Test_Cases!A151,Test_Cases!A152,Test_Cases!A153,Test_Cases!A154,Test_Cases!A155,Test_Cases!A156,Test_Cases!A157,Test_Cases!A158,Test_Cases!A159,Test_Cases!A160,Test_Cases!A161,Test_Cases!A162,Test_Cases!A163,Test_Cases!A164,Test_Cases!A165,Test_Cases!A166,Test_Cases!A167,Test_Cases!A168,Test_Cases!A169,Test_Cases!A174,Test_Cases!A175,Test_Cases!A176,Test_Cases!A177,Test_Cases!A178,Test_Cases!A179,Test_Cases!A181,Test_Cases!A182,Test_Cases!A183,Test_Cases!A184,Test_Cases!A185,Test_Cases!A186,Test_Cases!A191,Test_Cases!A192,Test_Cases!A193,Test_Cases!A194,Test_Cases!A206,Test_Cases!A207,Test_Cases!A208,Test_Cases!A209,Test_Cases!A210,Test_Cases!A211,Test_Cases!A212,Test_Cases!A213,Test_Cases!A214,Test_Cases!A215,Test_Cases!A216,Test_Cases!A246,Test_Cases!A247,Test_Cases!A248,Test_Cases!A249,Test_Cases!A250,Test_Cases!A251)</x:f>
        <x:v>125</x:v>
      </x:c>
      <x:c r="E37" s="9"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50,"DEFINED")+COUNTIFS(Test_Cases!E51,"DEFINED")+COUNTIFS(Test_Cases!E52,"DEFINED")+COUNTIFS(Test_Cases!E53,"DEFINED")+COUNTIFS(Test_Cases!E54,"DEFINED")+COUNTIFS(Test_Cases!E55,"DEFINED")+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96,"DEFINED")+COUNTIFS(Test_Cases!E97,"DEFINED")+COUNTIFS(Test_Cases!E98,"DEFINED")+COUNTIFS(Test_Cases!E99,"DEFINED")+COUNTIFS(Test_Cases!E100,"DEFINED")+COUNTIFS(Test_Cases!E109,"DEFINED")+COUNTIFS(Test_Cases!E110,"DEFINED")+COUNTIFS(Test_Cases!E111,"DEFINED")+COUNTIFS(Test_Cases!E112,"DEFINED")+COUNTIFS(Test_Cases!E113,"DEFINED")+COUNTIFS(Test_Cases!E114,"DEFINED")+COUNTIFS(Test_Cases!E115,"DEFINED")+COUNTIFS(Test_Cases!E116,"DEFINED")+COUNTIFS(Test_Cases!E117,"DEFINED")+COUNTIFS(Test_Cases!E118,"DEFINED")+COUNTIFS(Test_Cases!E119,"DEFINED")+COUNTIFS(Test_Cases!E120,"DEFINED")+COUNTIFS(Test_Cases!E122,"DEFINED")+COUNTIFS(Test_Cases!E123,"DEFINED")+COUNTIFS(Test_Cases!E124,"DEFINED")+COUNTIFS(Test_Cases!E125,"DEFINED")+COUNTIFS(Test_Cases!E126,"DEFINED")+COUNTIFS(Test_Cases!E134,"DEFINED")+COUNTIFS(Test_Cases!E135,"DEFINED")+COUNTIFS(Test_Cases!E136,"DEFINED")+COUNTIFS(Test_Cases!E137,"DEFINED")+COUNTIFS(Test_Cases!E138,"DEFINED")+COUNTIFS(Test_Cases!E139,"DEFINED")+COUNTIFS(Test_Cases!E140,"DEFINED")+COUNTIFS(Test_Cases!E141,"DEFINED")+COUNTIFS(Test_Cases!E142,"DEFINED")+COUNTIFS(Test_Cases!E143,"DEFINED")+COUNTIFS(Test_Cases!E144,"DEFINED")+COUNTIFS(Test_Cases!E145,"DEFINED")+COUNTIFS(Test_Cases!E151,"DEFINED")+COUNTIFS(Test_Cases!E152,"DEFINED")+COUNTIFS(Test_Cases!E153,"DEFINED")+COUNTIFS(Test_Cases!E154,"DEFINED")+COUNTIFS(Test_Cases!E155,"DEFINED")+COUNTIFS(Test_Cases!E156,"DEFINED")+COUNTIFS(Test_Cases!E157,"DEFINED")+COUNTIFS(Test_Cases!E158,"DEFINED")+COUNTIFS(Test_Cases!E159,"DEFINED")+COUNTIFS(Test_Cases!E160,"DEFINED")+COUNTIFS(Test_Cases!E161,"DEFINED")+COUNTIFS(Test_Cases!E162,"DEFINED")+COUNTIFS(Test_Cases!E163,"DEFINED")+COUNTIFS(Test_Cases!E164,"DEFINED")+COUNTIFS(Test_Cases!E165,"DEFINED")+COUNTIFS(Test_Cases!E166,"DEFINED")+COUNTIFS(Test_Cases!E167,"DEFINED")+COUNTIFS(Test_Cases!E168,"DEFINED")+COUNTIFS(Test_Cases!E169,"DEFINED")+COUNTIFS(Test_Cases!E174,"DEFINED")+COUNTIFS(Test_Cases!E175,"DEFINED")+COUNTIFS(Test_Cases!E176,"DEFINED")+COUNTIFS(Test_Cases!E177,"DEFINED")+COUNTIFS(Test_Cases!E178,"DEFINED")+COUNTIFS(Test_Cases!E179,"DEFINED")+COUNTIFS(Test_Cases!E181,"DEFINED")+COUNTIFS(Test_Cases!E182,"DEFINED")+COUNTIFS(Test_Cases!E183,"DEFINED")+COUNTIFS(Test_Cases!E184,"DEFINED")+COUNTIFS(Test_Cases!E185,"DEFINED")+COUNTIFS(Test_Cases!E186,"DEFINED")+COUNTIFS(Test_Cases!E191,"DEFINED")+COUNTIFS(Test_Cases!E192,"DEFINED")+COUNTIFS(Test_Cases!E193,"DEFINED")+COUNTIFS(Test_Cases!E194,"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246,"DEFINED")+COUNTIFS(Test_Cases!E247,"DEFINED")+COUNTIFS(Test_Cases!E248,"DEFINED")+COUNTIFS(Test_Cases!E249,"DEFINED")+COUNTIFS(Test_Cases!E250,"DEFINED")+COUNTIFS(Test_Cases!E251,"DEFINED")</x:f>
        <x:v>89</x:v>
      </x:c>
      <x:c r="F37" s="9"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50,"NEEDS_DECISION")+COUNTIFS(Test_Cases!E51,"NEEDS_DECISION")+COUNTIFS(Test_Cases!E52,"NEEDS_DECISION")+COUNTIFS(Test_Cases!E53,"NEEDS_DECISION")+COUNTIFS(Test_Cases!E54,"NEEDS_DECISION")+COUNTIFS(Test_Cases!E55,"NEEDS_DECISION")+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96,"NEEDS_DECISION")+COUNTIFS(Test_Cases!E97,"NEEDS_DECISION")+COUNTIFS(Test_Cases!E98,"NEEDS_DECISION")+COUNTIFS(Test_Cases!E99,"NEEDS_DECISION")+COUNTIFS(Test_Cases!E100,"NEEDS_DECISION")+COUNTIFS(Test_Cases!E109,"NEEDS_DECISION")+COUNTIFS(Test_Cases!E110,"NEEDS_DECISION")+COUNTIFS(Test_Cases!E111,"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120,"NEEDS_DECISION")+COUNTIFS(Test_Cases!E122,"NEEDS_DECISION")+COUNTIFS(Test_Cases!E123,"NEEDS_DECISION")+COUNTIFS(Test_Cases!E124,"NEEDS_DECISION")+COUNTIFS(Test_Cases!E125,"NEEDS_DECISION")+COUNTIFS(Test_Cases!E126,"NEEDS_DECISION")+COUNTIFS(Test_Cases!E134,"NEEDS_DECISION")+COUNTIFS(Test_Cases!E135,"NEEDS_DECISION")+COUNTIFS(Test_Cases!E136,"NEEDS_DECISION")+COUNTIFS(Test_Cases!E137,"NEEDS_DECISION")+COUNTIFS(Test_Cases!E138,"NEEDS_DECISION")+COUNTIFS(Test_Cases!E139,"NEEDS_DECISION")+COUNTIFS(Test_Cases!E140,"NEEDS_DECISION")+COUNTIFS(Test_Cases!E141,"NEEDS_DECISION")+COUNTIFS(Test_Cases!E142,"NEEDS_DECISION")+COUNTIFS(Test_Cases!E143,"NEEDS_DECISION")+COUNTIFS(Test_Cases!E144,"NEEDS_DECISION")+COUNTIFS(Test_Cases!E145,"NEEDS_DECISION")+COUNTIFS(Test_Cases!E151,"NEEDS_DECISION")+COUNTIFS(Test_Cases!E152,"NEEDS_DECISION")+COUNTIFS(Test_Cases!E153,"NEEDS_DECISION")+COUNTIFS(Test_Cases!E154,"NEEDS_DECISION")+COUNTIFS(Test_Cases!E155,"NEEDS_DECISION")+COUNTIFS(Test_Cases!E156,"NEEDS_DECISION")+COUNTIFS(Test_Cases!E157,"NEEDS_DECISION")+COUNTIFS(Test_Cases!E158,"NEEDS_DECISION")+COUNTIFS(Test_Cases!E159,"NEEDS_DECISION")+COUNTIFS(Test_Cases!E160,"NEEDS_DECISION")+COUNTIFS(Test_Cases!E161,"NEEDS_DECISION")+COUNTIFS(Test_Cases!E162,"NEEDS_DECISION")+COUNTIFS(Test_Cases!E163,"NEEDS_DECISION")+COUNTIFS(Test_Cases!E164,"NEEDS_DECISION")+COUNTIFS(Test_Cases!E165,"NEEDS_DECISION")+COUNTIFS(Test_Cases!E166,"NEEDS_DECISION")+COUNTIFS(Test_Cases!E167,"NEEDS_DECISION")+COUNTIFS(Test_Cases!E168,"NEEDS_DECISION")+COUNTIFS(Test_Cases!E169,"NEEDS_DECISION")+COUNTIFS(Test_Cases!E174,"NEEDS_DECISION")+COUNTIFS(Test_Cases!E175,"NEEDS_DECISION")+COUNTIFS(Test_Cases!E176,"NEEDS_DECISION")+COUNTIFS(Test_Cases!E177,"NEEDS_DECISION")+COUNTIFS(Test_Cases!E178,"NEEDS_DECISION")+COUNTIFS(Test_Cases!E179,"NEEDS_DECISION")+COUNTIFS(Test_Cases!E181,"NEEDS_DECISION")+COUNTIFS(Test_Cases!E182,"NEEDS_DECISION")+COUNTIFS(Test_Cases!E183,"NEEDS_DECISION")+COUNTIFS(Test_Cases!E184,"NEEDS_DECISION")+COUNTIFS(Test_Cases!E185,"NEEDS_DECISION")+COUNTIFS(Test_Cases!E186,"NEEDS_DECISION")+COUNTIFS(Test_Cases!E191,"NEEDS_DECISION")+COUNTIFS(Test_Cases!E192,"NEEDS_DECISION")+COUNTIFS(Test_Cases!E193,"NEEDS_DECISION")+COUNTIFS(Test_Cases!E194,"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246,"NEEDS_DECISION")+COUNTIFS(Test_Cases!E247,"NEEDS_DECISION")+COUNTIFS(Test_Cases!E248,"NEEDS_DECISION")+COUNTIFS(Test_Cases!E249,"NEEDS_DECISION")+COUNTIFS(Test_Cases!E250,"NEEDS_DECISION")+COUNTIFS(Test_Cases!E251,"NEEDS_DECISION")</x:f>
        <x:v>36</x:v>
      </x:c>
      <x:c r="G37" s="9"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50,"PASS")+COUNTIFS(Test_Cases!F51,"PASS")+COUNTIFS(Test_Cases!F52,"PASS")+COUNTIFS(Test_Cases!F53,"PASS")+COUNTIFS(Test_Cases!F54,"PASS")+COUNTIFS(Test_Cases!F55,"PASS")+COUNTIFS(Test_Cases!F56,"PASS")+COUNTIFS(Test_Cases!F57,"PASS")+COUNTIFS(Test_Cases!F58,"PASS")+COUNTIFS(Test_Cases!F59,"PASS")+COUNTIFS(Test_Cases!F60,"PASS")+COUNTIFS(Test_Cases!F61,"PASS")+COUNTIFS(Test_Cases!F62,"PASS")+COUNTIFS(Test_Cases!F63,"PASS")+COUNTIFS(Test_Cases!F64,"PASS")+COUNTIFS(Test_Cases!F65,"PASS")+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96,"PASS")+COUNTIFS(Test_Cases!F97,"PASS")+COUNTIFS(Test_Cases!F98,"PASS")+COUNTIFS(Test_Cases!F99,"PASS")+COUNTIFS(Test_Cases!F100,"PASS")+COUNTIFS(Test_Cases!F109,"PASS")+COUNTIFS(Test_Cases!F110,"PASS")+COUNTIFS(Test_Cases!F111,"PASS")+COUNTIFS(Test_Cases!F112,"PASS")+COUNTIFS(Test_Cases!F113,"PASS")+COUNTIFS(Test_Cases!F114,"PASS")+COUNTIFS(Test_Cases!F115,"PASS")+COUNTIFS(Test_Cases!F116,"PASS")+COUNTIFS(Test_Cases!F117,"PASS")+COUNTIFS(Test_Cases!F118,"PASS")+COUNTIFS(Test_Cases!F119,"PASS")+COUNTIFS(Test_Cases!F120,"PASS")+COUNTIFS(Test_Cases!F122,"PASS")+COUNTIFS(Test_Cases!F123,"PASS")+COUNTIFS(Test_Cases!F124,"PASS")+COUNTIFS(Test_Cases!F125,"PASS")+COUNTIFS(Test_Cases!F126,"PASS")+COUNTIFS(Test_Cases!F134,"PASS")+COUNTIFS(Test_Cases!F135,"PASS")+COUNTIFS(Test_Cases!F136,"PASS")+COUNTIFS(Test_Cases!F137,"PASS")+COUNTIFS(Test_Cases!F138,"PASS")+COUNTIFS(Test_Cases!F139,"PASS")+COUNTIFS(Test_Cases!F140,"PASS")+COUNTIFS(Test_Cases!F141,"PASS")+COUNTIFS(Test_Cases!F142,"PASS")+COUNTIFS(Test_Cases!F143,"PASS")+COUNTIFS(Test_Cases!F144,"PASS")+COUNTIFS(Test_Cases!F145,"PASS")+COUNTIFS(Test_Cases!F151,"PASS")+COUNTIFS(Test_Cases!F152,"PASS")+COUNTIFS(Test_Cases!F153,"PASS")+COUNTIFS(Test_Cases!F154,"PASS")+COUNTIFS(Test_Cases!F155,"PASS")+COUNTIFS(Test_Cases!F156,"PASS")+COUNTIFS(Test_Cases!F157,"PASS")+COUNTIFS(Test_Cases!F158,"PASS")+COUNTIFS(Test_Cases!F159,"PASS")+COUNTIFS(Test_Cases!F160,"PASS")+COUNTIFS(Test_Cases!F161,"PASS")+COUNTIFS(Test_Cases!F162,"PASS")+COUNTIFS(Test_Cases!F163,"PASS")+COUNTIFS(Test_Cases!F164,"PASS")+COUNTIFS(Test_Cases!F165,"PASS")+COUNTIFS(Test_Cases!F166,"PASS")+COUNTIFS(Test_Cases!F167,"PASS")+COUNTIFS(Test_Cases!F168,"PASS")+COUNTIFS(Test_Cases!F169,"PASS")+COUNTIFS(Test_Cases!F174,"PASS")+COUNTIFS(Test_Cases!F175,"PASS")+COUNTIFS(Test_Cases!F176,"PASS")+COUNTIFS(Test_Cases!F177,"PASS")+COUNTIFS(Test_Cases!F178,"PASS")+COUNTIFS(Test_Cases!F179,"PASS")+COUNTIFS(Test_Cases!F181,"PASS")+COUNTIFS(Test_Cases!F182,"PASS")+COUNTIFS(Test_Cases!F183,"PASS")+COUNTIFS(Test_Cases!F184,"PASS")+COUNTIFS(Test_Cases!F185,"PASS")+COUNTIFS(Test_Cases!F186,"PASS")+COUNTIFS(Test_Cases!F191,"PASS")+COUNTIFS(Test_Cases!F192,"PASS")+COUNTIFS(Test_Cases!F193,"PASS")+COUNTIFS(Test_Cases!F194,"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246,"PASS")+COUNTIFS(Test_Cases!F247,"PASS")+COUNTIFS(Test_Cases!F248,"PASS")+COUNTIFS(Test_Cases!F249,"PASS")+COUNTIFS(Test_Cases!F250,"PASS")+COUNTIFS(Test_Cases!F251,"PASS")</x:f>
        <x:v>0</x:v>
      </x:c>
      <x:c r="H37" s="9"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50,"FAIL")+COUNTIFS(Test_Cases!F51,"FAIL")+COUNTIFS(Test_Cases!F52,"FAIL")+COUNTIFS(Test_Cases!F53,"FAIL")+COUNTIFS(Test_Cases!F54,"FAIL")+COUNTIFS(Test_Cases!F55,"FAIL")+COUNTIFS(Test_Cases!F56,"FAIL")+COUNTIFS(Test_Cases!F57,"FAIL")+COUNTIFS(Test_Cases!F58,"FAIL")+COUNTIFS(Test_Cases!F59,"FAIL")+COUNTIFS(Test_Cases!F60,"FAIL")+COUNTIFS(Test_Cases!F61,"FAIL")+COUNTIFS(Test_Cases!F62,"FAIL")+COUNTIFS(Test_Cases!F63,"FAIL")+COUNTIFS(Test_Cases!F64,"FAIL")+COUNTIFS(Test_Cases!F65,"FAIL")+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96,"FAIL")+COUNTIFS(Test_Cases!F97,"FAIL")+COUNTIFS(Test_Cases!F98,"FAIL")+COUNTIFS(Test_Cases!F99,"FAIL")+COUNTIFS(Test_Cases!F100,"FAIL")+COUNTIFS(Test_Cases!F109,"FAIL")+COUNTIFS(Test_Cases!F110,"FAIL")+COUNTIFS(Test_Cases!F111,"FAIL")+COUNTIFS(Test_Cases!F112,"FAIL")+COUNTIFS(Test_Cases!F113,"FAIL")+COUNTIFS(Test_Cases!F114,"FAIL")+COUNTIFS(Test_Cases!F115,"FAIL")+COUNTIFS(Test_Cases!F116,"FAIL")+COUNTIFS(Test_Cases!F117,"FAIL")+COUNTIFS(Test_Cases!F118,"FAIL")+COUNTIFS(Test_Cases!F119,"FAIL")+COUNTIFS(Test_Cases!F120,"FAIL")+COUNTIFS(Test_Cases!F122,"FAIL")+COUNTIFS(Test_Cases!F123,"FAIL")+COUNTIFS(Test_Cases!F124,"FAIL")+COUNTIFS(Test_Cases!F125,"FAIL")+COUNTIFS(Test_Cases!F126,"FAIL")+COUNTIFS(Test_Cases!F134,"FAIL")+COUNTIFS(Test_Cases!F135,"FAIL")+COUNTIFS(Test_Cases!F136,"FAIL")+COUNTIFS(Test_Cases!F137,"FAIL")+COUNTIFS(Test_Cases!F138,"FAIL")+COUNTIFS(Test_Cases!F139,"FAIL")+COUNTIFS(Test_Cases!F140,"FAIL")+COUNTIFS(Test_Cases!F141,"FAIL")+COUNTIFS(Test_Cases!F142,"FAIL")+COUNTIFS(Test_Cases!F143,"FAIL")+COUNTIFS(Test_Cases!F144,"FAIL")+COUNTIFS(Test_Cases!F145,"FAIL")+COUNTIFS(Test_Cases!F151,"FAIL")+COUNTIFS(Test_Cases!F152,"FAIL")+COUNTIFS(Test_Cases!F153,"FAIL")+COUNTIFS(Test_Cases!F154,"FAIL")+COUNTIFS(Test_Cases!F155,"FAIL")+COUNTIFS(Test_Cases!F156,"FAIL")+COUNTIFS(Test_Cases!F157,"FAIL")+COUNTIFS(Test_Cases!F158,"FAIL")+COUNTIFS(Test_Cases!F159,"FAIL")+COUNTIFS(Test_Cases!F160,"FAIL")+COUNTIFS(Test_Cases!F161,"FAIL")+COUNTIFS(Test_Cases!F162,"FAIL")+COUNTIFS(Test_Cases!F163,"FAIL")+COUNTIFS(Test_Cases!F164,"FAIL")+COUNTIFS(Test_Cases!F165,"FAIL")+COUNTIFS(Test_Cases!F166,"FAIL")+COUNTIFS(Test_Cases!F167,"FAIL")+COUNTIFS(Test_Cases!F168,"FAIL")+COUNTIFS(Test_Cases!F169,"FAIL")+COUNTIFS(Test_Cases!F174,"FAIL")+COUNTIFS(Test_Cases!F175,"FAIL")+COUNTIFS(Test_Cases!F176,"FAIL")+COUNTIFS(Test_Cases!F177,"FAIL")+COUNTIFS(Test_Cases!F178,"FAIL")+COUNTIFS(Test_Cases!F179,"FAIL")+COUNTIFS(Test_Cases!F181,"FAIL")+COUNTIFS(Test_Cases!F182,"FAIL")+COUNTIFS(Test_Cases!F183,"FAIL")+COUNTIFS(Test_Cases!F184,"FAIL")+COUNTIFS(Test_Cases!F185,"FAIL")+COUNTIFS(Test_Cases!F186,"FAIL")+COUNTIFS(Test_Cases!F191,"FAIL")+COUNTIFS(Test_Cases!F192,"FAIL")+COUNTIFS(Test_Cases!F193,"FAIL")+COUNTIFS(Test_Cases!F194,"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246,"FAIL")+COUNTIFS(Test_Cases!F247,"FAIL")+COUNTIFS(Test_Cases!F248,"FAIL")+COUNTIFS(Test_Cases!F249,"FAIL")+COUNTIFS(Test_Cases!F250,"FAIL")+COUNTIFS(Test_Cases!F251,"FAIL")</x:f>
        <x:v>0</x:v>
      </x:c>
      <x:c r="I37" s="9" t="str">
        <x:v>TC13-AUTH-001, TC13-AUTH-002, TC13-AUTH-003, TC13-AUTH-004, TC13-AUTH-005, TC13-AUTH-006, TC13-AUTH-007, TC13-AUTH-008, TC13-AUTH-009, TC13-AUTH-010, TC13-AUTH-011, TC13-AUTH-012, TC13-FLEET-001, TC13-FLEET-002, TC13-FLEET-003, TC13-FLEET-004, TC13-FLEET-005, TC13-FLEET-006, TC13-FLEET-007, TC13-FLEET-008, TC13-FLEET-009, TC13-FLEET-010, TC13-FLEET-011, TC13-FLEET-012, TC13-FLEET-013, TC13-FLEET-014, TC13-FLEET-015, TC13-FLEET-016, TC13-BOOK-001, TC13-BOOK-002, TC13-BOOK-003, TC13-BOOK-004, TC13-BOOK-005, TC13-BOOK-006, TC13-BOOK-007, TC13-BOOK-008, TC13-BOOK-009, TC13-BOOK-010, TC13-BOOK-011, TC13-BOOK-016, TC13-BOOK-017, TC13-BOOK-018, TC13-BOOK-019, TC13-BOOK-020, TC13-DISP-008, TC13-DISP-009, TC13-DISP-010, TC13-DISP-011, TC13-DISP-012, TC13-DISP-013, TC13-DISP-014, TC13-DISP-015, TC13-DISP-016, TC13-DISP-017, TC13-DISP-018, TC13-DISP-019, TC13-TRIP-001, TC13-TRIP-002, TC13-TRIP-003, TC13-TRIP-004, TC13-TRIP-005, TC13-TRIP-013, TC13-TRIP-014, TC13-TRIP-015, TC13-TRIP-016, TC13-TRIP-017, TC13-TRIP-018, TC13-TRIP-019, TC13-TRIP-020, TC13-TRIP-021, TC13-TRIP-022, TC13-TRIP-023, TC13-TRIP-024, TC13-PAY-001, TC13-PAY-002, TC13-PAY-003, TC13-PAY-004, TC13-PAY-005, TC13-PAY-006, TC13-PAY-007, TC13-PAY-008, TC13-PAY-009, TC13-PAY-010, TC13-PAY-011, TC13-PAY-012, TC13-PAY-013, TC13-PAY-014, TC13-PAY-015, TC13-PAY-016, TC13-PAY-017, TC13-PAY-018, TC13-PAY-019, TC13-PAY-024, TC13-PAY-025, TC13-PAY-026, TC13-PAY-027, TC13-PAY-028, TC13-PAY-029, TC13-NOTI-001, TC13-NOTI-002, TC13-NOTI-003, TC13-NOTI-004, TC13-NOTI-005, TC13-NOTI-006, TC13-NOTI-011, TC13-NOTI-012, TC13-NOTI-013, TC13-NOTI-014, TC13-SAGA-001, TC13-SAGA-002, TC13-SAGA-003, TC13-SAGA-004, TC13-SAGA-005, TC13-SAGA-006, TC13-SAGA-007, TC13-SAGA-008, TC13-SAGA-009, TC13-SAGA-010, TC13-SAGA-011, TC13-INFRA-013, TC13-INFRA-014, TC13-INFRA-015, TC13-INFRA-016, TC13-INFRA-017, TC13-INFRA-018</x:v>
      </x:c>
    </x:row>
    <x:row r="38" ht="164" customHeight="1">
      <x:c r="A38" s="10" t="str">
        <x:v>NFR04</x:v>
      </x:c>
      <x:c r="B38" s="10" t="str">
        <x:v>Chức năng được bảo vệ kiểm tra chữ ký JWT, issuer, audience, thời hạn, Account, Session, role và quyền trên dữ liệu. Token bị sửa hoặc không hợp lệ trả 401; token hợp lệ nhưng sai </x:v>
      </x:c>
      <x:c r="C38" s="10" t="str">
        <x:v>MVP</x:v>
      </x:c>
      <x:c r="D38" s="10" t="n">
        <x:f>COUNTA(Test_Cases!A7,Test_Cases!A8,Test_Cases!A9,Test_Cases!A10,Test_Cases!A11,Test_Cases!A12,Test_Cases!A13,Test_Cases!A14,Test_Cases!A15,Test_Cases!A16,Test_Cases!A17,Test_Cases!A18,Test_Cases!A19,Test_Cases!A20,Test_Cases!A21,Test_Cases!A22,Test_Cases!A23,Test_Cases!A24,Test_Cases!A25,Test_Cases!A26,Test_Cases!A27,Test_Cases!A28,Test_Cases!A29,Test_Cases!A30,Test_Cases!A31,Test_Cases!A32,Test_Cases!A36,Test_Cases!A37,Test_Cases!A38,Test_Cases!A39,Test_Cases!A40,Test_Cases!A41,Test_Cases!A42,Test_Cases!A43,Test_Cases!A44,Test_Cases!A45,Test_Cases!A46,Test_Cases!A47,Test_Cases!A48,Test_Cases!A49,Test_Cases!A77,Test_Cases!A78,Test_Cases!A79,Test_Cases!A80,Test_Cases!A92,Test_Cases!A93,Test_Cases!A94,Test_Cases!A95,Test_Cases!A101,Test_Cases!A121,Test_Cases!A146,Test_Cases!A147,Test_Cases!A148,Test_Cases!A159,Test_Cases!A160,Test_Cases!A161,Test_Cases!A162,Test_Cases!A163,Test_Cases!A164,Test_Cases!A170,Test_Cases!A171,Test_Cases!A172,Test_Cases!A173,Test_Cases!A187,Test_Cases!A188,Test_Cases!A189,Test_Cases!A195,Test_Cases!A196,Test_Cases!A197,Test_Cases!A198,Test_Cases!A199,Test_Cases!A200,Test_Cases!A201,Test_Cases!A202,Test_Cases!A203,Test_Cases!A204,Test_Cases!A205,Test_Cases!A217,Test_Cases!A218,Test_Cases!A219,Test_Cases!A220,Test_Cases!A221,Test_Cases!A232,Test_Cases!A233)</x:f>
        <x:v>84</x:v>
      </x:c>
      <x:c r="E38" s="10"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19,"DEFINED")+COUNTIFS(Test_Cases!E20,"DEFINED")+COUNTIFS(Test_Cases!E21,"DEFINED")+COUNTIFS(Test_Cases!E22,"DEFINED")+COUNTIFS(Test_Cases!E23,"DEFINED")+COUNTIFS(Test_Cases!E24,"DEFINED")+COUNTIFS(Test_Cases!E25,"DEFINED")+COUNTIFS(Test_Cases!E26,"DEFINED")+COUNTIFS(Test_Cases!E27,"DEFINED")+COUNTIFS(Test_Cases!E28,"DEFINED")+COUNTIFS(Test_Cases!E29,"DEFINED")+COUNTIFS(Test_Cases!E30,"DEFINED")+COUNTIFS(Test_Cases!E31,"DEFINED")+COUNTIFS(Test_Cases!E32,"DEFINED")+COUNTIFS(Test_Cases!E36,"DEFINED")+COUNTIFS(Test_Cases!E37,"DEFINED")+COUNTIFS(Test_Cases!E38,"DEFINED")+COUNTIFS(Test_Cases!E39,"DEFINED")+COUNTIFS(Test_Cases!E40,"DEFINED")+COUNTIFS(Test_Cases!E41,"DEFINED")+COUNTIFS(Test_Cases!E42,"DEFINED")+COUNTIFS(Test_Cases!E43,"DEFINED")+COUNTIFS(Test_Cases!E44,"DEFINED")+COUNTIFS(Test_Cases!E45,"DEFINED")+COUNTIFS(Test_Cases!E46,"DEFINED")+COUNTIFS(Test_Cases!E47,"DEFINED")+COUNTIFS(Test_Cases!E48,"DEFINED")+COUNTIFS(Test_Cases!E49,"DEFINED")+COUNTIFS(Test_Cases!E77,"DEFINED")+COUNTIFS(Test_Cases!E78,"DEFINED")+COUNTIFS(Test_Cases!E79,"DEFINED")+COUNTIFS(Test_Cases!E80,"DEFINED")+COUNTIFS(Test_Cases!E92,"DEFINED")+COUNTIFS(Test_Cases!E93,"DEFINED")+COUNTIFS(Test_Cases!E94,"DEFINED")+COUNTIFS(Test_Cases!E95,"DEFINED")+COUNTIFS(Test_Cases!E101,"DEFINED")+COUNTIFS(Test_Cases!E121,"DEFINED")+COUNTIFS(Test_Cases!E146,"DEFINED")+COUNTIFS(Test_Cases!E147,"DEFINED")+COUNTIFS(Test_Cases!E148,"DEFINED")+COUNTIFS(Test_Cases!E159,"DEFINED")+COUNTIFS(Test_Cases!E160,"DEFINED")+COUNTIFS(Test_Cases!E161,"DEFINED")+COUNTIFS(Test_Cases!E162,"DEFINED")+COUNTIFS(Test_Cases!E163,"DEFINED")+COUNTIFS(Test_Cases!E164,"DEFINED")+COUNTIFS(Test_Cases!E170,"DEFINED")+COUNTIFS(Test_Cases!E171,"DEFINED")+COUNTIFS(Test_Cases!E172,"DEFINED")+COUNTIFS(Test_Cases!E173,"DEFINED")+COUNTIFS(Test_Cases!E187,"DEFINED")+COUNTIFS(Test_Cases!E188,"DEFINED")+COUNTIFS(Test_Cases!E189,"DEFINED")+COUNTIFS(Test_Cases!E195,"DEFINED")+COUNTIFS(Test_Cases!E196,"DEFINED")+COUNTIFS(Test_Cases!E197,"DEFINED")+COUNTIFS(Test_Cases!E198,"DEFINED")+COUNTIFS(Test_Cases!E199,"DEFINED")+COUNTIFS(Test_Cases!E200,"DEFINED")+COUNTIFS(Test_Cases!E201,"DEFINED")+COUNTIFS(Test_Cases!E202,"DEFINED")+COUNTIFS(Test_Cases!E203,"DEFINED")+COUNTIFS(Test_Cases!E204,"DEFINED")+COUNTIFS(Test_Cases!E205,"DEFINED")+COUNTIFS(Test_Cases!E217,"DEFINED")+COUNTIFS(Test_Cases!E218,"DEFINED")+COUNTIFS(Test_Cases!E219,"DEFINED")+COUNTIFS(Test_Cases!E220,"DEFINED")+COUNTIFS(Test_Cases!E221,"DEFINED")+COUNTIFS(Test_Cases!E232,"DEFINED")+COUNTIFS(Test_Cases!E233,"DEFINED")</x:f>
        <x:v>73</x:v>
      </x:c>
      <x:c r="F38" s="10"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19,"NEEDS_DECISION")+COUNTIFS(Test_Cases!E20,"NEEDS_DECISION")+COUNTIFS(Test_Cases!E21,"NEEDS_DECISION")+COUNTIFS(Test_Cases!E22,"NEEDS_DECISION")+COUNTIFS(Test_Cases!E23,"NEEDS_DECISION")+COUNTIFS(Test_Cases!E24,"NEEDS_DECISION")+COUNTIFS(Test_Cases!E25,"NEEDS_DECISION")+COUNTIFS(Test_Cases!E26,"NEEDS_DECISION")+COUNTIFS(Test_Cases!E27,"NEEDS_DECISION")+COUNTIFS(Test_Cases!E28,"NEEDS_DECISION")+COUNTIFS(Test_Cases!E29,"NEEDS_DECISION")+COUNTIFS(Test_Cases!E30,"NEEDS_DECISION")+COUNTIFS(Test_Cases!E31,"NEEDS_DECISION")+COUNTIFS(Test_Cases!E32,"NEEDS_DECISION")+COUNTIFS(Test_Cases!E36,"NEEDS_DECISION")+COUNTIFS(Test_Cases!E37,"NEEDS_DECISION")+COUNTIFS(Test_Cases!E38,"NEEDS_DECISION")+COUNTIFS(Test_Cases!E39,"NEEDS_DECISION")+COUNTIFS(Test_Cases!E40,"NEEDS_DECISION")+COUNTIFS(Test_Cases!E41,"NEEDS_DECISION")+COUNTIFS(Test_Cases!E42,"NEEDS_DECISION")+COUNTIFS(Test_Cases!E43,"NEEDS_DECISION")+COUNTIFS(Test_Cases!E44,"NEEDS_DECISION")+COUNTIFS(Test_Cases!E45,"NEEDS_DECISION")+COUNTIFS(Test_Cases!E46,"NEEDS_DECISION")+COUNTIFS(Test_Cases!E47,"NEEDS_DECISION")+COUNTIFS(Test_Cases!E48,"NEEDS_DECISION")+COUNTIFS(Test_Cases!E49,"NEEDS_DECISION")+COUNTIFS(Test_Cases!E77,"NEEDS_DECISION")+COUNTIFS(Test_Cases!E78,"NEEDS_DECISION")+COUNTIFS(Test_Cases!E79,"NEEDS_DECISION")+COUNTIFS(Test_Cases!E80,"NEEDS_DECISION")+COUNTIFS(Test_Cases!E92,"NEEDS_DECISION")+COUNTIFS(Test_Cases!E93,"NEEDS_DECISION")+COUNTIFS(Test_Cases!E94,"NEEDS_DECISION")+COUNTIFS(Test_Cases!E95,"NEEDS_DECISION")+COUNTIFS(Test_Cases!E101,"NEEDS_DECISION")+COUNTIFS(Test_Cases!E121,"NEEDS_DECISION")+COUNTIFS(Test_Cases!E146,"NEEDS_DECISION")+COUNTIFS(Test_Cases!E147,"NEEDS_DECISION")+COUNTIFS(Test_Cases!E148,"NEEDS_DECISION")+COUNTIFS(Test_Cases!E159,"NEEDS_DECISION")+COUNTIFS(Test_Cases!E160,"NEEDS_DECISION")+COUNTIFS(Test_Cases!E161,"NEEDS_DECISION")+COUNTIFS(Test_Cases!E162,"NEEDS_DECISION")+COUNTIFS(Test_Cases!E163,"NEEDS_DECISION")+COUNTIFS(Test_Cases!E164,"NEEDS_DECISION")+COUNTIFS(Test_Cases!E170,"NEEDS_DECISION")+COUNTIFS(Test_Cases!E171,"NEEDS_DECISION")+COUNTIFS(Test_Cases!E172,"NEEDS_DECISION")+COUNTIFS(Test_Cases!E173,"NEEDS_DECISION")+COUNTIFS(Test_Cases!E187,"NEEDS_DECISION")+COUNTIFS(Test_Cases!E188,"NEEDS_DECISION")+COUNTIFS(Test_Cases!E189,"NEEDS_DECISION")+COUNTIFS(Test_Cases!E195,"NEEDS_DECISION")+COUNTIFS(Test_Cases!E196,"NEEDS_DECISION")+COUNTIFS(Test_Cases!E197,"NEEDS_DECISION")+COUNTIFS(Test_Cases!E198,"NEEDS_DECISION")+COUNTIFS(Test_Cases!E199,"NEEDS_DECISION")+COUNTIFS(Test_Cases!E200,"NEEDS_DECISION")+COUNTIFS(Test_Cases!E201,"NEEDS_DECISION")+COUNTIFS(Test_Cases!E202,"NEEDS_DECISION")+COUNTIFS(Test_Cases!E203,"NEEDS_DECISION")+COUNTIFS(Test_Cases!E204,"NEEDS_DECISION")+COUNTIFS(Test_Cases!E205,"NEEDS_DECISION")+COUNTIFS(Test_Cases!E217,"NEEDS_DECISION")+COUNTIFS(Test_Cases!E218,"NEEDS_DECISION")+COUNTIFS(Test_Cases!E219,"NEEDS_DECISION")+COUNTIFS(Test_Cases!E220,"NEEDS_DECISION")+COUNTIFS(Test_Cases!E221,"NEEDS_DECISION")+COUNTIFS(Test_Cases!E232,"NEEDS_DECISION")+COUNTIFS(Test_Cases!E233,"NEEDS_DECISION")</x:f>
        <x:v>11</x:v>
      </x:c>
      <x:c r="G38" s="10"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19,"PASS")+COUNTIFS(Test_Cases!F20,"PASS")+COUNTIFS(Test_Cases!F21,"PASS")+COUNTIFS(Test_Cases!F22,"PASS")+COUNTIFS(Test_Cases!F23,"PASS")+COUNTIFS(Test_Cases!F24,"PASS")+COUNTIFS(Test_Cases!F25,"PASS")+COUNTIFS(Test_Cases!F26,"PASS")+COUNTIFS(Test_Cases!F27,"PASS")+COUNTIFS(Test_Cases!F28,"PASS")+COUNTIFS(Test_Cases!F29,"PASS")+COUNTIFS(Test_Cases!F30,"PASS")+COUNTIFS(Test_Cases!F31,"PASS")+COUNTIFS(Test_Cases!F32,"PASS")+COUNTIFS(Test_Cases!F36,"PASS")+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77,"PASS")+COUNTIFS(Test_Cases!F78,"PASS")+COUNTIFS(Test_Cases!F79,"PASS")+COUNTIFS(Test_Cases!F80,"PASS")+COUNTIFS(Test_Cases!F92,"PASS")+COUNTIFS(Test_Cases!F93,"PASS")+COUNTIFS(Test_Cases!F94,"PASS")+COUNTIFS(Test_Cases!F95,"PASS")+COUNTIFS(Test_Cases!F101,"PASS")+COUNTIFS(Test_Cases!F121,"PASS")+COUNTIFS(Test_Cases!F146,"PASS")+COUNTIFS(Test_Cases!F147,"PASS")+COUNTIFS(Test_Cases!F148,"PASS")+COUNTIFS(Test_Cases!F159,"PASS")+COUNTIFS(Test_Cases!F160,"PASS")+COUNTIFS(Test_Cases!F161,"PASS")+COUNTIFS(Test_Cases!F162,"PASS")+COUNTIFS(Test_Cases!F163,"PASS")+COUNTIFS(Test_Cases!F164,"PASS")+COUNTIFS(Test_Cases!F170,"PASS")+COUNTIFS(Test_Cases!F171,"PASS")+COUNTIFS(Test_Cases!F172,"PASS")+COUNTIFS(Test_Cases!F173,"PASS")+COUNTIFS(Test_Cases!F187,"PASS")+COUNTIFS(Test_Cases!F188,"PASS")+COUNTIFS(Test_Cases!F189,"PASS")+COUNTIFS(Test_Cases!F195,"PASS")+COUNTIFS(Test_Cases!F196,"PASS")+COUNTIFS(Test_Cases!F197,"PASS")+COUNTIFS(Test_Cases!F198,"PASS")+COUNTIFS(Test_Cases!F199,"PASS")+COUNTIFS(Test_Cases!F200,"PASS")+COUNTIFS(Test_Cases!F201,"PASS")+COUNTIFS(Test_Cases!F202,"PASS")+COUNTIFS(Test_Cases!F203,"PASS")+COUNTIFS(Test_Cases!F204,"PASS")+COUNTIFS(Test_Cases!F205,"PASS")+COUNTIFS(Test_Cases!F217,"PASS")+COUNTIFS(Test_Cases!F218,"PASS")+COUNTIFS(Test_Cases!F219,"PASS")+COUNTIFS(Test_Cases!F220,"PASS")+COUNTIFS(Test_Cases!F221,"PASS")+COUNTIFS(Test_Cases!F232,"PASS")+COUNTIFS(Test_Cases!F233,"PASS")</x:f>
        <x:v>0</x:v>
      </x:c>
      <x:c r="H38" s="10"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19,"FAIL")+COUNTIFS(Test_Cases!F20,"FAIL")+COUNTIFS(Test_Cases!F21,"FAIL")+COUNTIFS(Test_Cases!F22,"FAIL")+COUNTIFS(Test_Cases!F23,"FAIL")+COUNTIFS(Test_Cases!F24,"FAIL")+COUNTIFS(Test_Cases!F25,"FAIL")+COUNTIFS(Test_Cases!F26,"FAIL")+COUNTIFS(Test_Cases!F27,"FAIL")+COUNTIFS(Test_Cases!F28,"FAIL")+COUNTIFS(Test_Cases!F29,"FAIL")+COUNTIFS(Test_Cases!F30,"FAIL")+COUNTIFS(Test_Cases!F31,"FAIL")+COUNTIFS(Test_Cases!F32,"FAIL")+COUNTIFS(Test_Cases!F36,"FAIL")+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77,"FAIL")+COUNTIFS(Test_Cases!F78,"FAIL")+COUNTIFS(Test_Cases!F79,"FAIL")+COUNTIFS(Test_Cases!F80,"FAIL")+COUNTIFS(Test_Cases!F92,"FAIL")+COUNTIFS(Test_Cases!F93,"FAIL")+COUNTIFS(Test_Cases!F94,"FAIL")+COUNTIFS(Test_Cases!F95,"FAIL")+COUNTIFS(Test_Cases!F101,"FAIL")+COUNTIFS(Test_Cases!F121,"FAIL")+COUNTIFS(Test_Cases!F146,"FAIL")+COUNTIFS(Test_Cases!F147,"FAIL")+COUNTIFS(Test_Cases!F148,"FAIL")+COUNTIFS(Test_Cases!F159,"FAIL")+COUNTIFS(Test_Cases!F160,"FAIL")+COUNTIFS(Test_Cases!F161,"FAIL")+COUNTIFS(Test_Cases!F162,"FAIL")+COUNTIFS(Test_Cases!F163,"FAIL")+COUNTIFS(Test_Cases!F164,"FAIL")+COUNTIFS(Test_Cases!F170,"FAIL")+COUNTIFS(Test_Cases!F171,"FAIL")+COUNTIFS(Test_Cases!F172,"FAIL")+COUNTIFS(Test_Cases!F173,"FAIL")+COUNTIFS(Test_Cases!F187,"FAIL")+COUNTIFS(Test_Cases!F188,"FAIL")+COUNTIFS(Test_Cases!F189,"FAIL")+COUNTIFS(Test_Cases!F195,"FAIL")+COUNTIFS(Test_Cases!F196,"FAIL")+COUNTIFS(Test_Cases!F197,"FAIL")+COUNTIFS(Test_Cases!F198,"FAIL")+COUNTIFS(Test_Cases!F199,"FAIL")+COUNTIFS(Test_Cases!F200,"FAIL")+COUNTIFS(Test_Cases!F201,"FAIL")+COUNTIFS(Test_Cases!F202,"FAIL")+COUNTIFS(Test_Cases!F203,"FAIL")+COUNTIFS(Test_Cases!F204,"FAIL")+COUNTIFS(Test_Cases!F205,"FAIL")+COUNTIFS(Test_Cases!F217,"FAIL")+COUNTIFS(Test_Cases!F218,"FAIL")+COUNTIFS(Test_Cases!F219,"FAIL")+COUNTIFS(Test_Cases!F220,"FAIL")+COUNTIFS(Test_Cases!F221,"FAIL")+COUNTIFS(Test_Cases!F232,"FAIL")+COUNTIFS(Test_Cases!F233,"FAIL")</x:f>
        <x:v>0</x:v>
      </x:c>
      <x:c r="I38" s="10" t="str">
        <x:v>TC13-AUTH-001, TC13-AUTH-002, TC13-AUTH-003, TC13-AUTH-004, TC13-AUTH-005, TC13-AUTH-006, TC13-AUTH-007, TC13-AUTH-008, TC13-AUTH-009, TC13-AUTH-010, TC13-AUTH-011, TC13-AUTH-012, TC13-AUTH-013, TC13-AUTH-014, TC13-AUTH-015, TC13-AUTH-016, TC13-AUTH-017, TC13-AUTH-018, TC13-AUTH-019, TC13-AUTH-020, TC13-AUTH-021, TC13-AUTH-022, TC13-AUTH-023, TC13-AUTH-024, TC13-AUTH-025, TC13-AUTH-026, TC13-AUTH-030, TC13-OTP-001, TC13-OTP-002, TC13-OTP-003, TC13-OTP-004, TC13-OTP-005, TC13-OTP-006, TC13-OTP-007, TC13-OTP-008, TC13-OTP-009, TC13-OTP-010, TC13-OTP-011, TC13-OTP-012, TC13-OTP-013, TC13-FLEET-028, TC13-FLEET-029, TC13-FLEET-030, TC13-FLEET-031, TC13-BOOK-012, TC13-BOOK-013, TC13-BOOK-014, TC13-BOOK-015, TC13-BOOK-021, TC13-DISP-020, TC13-TRIP-025, TC13-TRIP-026, TC13-TRIP-027, TC13-PAY-009, TC13-PAY-010, TC13-PAY-011, TC13-PAY-012, TC13-PAY-013, TC13-PAY-014, TC13-PAY-020, TC13-PAY-021, TC13-PAY-022, TC13-PAY-023, TC13-NOTI-007, TC13-NOTI-008, TC13-NOTI-009, TC13-RATE-001, TC13-RATE-002, TC13-RATE-003, TC13-RATE-004, TC13-RATE-005, TC13-RATE-006, TC13-RATE-007, TC13-RATE-008, TC13-RATE-009, TC13-RATE-010, TC13-RATE-011, TC13-SEC-001, TC13-SEC-002, TC13-SEC-003, TC13-SEC-004, TC13-SEC-005, TC13-SEC-016, TC13-SEC-017</x:v>
      </x:c>
    </x:row>
    <x:row r="39" ht="52" customHeight="1">
      <x:c r="A39" s="9" t="str">
        <x:v>NFR05</x:v>
      </x:c>
      <x:c r="B39" s="9" t="str">
        <x:v>Mật khẩu lưu dạng băm chuyên dụng; email, phone và giấy phép được mã hóa khi lưu, khóa tách khỏi database và Git. Có quản lý phiên bản/luân chuyển khóa. Không ghi mật khẩu, OTP, to</x:v>
      </x:c>
      <x:c r="C39" s="9" t="str">
        <x:v>MVP</x:v>
      </x:c>
      <x:c r="D39" s="9" t="n">
        <x:f>COUNTA(Test_Cases!A33,Test_Cases!A225,Test_Cases!A226,Test_Cases!A227,Test_Cases!A228,Test_Cases!A232,Test_Cases!A233,Test_Cases!A240,Test_Cases!A251)</x:f>
        <x:v>9</x:v>
      </x:c>
      <x:c r="E39" s="9" t="n">
        <x:f>COUNTIFS(Test_Cases!E33,"DEFINED")+COUNTIFS(Test_Cases!E225,"DEFINED")+COUNTIFS(Test_Cases!E226,"DEFINED")+COUNTIFS(Test_Cases!E227,"DEFINED")+COUNTIFS(Test_Cases!E228,"DEFINED")+COUNTIFS(Test_Cases!E232,"DEFINED")+COUNTIFS(Test_Cases!E233,"DEFINED")+COUNTIFS(Test_Cases!E240,"DEFINED")+COUNTIFS(Test_Cases!E251,"DEFINED")</x:f>
        <x:v>7</x:v>
      </x:c>
      <x:c r="F39" s="9" t="n">
        <x:f>COUNTIFS(Test_Cases!E33,"NEEDS_DECISION")+COUNTIFS(Test_Cases!E225,"NEEDS_DECISION")+COUNTIFS(Test_Cases!E226,"NEEDS_DECISION")+COUNTIFS(Test_Cases!E227,"NEEDS_DECISION")+COUNTIFS(Test_Cases!E228,"NEEDS_DECISION")+COUNTIFS(Test_Cases!E232,"NEEDS_DECISION")+COUNTIFS(Test_Cases!E233,"NEEDS_DECISION")+COUNTIFS(Test_Cases!E240,"NEEDS_DECISION")+COUNTIFS(Test_Cases!E251,"NEEDS_DECISION")</x:f>
        <x:v>2</x:v>
      </x:c>
      <x:c r="G39" s="9" t="n">
        <x:f>COUNTIFS(Test_Cases!F33,"PASS")+COUNTIFS(Test_Cases!F225,"PASS")+COUNTIFS(Test_Cases!F226,"PASS")+COUNTIFS(Test_Cases!F227,"PASS")+COUNTIFS(Test_Cases!F228,"PASS")+COUNTIFS(Test_Cases!F232,"PASS")+COUNTIFS(Test_Cases!F233,"PASS")+COUNTIFS(Test_Cases!F240,"PASS")+COUNTIFS(Test_Cases!F251,"PASS")</x:f>
        <x:v>0</x:v>
      </x:c>
      <x:c r="H39" s="9" t="n">
        <x:f>COUNTIFS(Test_Cases!F33,"FAIL")+COUNTIFS(Test_Cases!F225,"FAIL")+COUNTIFS(Test_Cases!F226,"FAIL")+COUNTIFS(Test_Cases!F227,"FAIL")+COUNTIFS(Test_Cases!F228,"FAIL")+COUNTIFS(Test_Cases!F232,"FAIL")+COUNTIFS(Test_Cases!F233,"FAIL")+COUNTIFS(Test_Cases!F240,"FAIL")+COUNTIFS(Test_Cases!F251,"FAIL")</x:f>
        <x:v>0</x:v>
      </x:c>
      <x:c r="I39" s="9" t="str">
        <x:v>TC13-AUTH-027, TC13-SEC-009, TC13-SEC-010, TC13-SEC-011, TC13-SEC-012, TC13-SEC-016, TC13-SEC-017, TC13-INFRA-007, TC13-INFRA-018</x:v>
      </x:c>
    </x:row>
    <x:row r="40" ht="52" customHeight="1">
      <x:c r="A40" s="10" t="str">
        <x:v>NFR06</x:v>
      </x:c>
      <x:c r="B40" s="10" t="str">
        <x:v>Truy vết từ Account/Booking tới Trip, Fare, Payment, Incident bằng ID, operationId/correlationId. Mỗi dịch vụ ghi audit của thay đổi do mình thực hiện; không phụ thuộc Analytics để</x:v>
      </x:c>
      <x:c r="C40" s="10" t="str">
        <x:v>MVP</x:v>
      </x:c>
      <x:c r="D40" s="10" t="n">
        <x:f>COUNTA(Test_Cases!A252)</x:f>
        <x:v>1</x:v>
      </x:c>
      <x:c r="E40" s="10" t="n">
        <x:f>COUNTIFS(Test_Cases!E252,"DEFINED")</x:f>
        <x:v>1</x:v>
      </x:c>
      <x:c r="F40" s="10" t="n">
        <x:f>COUNTIFS(Test_Cases!E252,"NEEDS_DECISION")</x:f>
        <x:v>0</x:v>
      </x:c>
      <x:c r="G40" s="10" t="n">
        <x:f>COUNTIFS(Test_Cases!F252,"PASS")</x:f>
        <x:v>0</x:v>
      </x:c>
      <x:c r="H40" s="10" t="n">
        <x:f>COUNTIFS(Test_Cases!F252,"FAIL")</x:f>
        <x:v>0</x:v>
      </x:c>
      <x:c r="I40" s="10" t="str">
        <x:v>TC13-INFRA-019</x:v>
      </x:c>
    </x:row>
    <x:row r="41" ht="52" customHeight="1">
      <x:c r="A41" s="9" t="str">
        <x:v>NFR07</x:v>
      </x:c>
      <x:c r="B41" s="9" t="str">
        <x:v>Gateway cung cấp /health, /ready và /health/services; phản ánh trạng thái thực của dịch vụ và phụ thuộc. Readiness chưa đạt trả 503. Danh sách chi tiết chỉ dành cho OPERATOR. Theo </x:v>
      </x:c>
      <x:c r="C41" s="9" t="str">
        <x:v>MVP</x:v>
      </x:c>
      <x:c r="D41" s="9" t="n">
        <x:f>COUNTA(Test_Cases!A241,Test_Cases!A242,Test_Cases!A243,Test_Cases!A244,Test_Cases!A245,Test_Cases!A331,Test_Cases!A332,Test_Cases!A333)</x:f>
        <x:v>8</x:v>
      </x:c>
      <x:c r="E41" s="9" t="n">
        <x:f>COUNTIFS(Test_Cases!E241,"DEFINED")+COUNTIFS(Test_Cases!E242,"DEFINED")+COUNTIFS(Test_Cases!E243,"DEFINED")+COUNTIFS(Test_Cases!E244,"DEFINED")+COUNTIFS(Test_Cases!E245,"DEFINED")+COUNTIFS(Test_Cases!E331,"DEFINED")+COUNTIFS(Test_Cases!E332,"DEFINED")+COUNTIFS(Test_Cases!E333,"DEFINED")</x:f>
        <x:v>7</x:v>
      </x:c>
      <x:c r="F41" s="9" t="n">
        <x:f>COUNTIFS(Test_Cases!E241,"NEEDS_DECISION")+COUNTIFS(Test_Cases!E242,"NEEDS_DECISION")+COUNTIFS(Test_Cases!E243,"NEEDS_DECISION")+COUNTIFS(Test_Cases!E244,"NEEDS_DECISION")+COUNTIFS(Test_Cases!E245,"NEEDS_DECISION")+COUNTIFS(Test_Cases!E331,"NEEDS_DECISION")+COUNTIFS(Test_Cases!E332,"NEEDS_DECISION")+COUNTIFS(Test_Cases!E333,"NEEDS_DECISION")</x:f>
        <x:v>1</x:v>
      </x:c>
      <x:c r="G41" s="9" t="n">
        <x:f>COUNTIFS(Test_Cases!F241,"PASS")+COUNTIFS(Test_Cases!F242,"PASS")+COUNTIFS(Test_Cases!F243,"PASS")+COUNTIFS(Test_Cases!F244,"PASS")+COUNTIFS(Test_Cases!F245,"PASS")+COUNTIFS(Test_Cases!F331,"PASS")+COUNTIFS(Test_Cases!F332,"PASS")+COUNTIFS(Test_Cases!F333,"PASS")</x:f>
        <x:v>0</x:v>
      </x:c>
      <x:c r="H41" s="9" t="n">
        <x:f>COUNTIFS(Test_Cases!F241,"FAIL")+COUNTIFS(Test_Cases!F242,"FAIL")+COUNTIFS(Test_Cases!F243,"FAIL")+COUNTIFS(Test_Cases!F244,"FAIL")+COUNTIFS(Test_Cases!F245,"FAIL")+COUNTIFS(Test_Cases!F331,"FAIL")+COUNTIFS(Test_Cases!F332,"FAIL")+COUNTIFS(Test_Cases!F333,"FAIL")</x:f>
        <x:v>0</x:v>
      </x:c>
      <x:c r="I41" s="9" t="str">
        <x:v>TC13-INFRA-008, TC13-INFRA-009, TC13-INFRA-010, TC13-INFRA-011, TC13-INFRA-012, TC13-API-067, TC13-API-068, TC13-API-069</x:v>
      </x:c>
    </x:row>
    <x:row r="42" ht="38" customHeight="1">
      <x:c r="A42" s="10" t="str">
        <x:v>NFR08</x:v>
      </x:c>
      <x:c r="B42" s="10" t="str">
        <x:v>Nhà cung cấp thanh toán, bản đồ và thông báo được tách qua hợp đồng tích hợp; thay nhà cung cấp không đổi quy tắc nghiệp vụ cốt lõi</x:v>
      </x:c>
      <x:c r="C42" s="10" t="str">
        <x:v>MVP</x:v>
      </x:c>
      <x:c r="D42" s="10" t="n">
        <x:f>COUNTA(Test_Cases!A165,Test_Cases!A166)</x:f>
        <x:v>2</x:v>
      </x:c>
      <x:c r="E42" s="10" t="n">
        <x:f>COUNTIFS(Test_Cases!E165,"DEFINED")+COUNTIFS(Test_Cases!E166,"DEFINED")</x:f>
        <x:v>0</x:v>
      </x:c>
      <x:c r="F42" s="10" t="n">
        <x:f>COUNTIFS(Test_Cases!E165,"NEEDS_DECISION")+COUNTIFS(Test_Cases!E166,"NEEDS_DECISION")</x:f>
        <x:v>2</x:v>
      </x:c>
      <x:c r="G42" s="10" t="n">
        <x:f>COUNTIFS(Test_Cases!F165,"PASS")+COUNTIFS(Test_Cases!F166,"PASS")</x:f>
        <x:v>0</x:v>
      </x:c>
      <x:c r="H42" s="10" t="n">
        <x:f>COUNTIFS(Test_Cases!F165,"FAIL")+COUNTIFS(Test_Cases!F166,"FAIL")</x:f>
        <x:v>0</x:v>
      </x:c>
      <x:c r="I42" s="10" t="str">
        <x:v>TC13-PAY-015, TC13-PAY-016</x:v>
      </x:c>
    </x:row>
    <x:row r="43" ht="38" customHeight="1">
      <x:c r="A43" s="9" t="str">
        <x:v>NFR09</x:v>
      </x:c>
      <x:c r="B43" s="9" t="str">
        <x:v>Khi kết nối bình thường, 95% cập nhật trạng thái/vị trí đã được máy chủ nhận xuất hiện cho người theo dõi trong 3 giây; vị trí quá ngưỡng được đánh dấu cũ</x:v>
      </x:c>
      <x:c r="C43" s="9" t="str">
        <x:v>MVP</x:v>
      </x:c>
      <x:c r="D43" s="9" t="n">
        <x:f>COUNTA(Test_Cases!A260)</x:f>
        <x:v>1</x:v>
      </x:c>
      <x:c r="E43" s="9" t="n">
        <x:f>COUNTIFS(Test_Cases!E260,"DEFINED")</x:f>
        <x:v>0</x:v>
      </x:c>
      <x:c r="F43" s="9" t="n">
        <x:f>COUNTIFS(Test_Cases!E260,"NEEDS_DECISION")</x:f>
        <x:v>1</x:v>
      </x:c>
      <x:c r="G43" s="9" t="n">
        <x:f>COUNTIFS(Test_Cases!F260,"PASS")</x:f>
        <x:v>0</x:v>
      </x:c>
      <x:c r="H43" s="9" t="n">
        <x:f>COUNTIFS(Test_Cases!F260,"FAIL")</x:f>
        <x:v>0</x:v>
      </x:c>
      <x:c r="I43" s="9" t="str">
        <x:v>TC13-PERF-003</x:v>
      </x:c>
    </x:row>
    <x:row r="44" ht="52" customHeight="1">
      <x:c r="A44" s="10" t="str">
        <x:v>NFR10</x:v>
      </x:c>
      <x:c r="B44" s="10" t="str">
        <x:v>Có sao lưu/khôi phục dữ liệu bền vững; môi trường thử nghiệm sao lưu mỗi ngày và có ít nhất một lần phục hồi kiểm chứng. Phạm vi gồm dữ liệu tám MS, bằng chứng chống trùng, tiến tr</x:v>
      </x:c>
      <x:c r="C44" s="10" t="str">
        <x:v>MVP</x:v>
      </x:c>
      <x:c r="D44" s="10" t="n">
        <x:f>COUNTA(Test_Cases!A251)</x:f>
        <x:v>1</x:v>
      </x:c>
      <x:c r="E44" s="10" t="n">
        <x:f>COUNTIFS(Test_Cases!E251,"DEFINED")</x:f>
        <x:v>0</x:v>
      </x:c>
      <x:c r="F44" s="10" t="n">
        <x:f>COUNTIFS(Test_Cases!E251,"NEEDS_DECISION")</x:f>
        <x:v>1</x:v>
      </x:c>
      <x:c r="G44" s="10" t="n">
        <x:f>COUNTIFS(Test_Cases!F251,"PASS")</x:f>
        <x:v>0</x:v>
      </x:c>
      <x:c r="H44" s="10" t="n">
        <x:f>COUNTIFS(Test_Cases!F251,"FAIL")</x:f>
        <x:v>0</x:v>
      </x:c>
      <x:c r="I44" s="10" t="str">
        <x:v>TC13-INFRA-018</x:v>
      </x:c>
    </x:row>
    <x:row r="45" ht="52" customHeight="1">
      <x:c r="A45" s="9" t="str">
        <x:v>NFR11</x:v>
      </x:c>
      <x:c r="B45" s="9" t="str">
        <x:v>Mọi HTTP request từ client và callback bên ngoài đi qua Gateway. Các dịch vụ nghiệp vụ không công bố cổng trong cấu hình chạy bài mặc định. Route nội bộ không mở cho client. Gatewa</x:v>
      </x:c>
      <x:c r="C45" s="9" t="str">
        <x:v>MVP</x:v>
      </x:c>
      <x:c r="D45" s="9" t="n">
        <x:f>COUNTA(Test_Cases!A236,Test_Cases!A237,Test_Cases!A238)</x:f>
        <x:v>3</x:v>
      </x:c>
      <x:c r="E45" s="9" t="n">
        <x:f>COUNTIFS(Test_Cases!E236,"DEFINED")+COUNTIFS(Test_Cases!E237,"DEFINED")+COUNTIFS(Test_Cases!E238,"DEFINED")</x:f>
        <x:v>2</x:v>
      </x:c>
      <x:c r="F45" s="9" t="n">
        <x:f>COUNTIFS(Test_Cases!E236,"NEEDS_DECISION")+COUNTIFS(Test_Cases!E237,"NEEDS_DECISION")+COUNTIFS(Test_Cases!E238,"NEEDS_DECISION")</x:f>
        <x:v>1</x:v>
      </x:c>
      <x:c r="G45" s="9" t="n">
        <x:f>COUNTIFS(Test_Cases!F236,"PASS")+COUNTIFS(Test_Cases!F237,"PASS")+COUNTIFS(Test_Cases!F238,"PASS")</x:f>
        <x:v>0</x:v>
      </x:c>
      <x:c r="H45" s="9" t="n">
        <x:f>COUNTIFS(Test_Cases!F236,"FAIL")+COUNTIFS(Test_Cases!F237,"FAIL")+COUNTIFS(Test_Cases!F238,"FAIL")</x:f>
        <x:v>0</x:v>
      </x:c>
      <x:c r="I45" s="9" t="str">
        <x:v>TC13-INFRA-003, TC13-INFRA-004, TC13-INFRA-005</x:v>
      </x:c>
    </x:row>
    <x:row r="46" ht="52" customHeight="1">
      <x:c r="A46" s="10" t="str">
        <x:v>NFR12</x:v>
      </x:c>
      <x:c r="B46" s="10" t="str">
        <x:v>Gateway và các MS dùng gRPC nội bộ có xác thực, scope, deadline và mapping lỗi; RabbitMQ truyền sự kiện từ dịch vụ sở hữu nghiệp vụ. Outbox/inbox bền vững, retry có backoff theo lo</x:v>
      </x:c>
      <x:c r="C46" s="10" t="str">
        <x:v>MVP</x:v>
      </x:c>
      <x:c r="D46" s="10" t="n">
        <x:f>COUNTA(Test_Cases!A174,Test_Cases!A175,Test_Cases!A176,Test_Cases!A177,Test_Cases!A178,Test_Cases!A181,Test_Cases!A182,Test_Cases!A183,Test_Cases!A184,Test_Cases!A185,Test_Cases!A186,Test_Cases!A191,Test_Cases!A192,Test_Cases!A193,Test_Cases!A194,Test_Cases!A239,Test_Cases!A246,Test_Cases!A247,Test_Cases!A248,Test_Cases!A249)</x:f>
        <x:v>20</x:v>
      </x:c>
      <x:c r="E46" s="10" t="n">
        <x:f>COUNTIFS(Test_Cases!E174,"DEFINED")+COUNTIFS(Test_Cases!E175,"DEFINED")+COUNTIFS(Test_Cases!E176,"DEFINED")+COUNTIFS(Test_Cases!E177,"DEFINED")+COUNTIFS(Test_Cases!E178,"DEFINED")+COUNTIFS(Test_Cases!E181,"DEFINED")+COUNTIFS(Test_Cases!E182,"DEFINED")+COUNTIFS(Test_Cases!E183,"DEFINED")+COUNTIFS(Test_Cases!E184,"DEFINED")+COUNTIFS(Test_Cases!E185,"DEFINED")+COUNTIFS(Test_Cases!E186,"DEFINED")+COUNTIFS(Test_Cases!E191,"DEFINED")+COUNTIFS(Test_Cases!E192,"DEFINED")+COUNTIFS(Test_Cases!E193,"DEFINED")+COUNTIFS(Test_Cases!E194,"DEFINED")+COUNTIFS(Test_Cases!E239,"DEFINED")+COUNTIFS(Test_Cases!E246,"DEFINED")+COUNTIFS(Test_Cases!E247,"DEFINED")+COUNTIFS(Test_Cases!E248,"DEFINED")+COUNTIFS(Test_Cases!E249,"DEFINED")</x:f>
        <x:v>9</x:v>
      </x:c>
      <x:c r="F46" s="10" t="n">
        <x:f>COUNTIFS(Test_Cases!E174,"NEEDS_DECISION")+COUNTIFS(Test_Cases!E175,"NEEDS_DECISION")+COUNTIFS(Test_Cases!E176,"NEEDS_DECISION")+COUNTIFS(Test_Cases!E177,"NEEDS_DECISION")+COUNTIFS(Test_Cases!E178,"NEEDS_DECISION")+COUNTIFS(Test_Cases!E181,"NEEDS_DECISION")+COUNTIFS(Test_Cases!E182,"NEEDS_DECISION")+COUNTIFS(Test_Cases!E183,"NEEDS_DECISION")+COUNTIFS(Test_Cases!E184,"NEEDS_DECISION")+COUNTIFS(Test_Cases!E185,"NEEDS_DECISION")+COUNTIFS(Test_Cases!E186,"NEEDS_DECISION")+COUNTIFS(Test_Cases!E191,"NEEDS_DECISION")+COUNTIFS(Test_Cases!E192,"NEEDS_DECISION")+COUNTIFS(Test_Cases!E193,"NEEDS_DECISION")+COUNTIFS(Test_Cases!E194,"NEEDS_DECISION")+COUNTIFS(Test_Cases!E239,"NEEDS_DECISION")+COUNTIFS(Test_Cases!E246,"NEEDS_DECISION")+COUNTIFS(Test_Cases!E247,"NEEDS_DECISION")+COUNTIFS(Test_Cases!E248,"NEEDS_DECISION")+COUNTIFS(Test_Cases!E249,"NEEDS_DECISION")</x:f>
        <x:v>11</x:v>
      </x:c>
      <x:c r="G46" s="10" t="n">
        <x:f>COUNTIFS(Test_Cases!F174,"PASS")+COUNTIFS(Test_Cases!F175,"PASS")+COUNTIFS(Test_Cases!F176,"PASS")+COUNTIFS(Test_Cases!F177,"PASS")+COUNTIFS(Test_Cases!F178,"PASS")+COUNTIFS(Test_Cases!F181,"PASS")+COUNTIFS(Test_Cases!F182,"PASS")+COUNTIFS(Test_Cases!F183,"PASS")+COUNTIFS(Test_Cases!F184,"PASS")+COUNTIFS(Test_Cases!F185,"PASS")+COUNTIFS(Test_Cases!F186,"PASS")+COUNTIFS(Test_Cases!F191,"PASS")+COUNTIFS(Test_Cases!F192,"PASS")+COUNTIFS(Test_Cases!F193,"PASS")+COUNTIFS(Test_Cases!F194,"PASS")+COUNTIFS(Test_Cases!F239,"PASS")+COUNTIFS(Test_Cases!F246,"PASS")+COUNTIFS(Test_Cases!F247,"PASS")+COUNTIFS(Test_Cases!F248,"PASS")+COUNTIFS(Test_Cases!F249,"PASS")</x:f>
        <x:v>0</x:v>
      </x:c>
      <x:c r="H46" s="10" t="n">
        <x:f>COUNTIFS(Test_Cases!F174,"FAIL")+COUNTIFS(Test_Cases!F175,"FAIL")+COUNTIFS(Test_Cases!F176,"FAIL")+COUNTIFS(Test_Cases!F177,"FAIL")+COUNTIFS(Test_Cases!F178,"FAIL")+COUNTIFS(Test_Cases!F181,"FAIL")+COUNTIFS(Test_Cases!F182,"FAIL")+COUNTIFS(Test_Cases!F183,"FAIL")+COUNTIFS(Test_Cases!F184,"FAIL")+COUNTIFS(Test_Cases!F185,"FAIL")+COUNTIFS(Test_Cases!F186,"FAIL")+COUNTIFS(Test_Cases!F191,"FAIL")+COUNTIFS(Test_Cases!F192,"FAIL")+COUNTIFS(Test_Cases!F193,"FAIL")+COUNTIFS(Test_Cases!F194,"FAIL")+COUNTIFS(Test_Cases!F239,"FAIL")+COUNTIFS(Test_Cases!F246,"FAIL")+COUNTIFS(Test_Cases!F247,"FAIL")+COUNTIFS(Test_Cases!F248,"FAIL")+COUNTIFS(Test_Cases!F249,"FAIL")</x:f>
        <x:v>0</x:v>
      </x:c>
      <x:c r="I46" s="10" t="str">
        <x:v>TC13-PAY-024, TC13-PAY-025, TC13-PAY-026, TC13-PAY-027, TC13-PAY-028, TC13-NOTI-001, TC13-NOTI-002, TC13-NOTI-003, TC13-NOTI-004, TC13-NOTI-005, TC13-NOTI-006, TC13-NOTI-011, TC13-NOTI-012, TC13-NOTI-013, TC13-NOTI-014, TC13-INFRA-006, TC13-INFRA-013, TC13-INFRA-014, TC13-INFRA-015, TC13-INFRA-016</x:v>
      </x:c>
    </x:row>
    <x:row r="47" ht="52" customHeight="1">
      <x:c r="A47" s="9" t="str">
        <x:v>NFR13</x:v>
      </x:c>
      <x:c r="B47" s="9" t="str">
        <x:v>Compose baseline có Gateway, tám MS, PostgreSQL, Redis và RabbitMQ, tương ứng 12 container nếu mỗi thành phần một container; Worker tách riêng làm tăng container nhưng không tăng s</x:v>
      </x:c>
      <x:c r="C47" s="9" t="str">
        <x:v>MVP</x:v>
      </x:c>
      <x:c r="D47" s="9" t="n">
        <x:f>COUNTA(Test_Cases!A235)</x:f>
        <x:v>1</x:v>
      </x:c>
      <x:c r="E47" s="9" t="n">
        <x:f>COUNTIFS(Test_Cases!E235,"DEFINED")</x:f>
        <x:v>1</x:v>
      </x:c>
      <x:c r="F47" s="9" t="n">
        <x:f>COUNTIFS(Test_Cases!E235,"NEEDS_DECISION")</x:f>
        <x:v>0</x:v>
      </x:c>
      <x:c r="G47" s="9" t="n">
        <x:f>COUNTIFS(Test_Cases!F235,"PASS")</x:f>
        <x:v>0</x:v>
      </x:c>
      <x:c r="H47" s="9" t="n">
        <x:f>COUNTIFS(Test_Cases!F235,"FAIL")</x:f>
        <x:v>0</x:v>
      </x:c>
      <x:c r="I47" s="9" t="str">
        <x:v>TC13-INFRA-002</x:v>
      </x:c>
    </x:row>
    <x:row r="48" ht="52" customHeight="1">
      <x:c r="A48" s="10" t="str">
        <x:v>NFR14</x:v>
      </x:c>
      <x:c r="B48" s="10" t="str">
        <x:v>Source có thư mục riêng cho Gateway và tám MS; contracts dùng chung không chứa ORM/repository để truy cập chéo database. Repository có .gitignore, .dockerignore, .env.example; khôn</x:v>
      </x:c>
      <x:c r="C48" s="10" t="str">
        <x:v>MVP</x:v>
      </x:c>
      <x:c r="D48" s="10" t="n">
        <x:f>COUNTA(Test_Cases!A228,Test_Cases!A234)</x:f>
        <x:v>2</x:v>
      </x:c>
      <x:c r="E48" s="10" t="n">
        <x:f>COUNTIFS(Test_Cases!E228,"DEFINED")+COUNTIFS(Test_Cases!E234,"DEFINED")</x:f>
        <x:v>2</x:v>
      </x:c>
      <x:c r="F48" s="10" t="n">
        <x:f>COUNTIFS(Test_Cases!E228,"NEEDS_DECISION")+COUNTIFS(Test_Cases!E234,"NEEDS_DECISION")</x:f>
        <x:v>0</x:v>
      </x:c>
      <x:c r="G48" s="10" t="n">
        <x:f>COUNTIFS(Test_Cases!F228,"PASS")+COUNTIFS(Test_Cases!F234,"PASS")</x:f>
        <x:v>0</x:v>
      </x:c>
      <x:c r="H48" s="10" t="n">
        <x:f>COUNTIFS(Test_Cases!F228,"FAIL")+COUNTIFS(Test_Cases!F234,"FAIL")</x:f>
        <x:v>0</x:v>
      </x:c>
      <x:c r="I48" s="10" t="str">
        <x:v>TC13-SEC-012, TC13-INFRA-001</x:v>
      </x:c>
    </x:row>
    <x:row r="49" ht="52" customHeight="1">
      <x:c r="A49" s="9" t="str">
        <x:v>NFR15</x:v>
      </x:c>
      <x:c r="B49" s="9" t="str">
        <x:v>Input người dùng không được ghép trực tiếp vào SQL; truy vấn tham số hóa và các thành phần động có danh sách cho phép. Payload SQL injection không vượt xác thực, không đọc trái phé</x:v>
      </x:c>
      <x:c r="C49" s="9" t="str">
        <x:v>MVP</x:v>
      </x:c>
      <x:c r="D49" s="9" t="n">
        <x:f>COUNTA(Test_Cases!A222,Test_Cases!A223)</x:f>
        <x:v>2</x:v>
      </x:c>
      <x:c r="E49" s="9" t="n">
        <x:f>COUNTIFS(Test_Cases!E222,"DEFINED")+COUNTIFS(Test_Cases!E223,"DEFINED")</x:f>
        <x:v>2</x:v>
      </x:c>
      <x:c r="F49" s="9" t="n">
        <x:f>COUNTIFS(Test_Cases!E222,"NEEDS_DECISION")+COUNTIFS(Test_Cases!E223,"NEEDS_DECISION")</x:f>
        <x:v>0</x:v>
      </x:c>
      <x:c r="G49" s="9" t="n">
        <x:f>COUNTIFS(Test_Cases!F222,"PASS")+COUNTIFS(Test_Cases!F223,"PASS")</x:f>
        <x:v>0</x:v>
      </x:c>
      <x:c r="H49" s="9" t="n">
        <x:f>COUNTIFS(Test_Cases!F222,"FAIL")+COUNTIFS(Test_Cases!F223,"FAIL")</x:f>
        <x:v>0</x:v>
      </x:c>
      <x:c r="I49" s="9" t="str">
        <x:v>TC13-SEC-006, TC13-SEC-007</x:v>
      </x:c>
    </x:row>
    <x:row r="50" ht="38" customHeight="1">
      <x:c r="A50" s="10" t="str">
        <x:v>NFR16</x:v>
      </x:c>
      <x:c r="B50" s="10" t="str">
        <x:v>Nội dung người dùng được xử lý như văn bản trong MVP. Khi hiển thị phải encode đúng ngữ cảnh, không thực thi script. Phản hồi JSON và giao diện phải được kiểm tra phù hợp</x:v>
      </x:c>
      <x:c r="C50" s="10" t="str">
        <x:v>MVP</x:v>
      </x:c>
      <x:c r="D50" s="10" t="n">
        <x:f>COUNTA(Test_Cases!A224)</x:f>
        <x:v>1</x:v>
      </x:c>
      <x:c r="E50" s="10" t="n">
        <x:f>COUNTIFS(Test_Cases!E224,"DEFINED")</x:f>
        <x:v>0</x:v>
      </x:c>
      <x:c r="F50" s="10" t="n">
        <x:f>COUNTIFS(Test_Cases!E224,"NEEDS_DECISION")</x:f>
        <x:v>1</x:v>
      </x:c>
      <x:c r="G50" s="10" t="n">
        <x:f>COUNTIFS(Test_Cases!F224,"PASS")</x:f>
        <x:v>0</x:v>
      </x:c>
      <x:c r="H50" s="10" t="n">
        <x:f>COUNTIFS(Test_Cases!F224,"FAIL")</x:f>
        <x:v>0</x:v>
      </x:c>
      <x:c r="I50" s="10" t="str">
        <x:v>TC13-SEC-008</x:v>
      </x:c>
    </x:row>
    <x:row r="51" ht="52" customHeight="1">
      <x:c r="A51" s="9" t="str">
        <x:v>NFR17</x:v>
      </x:c>
      <x:c r="B51" s="9" t="str">
        <x:v>Gateway áp dụng rate limit theo IP/tài khoản/chức năng; vượt ngưỡng trả 429 và Retry-After. Có kiểm thử tải theo kịch bản hơn 1.000 request/giây của rubric, ghi rõ môi trường, thời</x:v>
      </x:c>
      <x:c r="C51" s="9" t="str">
        <x:v>MVP</x:v>
      </x:c>
      <x:c r="D51" s="9" t="n">
        <x:f>COUNTA(Test_Cases!A37,Test_Cases!A38,Test_Cases!A39,Test_Cases!A40,Test_Cases!A41,Test_Cases!A42,Test_Cases!A43,Test_Cases!A44,Test_Cases!A45,Test_Cases!A46,Test_Cases!A47,Test_Cases!A48,Test_Cases!A49,Test_Cases!A229,Test_Cases!A230,Test_Cases!A231,Test_Cases!A259)</x:f>
        <x:v>17</x:v>
      </x:c>
      <x:c r="E51" s="9" t="n">
        <x:f>COUNTIFS(Test_Cases!E37,"DEFINED")+COUNTIFS(Test_Cases!E38,"DEFINED")+COUNTIFS(Test_Cases!E39,"DEFINED")+COUNTIFS(Test_Cases!E40,"DEFINED")+COUNTIFS(Test_Cases!E41,"DEFINED")+COUNTIFS(Test_Cases!E42,"DEFINED")+COUNTIFS(Test_Cases!E43,"DEFINED")+COUNTIFS(Test_Cases!E44,"DEFINED")+COUNTIFS(Test_Cases!E45,"DEFINED")+COUNTIFS(Test_Cases!E46,"DEFINED")+COUNTIFS(Test_Cases!E47,"DEFINED")+COUNTIFS(Test_Cases!E48,"DEFINED")+COUNTIFS(Test_Cases!E49,"DEFINED")+COUNTIFS(Test_Cases!E229,"DEFINED")+COUNTIFS(Test_Cases!E230,"DEFINED")+COUNTIFS(Test_Cases!E231,"DEFINED")+COUNTIFS(Test_Cases!E259,"DEFINED")</x:f>
        <x:v>13</x:v>
      </x:c>
      <x:c r="F51" s="9" t="n">
        <x:f>COUNTIFS(Test_Cases!E37,"NEEDS_DECISION")+COUNTIFS(Test_Cases!E38,"NEEDS_DECISION")+COUNTIFS(Test_Cases!E39,"NEEDS_DECISION")+COUNTIFS(Test_Cases!E40,"NEEDS_DECISION")+COUNTIFS(Test_Cases!E41,"NEEDS_DECISION")+COUNTIFS(Test_Cases!E42,"NEEDS_DECISION")+COUNTIFS(Test_Cases!E43,"NEEDS_DECISION")+COUNTIFS(Test_Cases!E44,"NEEDS_DECISION")+COUNTIFS(Test_Cases!E45,"NEEDS_DECISION")+COUNTIFS(Test_Cases!E46,"NEEDS_DECISION")+COUNTIFS(Test_Cases!E47,"NEEDS_DECISION")+COUNTIFS(Test_Cases!E48,"NEEDS_DECISION")+COUNTIFS(Test_Cases!E49,"NEEDS_DECISION")+COUNTIFS(Test_Cases!E229,"NEEDS_DECISION")+COUNTIFS(Test_Cases!E230,"NEEDS_DECISION")+COUNTIFS(Test_Cases!E231,"NEEDS_DECISION")+COUNTIFS(Test_Cases!E259,"NEEDS_DECISION")</x:f>
        <x:v>4</x:v>
      </x:c>
      <x:c r="G51" s="9" t="n">
        <x:f>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229,"PASS")+COUNTIFS(Test_Cases!F230,"PASS")+COUNTIFS(Test_Cases!F231,"PASS")+COUNTIFS(Test_Cases!F259,"PASS")</x:f>
        <x:v>0</x:v>
      </x:c>
      <x:c r="H51" s="9" t="n">
        <x:f>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229,"FAIL")+COUNTIFS(Test_Cases!F230,"FAIL")+COUNTIFS(Test_Cases!F231,"FAIL")+COUNTIFS(Test_Cases!F259,"FAIL")</x:f>
        <x:v>0</x:v>
      </x:c>
      <x:c r="I51" s="9" t="str">
        <x:v>TC13-OTP-001, TC13-OTP-002, TC13-OTP-003, TC13-OTP-004, TC13-OTP-005, TC13-OTP-006, TC13-OTP-007, TC13-OTP-008, TC13-OTP-009, TC13-OTP-010, TC13-OTP-011, TC13-OTP-012, TC13-OTP-013, TC13-SEC-013, TC13-SEC-014, TC13-SEC-015, TC13-PERF-002</x:v>
      </x:c>
    </x:row>
    <x:row r="52" ht="94" customHeight="1">
      <x:c r="A52" s="10" t="str">
        <x:v>NFR18</x:v>
      </x:c>
      <x:c r="B52" s="10" t="str">
        <x:v>Tiến trình liên dịch vụ có trạng thái bền vững, chủ sở hữu, ID/phiên bản và phục hồi có điều kiện. Chỉ người có quyền xem/tiếp tục; operationId không tự là quyền truy cập. Thời hạn</x:v>
      </x:c>
      <x:c r="C52" s="10" t="str">
        <x:v>MVP</x:v>
      </x:c>
      <x:c r="D52" s="10" t="n">
        <x:f>COUNTA(Test_Cases!A101,Test_Cases!A121,Test_Cases!A139,Test_Cases!A140,Test_Cases!A141,Test_Cases!A206,Test_Cases!A207,Test_Cases!A208,Test_Cases!A209,Test_Cases!A210,Test_Cases!A211,Test_Cases!A212,Test_Cases!A213,Test_Cases!A214,Test_Cases!A215,Test_Cases!A216,Test_Cases!A275,Test_Cases!A281,Test_Cases!A288,Test_Cases!A296,Test_Cases!A309,Test_Cases!A310,Test_Cases!A311,Test_Cases!A312,Test_Cases!A313,Test_Cases!A314,Test_Cases!A315,Test_Cases!A319,Test_Cases!A320,Test_Cases!A321,Test_Cases!A322,Test_Cases!A323,Test_Cases!A324,Test_Cases!A325,Test_Cases!A326,Test_Cases!A327,Test_Cases!A328,Test_Cases!A329,Test_Cases!A330,Test_Cases!A334,Test_Cases!A338)</x:f>
        <x:v>41</x:v>
      </x:c>
      <x:c r="E52" s="10" t="n">
        <x:f>COUNTIFS(Test_Cases!E101,"DEFINED")+COUNTIFS(Test_Cases!E121,"DEFINED")+COUNTIFS(Test_Cases!E139,"DEFINED")+COUNTIFS(Test_Cases!E140,"DEFINED")+COUNTIFS(Test_Cases!E141,"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275,"DEFINED")+COUNTIFS(Test_Cases!E281,"DEFINED")+COUNTIFS(Test_Cases!E288,"DEFINED")+COUNTIFS(Test_Cases!E296,"DEFINED")+COUNTIFS(Test_Cases!E309,"DEFINED")+COUNTIFS(Test_Cases!E310,"DEFINED")+COUNTIFS(Test_Cases!E311,"DEFINED")+COUNTIFS(Test_Cases!E312,"DEFINED")+COUNTIFS(Test_Cases!E313,"DEFINED")+COUNTIFS(Test_Cases!E314,"DEFINED")+COUNTIFS(Test_Cases!E315,"DEFINED")+COUNTIFS(Test_Cases!E319,"DEFINED")+COUNTIFS(Test_Cases!E320,"DEFINED")+COUNTIFS(Test_Cases!E321,"DEFINED")+COUNTIFS(Test_Cases!E322,"DEFINED")+COUNTIFS(Test_Cases!E323,"DEFINED")+COUNTIFS(Test_Cases!E324,"DEFINED")+COUNTIFS(Test_Cases!E325,"DEFINED")+COUNTIFS(Test_Cases!E326,"DEFINED")+COUNTIFS(Test_Cases!E327,"DEFINED")+COUNTIFS(Test_Cases!E328,"DEFINED")+COUNTIFS(Test_Cases!E329,"DEFINED")+COUNTIFS(Test_Cases!E330,"DEFINED")+COUNTIFS(Test_Cases!E334,"DEFINED")+COUNTIFS(Test_Cases!E338,"DEFINED")</x:f>
        <x:v>28</x:v>
      </x:c>
      <x:c r="F52" s="10" t="n">
        <x:f>COUNTIFS(Test_Cases!E101,"NEEDS_DECISION")+COUNTIFS(Test_Cases!E121,"NEEDS_DECISION")+COUNTIFS(Test_Cases!E139,"NEEDS_DECISION")+COUNTIFS(Test_Cases!E140,"NEEDS_DECISION")+COUNTIFS(Test_Cases!E141,"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275,"NEEDS_DECISION")+COUNTIFS(Test_Cases!E281,"NEEDS_DECISION")+COUNTIFS(Test_Cases!E288,"NEEDS_DECISION")+COUNTIFS(Test_Cases!E296,"NEEDS_DECISION")+COUNTIFS(Test_Cases!E309,"NEEDS_DECISION")+COUNTIFS(Test_Cases!E310,"NEEDS_DECISION")+COUNTIFS(Test_Cases!E311,"NEEDS_DECISION")+COUNTIFS(Test_Cases!E312,"NEEDS_DECISION")+COUNTIFS(Test_Cases!E313,"NEEDS_DECISION")+COUNTIFS(Test_Cases!E314,"NEEDS_DECISION")+COUNTIFS(Test_Cases!E315,"NEEDS_DECISION")+COUNTIFS(Test_Cases!E319,"NEEDS_DECISION")+COUNTIFS(Test_Cases!E320,"NEEDS_DECISION")+COUNTIFS(Test_Cases!E321,"NEEDS_DECISION")+COUNTIFS(Test_Cases!E322,"NEEDS_DECISION")+COUNTIFS(Test_Cases!E323,"NEEDS_DECISION")+COUNTIFS(Test_Cases!E324,"NEEDS_DECISION")+COUNTIFS(Test_Cases!E325,"NEEDS_DECISION")+COUNTIFS(Test_Cases!E326,"NEEDS_DECISION")+COUNTIFS(Test_Cases!E327,"NEEDS_DECISION")+COUNTIFS(Test_Cases!E328,"NEEDS_DECISION")+COUNTIFS(Test_Cases!E329,"NEEDS_DECISION")+COUNTIFS(Test_Cases!E330,"NEEDS_DECISION")+COUNTIFS(Test_Cases!E334,"NEEDS_DECISION")+COUNTIFS(Test_Cases!E338,"NEEDS_DECISION")</x:f>
        <x:v>13</x:v>
      </x:c>
      <x:c r="G52" s="10" t="n">
        <x:f>COUNTIFS(Test_Cases!F101,"PASS")+COUNTIFS(Test_Cases!F121,"PASS")+COUNTIFS(Test_Cases!F139,"PASS")+COUNTIFS(Test_Cases!F140,"PASS")+COUNTIFS(Test_Cases!F141,"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275,"PASS")+COUNTIFS(Test_Cases!F281,"PASS")+COUNTIFS(Test_Cases!F288,"PASS")+COUNTIFS(Test_Cases!F296,"PASS")+COUNTIFS(Test_Cases!F309,"PASS")+COUNTIFS(Test_Cases!F310,"PASS")+COUNTIFS(Test_Cases!F311,"PASS")+COUNTIFS(Test_Cases!F312,"PASS")+COUNTIFS(Test_Cases!F313,"PASS")+COUNTIFS(Test_Cases!F314,"PASS")+COUNTIFS(Test_Cases!F315,"PASS")+COUNTIFS(Test_Cases!F319,"PASS")+COUNTIFS(Test_Cases!F320,"PASS")+COUNTIFS(Test_Cases!F321,"PASS")+COUNTIFS(Test_Cases!F322,"PASS")+COUNTIFS(Test_Cases!F323,"PASS")+COUNTIFS(Test_Cases!F324,"PASS")+COUNTIFS(Test_Cases!F325,"PASS")+COUNTIFS(Test_Cases!F326,"PASS")+COUNTIFS(Test_Cases!F327,"PASS")+COUNTIFS(Test_Cases!F328,"PASS")+COUNTIFS(Test_Cases!F329,"PASS")+COUNTIFS(Test_Cases!F330,"PASS")+COUNTIFS(Test_Cases!F334,"PASS")+COUNTIFS(Test_Cases!F338,"PASS")</x:f>
        <x:v>0</x:v>
      </x:c>
      <x:c r="H52" s="10" t="n">
        <x:f>COUNTIFS(Test_Cases!F101,"FAIL")+COUNTIFS(Test_Cases!F121,"FAIL")+COUNTIFS(Test_Cases!F139,"FAIL")+COUNTIFS(Test_Cases!F140,"FAIL")+COUNTIFS(Test_Cases!F141,"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275,"FAIL")+COUNTIFS(Test_Cases!F281,"FAIL")+COUNTIFS(Test_Cases!F288,"FAIL")+COUNTIFS(Test_Cases!F296,"FAIL")+COUNTIFS(Test_Cases!F309,"FAIL")+COUNTIFS(Test_Cases!F310,"FAIL")+COUNTIFS(Test_Cases!F311,"FAIL")+COUNTIFS(Test_Cases!F312,"FAIL")+COUNTIFS(Test_Cases!F313,"FAIL")+COUNTIFS(Test_Cases!F314,"FAIL")+COUNTIFS(Test_Cases!F315,"FAIL")+COUNTIFS(Test_Cases!F319,"FAIL")+COUNTIFS(Test_Cases!F320,"FAIL")+COUNTIFS(Test_Cases!F321,"FAIL")+COUNTIFS(Test_Cases!F322,"FAIL")+COUNTIFS(Test_Cases!F323,"FAIL")+COUNTIFS(Test_Cases!F324,"FAIL")+COUNTIFS(Test_Cases!F325,"FAIL")+COUNTIFS(Test_Cases!F326,"FAIL")+COUNTIFS(Test_Cases!F327,"FAIL")+COUNTIFS(Test_Cases!F328,"FAIL")+COUNTIFS(Test_Cases!F329,"FAIL")+COUNTIFS(Test_Cases!F330,"FAIL")+COUNTIFS(Test_Cases!F334,"FAIL")+COUNTIFS(Test_Cases!F338,"FAIL")</x:f>
        <x:v>0</x:v>
      </x:c>
      <x:c r="I52" s="10" t="str">
        <x:v>TC13-BOOK-021, TC13-DISP-020, TC13-TRIP-018, TC13-TRIP-019, TC13-TRIP-020, TC13-SAGA-001, TC13-SAGA-002, TC13-SAGA-003, TC13-SAGA-004, TC13-SAGA-005, TC13-SAGA-006, TC13-SAGA-007, TC13-SAGA-008, TC13-SAGA-009, TC13-SAGA-010, TC13-SAGA-011, TC13-API-011, TC13-API-017, TC13-API-024, TC13-API-032, TC13-API-045, TC13-API-046, TC13-API-047, TC13-API-048, TC13-API-049, TC13-API-050, TC13-API-051, TC13-API-055, TC13-API-056, TC13-API-057, TC13-API-058, TC13-API-059, TC13-API-060, TC13-API-061, TC13-API-062, TC13-API-063, TC13-API-064, TC13-API-065, TC13-API-066, TC13-API-070, TC13-API-074</x:v>
      </x:c>
    </x:row>
    <x:row r="53" ht="94" customHeight="1">
      <x:c r="A53" s="9" t="str">
        <x:v>AC01</x:v>
      </x:c>
      <x:c r="B53" s="9" t="str">
        <x:v>Tiêu chí chấp nhận 01</x:v>
      </x:c>
      <x:c r="C53" s="9" t="str">
        <x:v>MVP</x:v>
      </x:c>
      <x:c r="D53" s="9" t="n">
        <x:f>COUNTA(Test_Cases!A7,Test_Cases!A8,Test_Cases!A9,Test_Cases!A10,Test_Cases!A11,Test_Cases!A12,Test_Cases!A13,Test_Cases!A14,Test_Cases!A15,Test_Cases!A16,Test_Cases!A17,Test_Cases!A18,Test_Cases!A19,Test_Cases!A20,Test_Cases!A21,Test_Cases!A22,Test_Cases!A23,Test_Cases!A24,Test_Cases!A25,Test_Cases!A26,Test_Cases!A27,Test_Cases!A28,Test_Cases!A29,Test_Cases!A30,Test_Cases!A34,Test_Cases!A35,Test_Cases!A36,Test_Cases!A219,Test_Cases!A220,Test_Cases!A221,Test_Cases!A253,Test_Cases!A254,Test_Cases!A255,Test_Cases!A256,Test_Cases!A257,Test_Cases!A265,Test_Cases!A266,Test_Cases!A267,Test_Cases!A268,Test_Cases!A269,Test_Cases!A272,Test_Cases!A273,Test_Cases!A275)</x:f>
        <x:v>43</x:v>
      </x:c>
      <x:c r="E53" s="9"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19,"DEFINED")+COUNTIFS(Test_Cases!E20,"DEFINED")+COUNTIFS(Test_Cases!E21,"DEFINED")+COUNTIFS(Test_Cases!E22,"DEFINED")+COUNTIFS(Test_Cases!E23,"DEFINED")+COUNTIFS(Test_Cases!E24,"DEFINED")+COUNTIFS(Test_Cases!E25,"DEFINED")+COUNTIFS(Test_Cases!E26,"DEFINED")+COUNTIFS(Test_Cases!E27,"DEFINED")+COUNTIFS(Test_Cases!E28,"DEFINED")+COUNTIFS(Test_Cases!E29,"DEFINED")+COUNTIFS(Test_Cases!E30,"DEFINED")+COUNTIFS(Test_Cases!E34,"DEFINED")+COUNTIFS(Test_Cases!E35,"DEFINED")+COUNTIFS(Test_Cases!E36,"DEFINED")+COUNTIFS(Test_Cases!E219,"DEFINED")+COUNTIFS(Test_Cases!E220,"DEFINED")+COUNTIFS(Test_Cases!E221,"DEFINED")+COUNTIFS(Test_Cases!E253,"DEFINED")+COUNTIFS(Test_Cases!E254,"DEFINED")+COUNTIFS(Test_Cases!E255,"DEFINED")+COUNTIFS(Test_Cases!E256,"DEFINED")+COUNTIFS(Test_Cases!E257,"DEFINED")+COUNTIFS(Test_Cases!E265,"DEFINED")+COUNTIFS(Test_Cases!E266,"DEFINED")+COUNTIFS(Test_Cases!E267,"DEFINED")+COUNTIFS(Test_Cases!E268,"DEFINED")+COUNTIFS(Test_Cases!E269,"DEFINED")+COUNTIFS(Test_Cases!E272,"DEFINED")+COUNTIFS(Test_Cases!E273,"DEFINED")+COUNTIFS(Test_Cases!E275,"DEFINED")</x:f>
        <x:v>36</x:v>
      </x:c>
      <x:c r="F53" s="9"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19,"NEEDS_DECISION")+COUNTIFS(Test_Cases!E20,"NEEDS_DECISION")+COUNTIFS(Test_Cases!E21,"NEEDS_DECISION")+COUNTIFS(Test_Cases!E22,"NEEDS_DECISION")+COUNTIFS(Test_Cases!E23,"NEEDS_DECISION")+COUNTIFS(Test_Cases!E24,"NEEDS_DECISION")+COUNTIFS(Test_Cases!E25,"NEEDS_DECISION")+COUNTIFS(Test_Cases!E26,"NEEDS_DECISION")+COUNTIFS(Test_Cases!E27,"NEEDS_DECISION")+COUNTIFS(Test_Cases!E28,"NEEDS_DECISION")+COUNTIFS(Test_Cases!E29,"NEEDS_DECISION")+COUNTIFS(Test_Cases!E30,"NEEDS_DECISION")+COUNTIFS(Test_Cases!E34,"NEEDS_DECISION")+COUNTIFS(Test_Cases!E35,"NEEDS_DECISION")+COUNTIFS(Test_Cases!E36,"NEEDS_DECISION")+COUNTIFS(Test_Cases!E219,"NEEDS_DECISION")+COUNTIFS(Test_Cases!E220,"NEEDS_DECISION")+COUNTIFS(Test_Cases!E221,"NEEDS_DECISION")+COUNTIFS(Test_Cases!E253,"NEEDS_DECISION")+COUNTIFS(Test_Cases!E254,"NEEDS_DECISION")+COUNTIFS(Test_Cases!E255,"NEEDS_DECISION")+COUNTIFS(Test_Cases!E256,"NEEDS_DECISION")+COUNTIFS(Test_Cases!E257,"NEEDS_DECISION")+COUNTIFS(Test_Cases!E265,"NEEDS_DECISION")+COUNTIFS(Test_Cases!E266,"NEEDS_DECISION")+COUNTIFS(Test_Cases!E267,"NEEDS_DECISION")+COUNTIFS(Test_Cases!E268,"NEEDS_DECISION")+COUNTIFS(Test_Cases!E269,"NEEDS_DECISION")+COUNTIFS(Test_Cases!E272,"NEEDS_DECISION")+COUNTIFS(Test_Cases!E273,"NEEDS_DECISION")+COUNTIFS(Test_Cases!E275,"NEEDS_DECISION")</x:f>
        <x:v>7</x:v>
      </x:c>
      <x:c r="G53" s="9"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19,"PASS")+COUNTIFS(Test_Cases!F20,"PASS")+COUNTIFS(Test_Cases!F21,"PASS")+COUNTIFS(Test_Cases!F22,"PASS")+COUNTIFS(Test_Cases!F23,"PASS")+COUNTIFS(Test_Cases!F24,"PASS")+COUNTIFS(Test_Cases!F25,"PASS")+COUNTIFS(Test_Cases!F26,"PASS")+COUNTIFS(Test_Cases!F27,"PASS")+COUNTIFS(Test_Cases!F28,"PASS")+COUNTIFS(Test_Cases!F29,"PASS")+COUNTIFS(Test_Cases!F30,"PASS")+COUNTIFS(Test_Cases!F34,"PASS")+COUNTIFS(Test_Cases!F35,"PASS")+COUNTIFS(Test_Cases!F36,"PASS")+COUNTIFS(Test_Cases!F219,"PASS")+COUNTIFS(Test_Cases!F220,"PASS")+COUNTIFS(Test_Cases!F221,"PASS")+COUNTIFS(Test_Cases!F253,"PASS")+COUNTIFS(Test_Cases!F254,"PASS")+COUNTIFS(Test_Cases!F255,"PASS")+COUNTIFS(Test_Cases!F256,"PASS")+COUNTIFS(Test_Cases!F257,"PASS")+COUNTIFS(Test_Cases!F265,"PASS")+COUNTIFS(Test_Cases!F266,"PASS")+COUNTIFS(Test_Cases!F267,"PASS")+COUNTIFS(Test_Cases!F268,"PASS")+COUNTIFS(Test_Cases!F269,"PASS")+COUNTIFS(Test_Cases!F272,"PASS")+COUNTIFS(Test_Cases!F273,"PASS")+COUNTIFS(Test_Cases!F275,"PASS")</x:f>
        <x:v>0</x:v>
      </x:c>
      <x:c r="H53" s="9"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19,"FAIL")+COUNTIFS(Test_Cases!F20,"FAIL")+COUNTIFS(Test_Cases!F21,"FAIL")+COUNTIFS(Test_Cases!F22,"FAIL")+COUNTIFS(Test_Cases!F23,"FAIL")+COUNTIFS(Test_Cases!F24,"FAIL")+COUNTIFS(Test_Cases!F25,"FAIL")+COUNTIFS(Test_Cases!F26,"FAIL")+COUNTIFS(Test_Cases!F27,"FAIL")+COUNTIFS(Test_Cases!F28,"FAIL")+COUNTIFS(Test_Cases!F29,"FAIL")+COUNTIFS(Test_Cases!F30,"FAIL")+COUNTIFS(Test_Cases!F34,"FAIL")+COUNTIFS(Test_Cases!F35,"FAIL")+COUNTIFS(Test_Cases!F36,"FAIL")+COUNTIFS(Test_Cases!F219,"FAIL")+COUNTIFS(Test_Cases!F220,"FAIL")+COUNTIFS(Test_Cases!F221,"FAIL")+COUNTIFS(Test_Cases!F253,"FAIL")+COUNTIFS(Test_Cases!F254,"FAIL")+COUNTIFS(Test_Cases!F255,"FAIL")+COUNTIFS(Test_Cases!F256,"FAIL")+COUNTIFS(Test_Cases!F257,"FAIL")+COUNTIFS(Test_Cases!F265,"FAIL")+COUNTIFS(Test_Cases!F266,"FAIL")+COUNTIFS(Test_Cases!F267,"FAIL")+COUNTIFS(Test_Cases!F268,"FAIL")+COUNTIFS(Test_Cases!F269,"FAIL")+COUNTIFS(Test_Cases!F272,"FAIL")+COUNTIFS(Test_Cases!F273,"FAIL")+COUNTIFS(Test_Cases!F275,"FAIL")</x:f>
        <x:v>0</x:v>
      </x:c>
      <x:c r="I53" s="9" t="str">
        <x:v>TC13-AUTH-001, TC13-AUTH-002, TC13-AUTH-003, TC13-AUTH-004, TC13-AUTH-005, TC13-AUTH-006, TC13-AUTH-007, TC13-AUTH-008, TC13-AUTH-009, TC13-AUTH-010, TC13-AUTH-011, TC13-AUTH-012, TC13-AUTH-013, TC13-AUTH-014, TC13-AUTH-015, TC13-AUTH-016, TC13-AUTH-017, TC13-AUTH-018, TC13-AUTH-019, TC13-AUTH-020, TC13-AUTH-021, TC13-AUTH-022, TC13-AUTH-023, TC13-AUTH-024, TC13-AUTH-028, TC13-AUTH-029, TC13-AUTH-030, TC13-SEC-003, TC13-SEC-004, TC13-SEC-005, TC13-E2E-001, TC13-E2E-002, TC13-E2E-003, TC13-E2E-004, TC13-E2E-005, TC13-API-001, TC13-API-002, TC13-API-003, TC13-API-004, TC13-API-005, TC13-API-008, TC13-API-009, TC13-API-011</x:v>
      </x:c>
    </x:row>
    <x:row r="54" ht="52" customHeight="1">
      <x:c r="A54" s="10" t="str">
        <x:v>AC02</x:v>
      </x:c>
      <x:c r="B54" s="10" t="str">
        <x:v>Tiêu chí chấp nhận 02</x:v>
      </x:c>
      <x:c r="C54" s="10" t="str">
        <x:v>MVP</x:v>
      </x:c>
      <x:c r="D54" s="10" t="n">
        <x:f>COUNTA(Test_Cases!A81,Test_Cases!A82,Test_Cases!A83,Test_Cases!A84,Test_Cases!A85,Test_Cases!A86,Test_Cases!A87,Test_Cases!A88,Test_Cases!A89,Test_Cases!A90,Test_Cases!A91,Test_Cases!A253,Test_Cases!A254,Test_Cases!A255,Test_Cases!A256,Test_Cases!A257,Test_Cases!A277,Test_Cases!A278,Test_Cases!A279,Test_Cases!A281)</x:f>
        <x:v>20</x:v>
      </x:c>
      <x:c r="E54" s="10" t="n">
        <x:f>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253,"DEFINED")+COUNTIFS(Test_Cases!E254,"DEFINED")+COUNTIFS(Test_Cases!E255,"DEFINED")+COUNTIFS(Test_Cases!E256,"DEFINED")+COUNTIFS(Test_Cases!E257,"DEFINED")+COUNTIFS(Test_Cases!E277,"DEFINED")+COUNTIFS(Test_Cases!E278,"DEFINED")+COUNTIFS(Test_Cases!E279,"DEFINED")+COUNTIFS(Test_Cases!E281,"DEFINED")</x:f>
        <x:v>16</x:v>
      </x:c>
      <x:c r="F54" s="10" t="n">
        <x:f>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253,"NEEDS_DECISION")+COUNTIFS(Test_Cases!E254,"NEEDS_DECISION")+COUNTIFS(Test_Cases!E255,"NEEDS_DECISION")+COUNTIFS(Test_Cases!E256,"NEEDS_DECISION")+COUNTIFS(Test_Cases!E257,"NEEDS_DECISION")+COUNTIFS(Test_Cases!E277,"NEEDS_DECISION")+COUNTIFS(Test_Cases!E278,"NEEDS_DECISION")+COUNTIFS(Test_Cases!E279,"NEEDS_DECISION")+COUNTIFS(Test_Cases!E281,"NEEDS_DECISION")</x:f>
        <x:v>4</x:v>
      </x:c>
      <x:c r="G54" s="10" t="n">
        <x:f>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253,"PASS")+COUNTIFS(Test_Cases!F254,"PASS")+COUNTIFS(Test_Cases!F255,"PASS")+COUNTIFS(Test_Cases!F256,"PASS")+COUNTIFS(Test_Cases!F257,"PASS")+COUNTIFS(Test_Cases!F277,"PASS")+COUNTIFS(Test_Cases!F278,"PASS")+COUNTIFS(Test_Cases!F279,"PASS")+COUNTIFS(Test_Cases!F281,"PASS")</x:f>
        <x:v>0</x:v>
      </x:c>
      <x:c r="H54" s="10" t="n">
        <x:f>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253,"FAIL")+COUNTIFS(Test_Cases!F254,"FAIL")+COUNTIFS(Test_Cases!F255,"FAIL")+COUNTIFS(Test_Cases!F256,"FAIL")+COUNTIFS(Test_Cases!F257,"FAIL")+COUNTIFS(Test_Cases!F277,"FAIL")+COUNTIFS(Test_Cases!F278,"FAIL")+COUNTIFS(Test_Cases!F279,"FAIL")+COUNTIFS(Test_Cases!F281,"FAIL")</x:f>
        <x:v>0</x:v>
      </x:c>
      <x:c r="I54" s="10" t="str">
        <x:v>TC13-BOOK-001, TC13-BOOK-002, TC13-BOOK-003, TC13-BOOK-004, TC13-BOOK-005, TC13-BOOK-006, TC13-BOOK-007, TC13-BOOK-008, TC13-BOOK-009, TC13-BOOK-010, TC13-BOOK-011, TC13-E2E-001, TC13-E2E-002, TC13-E2E-003, TC13-E2E-004, TC13-E2E-005, TC13-API-013, TC13-API-014, TC13-API-015, TC13-API-017</x:v>
      </x:c>
    </x:row>
    <x:row r="55" ht="80" customHeight="1">
      <x:c r="A55" s="9" t="str">
        <x:v>AC03</x:v>
      </x:c>
      <x:c r="B55" s="9" t="str">
        <x:v>Tiêu chí chấp nhận 03</x:v>
      </x:c>
      <x:c r="C55" s="9" t="str">
        <x:v>MVP</x:v>
      </x:c>
      <x:c r="D55" s="9" t="n">
        <x:f>COUNTA(Test_Cases!A102,Test_Cases!A103,Test_Cases!A104,Test_Cases!A105,Test_Cases!A106,Test_Cases!A107,Test_Cases!A108,Test_Cases!A109,Test_Cases!A110,Test_Cases!A111,Test_Cases!A112,Test_Cases!A113,Test_Cases!A114,Test_Cases!A115,Test_Cases!A116,Test_Cases!A117,Test_Cases!A118,Test_Cases!A119,Test_Cases!A120,Test_Cases!A190,Test_Cases!A250,Test_Cases!A253,Test_Cases!A254,Test_Cases!A255,Test_Cases!A256,Test_Cases!A257,Test_Cases!A283,Test_Cases!A284,Test_Cases!A285,Test_Cases!A286,Test_Cases!A287,Test_Cases!A288)</x:f>
        <x:v>32</x:v>
      </x:c>
      <x:c r="E55" s="9" t="n">
        <x:f>COUNTIFS(Test_Cases!E102,"DEFINED")+COUNTIFS(Test_Cases!E103,"DEFINED")+COUNTIFS(Test_Cases!E104,"DEFINED")+COUNTIFS(Test_Cases!E105,"DEFINED")+COUNTIFS(Test_Cases!E106,"DEFINED")+COUNTIFS(Test_Cases!E107,"DEFINED")+COUNTIFS(Test_Cases!E108,"DEFINED")+COUNTIFS(Test_Cases!E109,"DEFINED")+COUNTIFS(Test_Cases!E110,"DEFINED")+COUNTIFS(Test_Cases!E111,"DEFINED")+COUNTIFS(Test_Cases!E112,"DEFINED")+COUNTIFS(Test_Cases!E113,"DEFINED")+COUNTIFS(Test_Cases!E114,"DEFINED")+COUNTIFS(Test_Cases!E115,"DEFINED")+COUNTIFS(Test_Cases!E116,"DEFINED")+COUNTIFS(Test_Cases!E117,"DEFINED")+COUNTIFS(Test_Cases!E118,"DEFINED")+COUNTIFS(Test_Cases!E119,"DEFINED")+COUNTIFS(Test_Cases!E120,"DEFINED")+COUNTIFS(Test_Cases!E190,"DEFINED")+COUNTIFS(Test_Cases!E250,"DEFINED")+COUNTIFS(Test_Cases!E253,"DEFINED")+COUNTIFS(Test_Cases!E254,"DEFINED")+COUNTIFS(Test_Cases!E255,"DEFINED")+COUNTIFS(Test_Cases!E256,"DEFINED")+COUNTIFS(Test_Cases!E257,"DEFINED")+COUNTIFS(Test_Cases!E283,"DEFINED")+COUNTIFS(Test_Cases!E284,"DEFINED")+COUNTIFS(Test_Cases!E285,"DEFINED")+COUNTIFS(Test_Cases!E286,"DEFINED")+COUNTIFS(Test_Cases!E287,"DEFINED")+COUNTIFS(Test_Cases!E288,"DEFINED")</x:f>
        <x:v>23</x:v>
      </x:c>
      <x:c r="F55" s="9" t="n">
        <x:f>COUNTIFS(Test_Cases!E102,"NEEDS_DECISION")+COUNTIFS(Test_Cases!E103,"NEEDS_DECISION")+COUNTIFS(Test_Cases!E104,"NEEDS_DECISION")+COUNTIFS(Test_Cases!E105,"NEEDS_DECISION")+COUNTIFS(Test_Cases!E106,"NEEDS_DECISION")+COUNTIFS(Test_Cases!E107,"NEEDS_DECISION")+COUNTIFS(Test_Cases!E108,"NEEDS_DECISION")+COUNTIFS(Test_Cases!E109,"NEEDS_DECISION")+COUNTIFS(Test_Cases!E110,"NEEDS_DECISION")+COUNTIFS(Test_Cases!E111,"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120,"NEEDS_DECISION")+COUNTIFS(Test_Cases!E190,"NEEDS_DECISION")+COUNTIFS(Test_Cases!E250,"NEEDS_DECISION")+COUNTIFS(Test_Cases!E253,"NEEDS_DECISION")+COUNTIFS(Test_Cases!E254,"NEEDS_DECISION")+COUNTIFS(Test_Cases!E255,"NEEDS_DECISION")+COUNTIFS(Test_Cases!E256,"NEEDS_DECISION")+COUNTIFS(Test_Cases!E257,"NEEDS_DECISION")+COUNTIFS(Test_Cases!E283,"NEEDS_DECISION")+COUNTIFS(Test_Cases!E284,"NEEDS_DECISION")+COUNTIFS(Test_Cases!E285,"NEEDS_DECISION")+COUNTIFS(Test_Cases!E286,"NEEDS_DECISION")+COUNTIFS(Test_Cases!E287,"NEEDS_DECISION")+COUNTIFS(Test_Cases!E288,"NEEDS_DECISION")</x:f>
        <x:v>9</x:v>
      </x:c>
      <x:c r="G55" s="9" t="n">
        <x:f>COUNTIFS(Test_Cases!F102,"PASS")+COUNTIFS(Test_Cases!F103,"PASS")+COUNTIFS(Test_Cases!F104,"PASS")+COUNTIFS(Test_Cases!F105,"PASS")+COUNTIFS(Test_Cases!F106,"PASS")+COUNTIFS(Test_Cases!F107,"PASS")+COUNTIFS(Test_Cases!F108,"PASS")+COUNTIFS(Test_Cases!F109,"PASS")+COUNTIFS(Test_Cases!F110,"PASS")+COUNTIFS(Test_Cases!F111,"PASS")+COUNTIFS(Test_Cases!F112,"PASS")+COUNTIFS(Test_Cases!F113,"PASS")+COUNTIFS(Test_Cases!F114,"PASS")+COUNTIFS(Test_Cases!F115,"PASS")+COUNTIFS(Test_Cases!F116,"PASS")+COUNTIFS(Test_Cases!F117,"PASS")+COUNTIFS(Test_Cases!F118,"PASS")+COUNTIFS(Test_Cases!F119,"PASS")+COUNTIFS(Test_Cases!F120,"PASS")+COUNTIFS(Test_Cases!F190,"PASS")+COUNTIFS(Test_Cases!F250,"PASS")+COUNTIFS(Test_Cases!F253,"PASS")+COUNTIFS(Test_Cases!F254,"PASS")+COUNTIFS(Test_Cases!F255,"PASS")+COUNTIFS(Test_Cases!F256,"PASS")+COUNTIFS(Test_Cases!F257,"PASS")+COUNTIFS(Test_Cases!F283,"PASS")+COUNTIFS(Test_Cases!F284,"PASS")+COUNTIFS(Test_Cases!F285,"PASS")+COUNTIFS(Test_Cases!F286,"PASS")+COUNTIFS(Test_Cases!F287,"PASS")+COUNTIFS(Test_Cases!F288,"PASS")</x:f>
        <x:v>0</x:v>
      </x:c>
      <x:c r="H55" s="9" t="n">
        <x:f>COUNTIFS(Test_Cases!F102,"FAIL")+COUNTIFS(Test_Cases!F103,"FAIL")+COUNTIFS(Test_Cases!F104,"FAIL")+COUNTIFS(Test_Cases!F105,"FAIL")+COUNTIFS(Test_Cases!F106,"FAIL")+COUNTIFS(Test_Cases!F107,"FAIL")+COUNTIFS(Test_Cases!F108,"FAIL")+COUNTIFS(Test_Cases!F109,"FAIL")+COUNTIFS(Test_Cases!F110,"FAIL")+COUNTIFS(Test_Cases!F111,"FAIL")+COUNTIFS(Test_Cases!F112,"FAIL")+COUNTIFS(Test_Cases!F113,"FAIL")+COUNTIFS(Test_Cases!F114,"FAIL")+COUNTIFS(Test_Cases!F115,"FAIL")+COUNTIFS(Test_Cases!F116,"FAIL")+COUNTIFS(Test_Cases!F117,"FAIL")+COUNTIFS(Test_Cases!F118,"FAIL")+COUNTIFS(Test_Cases!F119,"FAIL")+COUNTIFS(Test_Cases!F120,"FAIL")+COUNTIFS(Test_Cases!F190,"FAIL")+COUNTIFS(Test_Cases!F250,"FAIL")+COUNTIFS(Test_Cases!F253,"FAIL")+COUNTIFS(Test_Cases!F254,"FAIL")+COUNTIFS(Test_Cases!F255,"FAIL")+COUNTIFS(Test_Cases!F256,"FAIL")+COUNTIFS(Test_Cases!F257,"FAIL")+COUNTIFS(Test_Cases!F283,"FAIL")+COUNTIFS(Test_Cases!F284,"FAIL")+COUNTIFS(Test_Cases!F285,"FAIL")+COUNTIFS(Test_Cases!F286,"FAIL")+COUNTIFS(Test_Cases!F287,"FAIL")+COUNTIFS(Test_Cases!F288,"FAIL")</x:f>
        <x:v>0</x:v>
      </x:c>
      <x:c r="I55" s="9" t="str">
        <x:v>TC13-DISP-001, TC13-DISP-002, TC13-DISP-003, TC13-DISP-004, TC13-DISP-005, TC13-DISP-006, TC13-DISP-007, TC13-DISP-008, TC13-DISP-009, TC13-DISP-010, TC13-DISP-011, TC13-DISP-012, TC13-DISP-013, TC13-DISP-014, TC13-DISP-015, TC13-DISP-016, TC13-DISP-017, TC13-DISP-018, TC13-DISP-019, TC13-NOTI-010, TC13-INFRA-017, TC13-E2E-001, TC13-E2E-002, TC13-E2E-003, TC13-E2E-004, TC13-E2E-005, TC13-API-019, TC13-API-020, TC13-API-021, TC13-API-022, TC13-API-023, TC13-API-024</x:v>
      </x:c>
    </x:row>
    <x:row r="56" ht="38" customHeight="1">
      <x:c r="A56" s="10" t="str">
        <x:v>AC04</x:v>
      </x:c>
      <x:c r="B56" s="10" t="str">
        <x:v>Tiêu chí chấp nhận 04</x:v>
      </x:c>
      <x:c r="C56" s="10" t="str">
        <x:v>MVP</x:v>
      </x:c>
      <x:c r="D56" s="10" t="n">
        <x:f>COUNTA(Test_Cases!A142,Test_Cases!A143,Test_Cases!A144,Test_Cases!A145,Test_Cases!A146,Test_Cases!A147,Test_Cases!A148,Test_Cases!A260,Test_Cases!A291)</x:f>
        <x:v>9</x:v>
      </x:c>
      <x:c r="E56" s="10" t="n">
        <x:f>COUNTIFS(Test_Cases!E142,"DEFINED")+COUNTIFS(Test_Cases!E143,"DEFINED")+COUNTIFS(Test_Cases!E144,"DEFINED")+COUNTIFS(Test_Cases!E145,"DEFINED")+COUNTIFS(Test_Cases!E146,"DEFINED")+COUNTIFS(Test_Cases!E147,"DEFINED")+COUNTIFS(Test_Cases!E148,"DEFINED")+COUNTIFS(Test_Cases!E260,"DEFINED")+COUNTIFS(Test_Cases!E291,"DEFINED")</x:f>
        <x:v>8</x:v>
      </x:c>
      <x:c r="F56" s="10" t="n">
        <x:f>COUNTIFS(Test_Cases!E142,"NEEDS_DECISION")+COUNTIFS(Test_Cases!E143,"NEEDS_DECISION")+COUNTIFS(Test_Cases!E144,"NEEDS_DECISION")+COUNTIFS(Test_Cases!E145,"NEEDS_DECISION")+COUNTIFS(Test_Cases!E146,"NEEDS_DECISION")+COUNTIFS(Test_Cases!E147,"NEEDS_DECISION")+COUNTIFS(Test_Cases!E148,"NEEDS_DECISION")+COUNTIFS(Test_Cases!E260,"NEEDS_DECISION")+COUNTIFS(Test_Cases!E291,"NEEDS_DECISION")</x:f>
        <x:v>1</x:v>
      </x:c>
      <x:c r="G56" s="10" t="n">
        <x:f>COUNTIFS(Test_Cases!F142,"PASS")+COUNTIFS(Test_Cases!F143,"PASS")+COUNTIFS(Test_Cases!F144,"PASS")+COUNTIFS(Test_Cases!F145,"PASS")+COUNTIFS(Test_Cases!F146,"PASS")+COUNTIFS(Test_Cases!F147,"PASS")+COUNTIFS(Test_Cases!F148,"PASS")+COUNTIFS(Test_Cases!F260,"PASS")+COUNTIFS(Test_Cases!F291,"PASS")</x:f>
        <x:v>0</x:v>
      </x:c>
      <x:c r="H56" s="10" t="n">
        <x:f>COUNTIFS(Test_Cases!F142,"FAIL")+COUNTIFS(Test_Cases!F143,"FAIL")+COUNTIFS(Test_Cases!F144,"FAIL")+COUNTIFS(Test_Cases!F145,"FAIL")+COUNTIFS(Test_Cases!F146,"FAIL")+COUNTIFS(Test_Cases!F147,"FAIL")+COUNTIFS(Test_Cases!F148,"FAIL")+COUNTIFS(Test_Cases!F260,"FAIL")+COUNTIFS(Test_Cases!F291,"FAIL")</x:f>
        <x:v>0</x:v>
      </x:c>
      <x:c r="I56" s="10" t="str">
        <x:v>TC13-TRIP-021, TC13-TRIP-022, TC13-TRIP-023, TC13-TRIP-024, TC13-TRIP-025, TC13-TRIP-026, TC13-TRIP-027, TC13-PERF-003, TC13-API-027</x:v>
      </x:c>
    </x:row>
    <x:row r="57" ht="38" customHeight="1">
      <x:c r="A57" s="9" t="str">
        <x:v>AC05</x:v>
      </x:c>
      <x:c r="B57" s="9" t="str">
        <x:v>Tiêu chí chấp nhận 05</x:v>
      </x:c>
      <x:c r="C57" s="9" t="str">
        <x:v>MVP</x:v>
      </x:c>
      <x:c r="D57" s="9" t="n">
        <x:f>COUNTA(Test_Cases!A122,Test_Cases!A123,Test_Cases!A124,Test_Cases!A125,Test_Cases!A126,Test_Cases!A253,Test_Cases!A254,Test_Cases!A255,Test_Cases!A256,Test_Cases!A257,Test_Cases!A289,Test_Cases!A290,Test_Cases!A292,Test_Cases!A296)</x:f>
        <x:v>14</x:v>
      </x:c>
      <x:c r="E57" s="9" t="n">
        <x:f>COUNTIFS(Test_Cases!E122,"DEFINED")+COUNTIFS(Test_Cases!E123,"DEFINED")+COUNTIFS(Test_Cases!E124,"DEFINED")+COUNTIFS(Test_Cases!E125,"DEFINED")+COUNTIFS(Test_Cases!E126,"DEFINED")+COUNTIFS(Test_Cases!E253,"DEFINED")+COUNTIFS(Test_Cases!E254,"DEFINED")+COUNTIFS(Test_Cases!E255,"DEFINED")+COUNTIFS(Test_Cases!E256,"DEFINED")+COUNTIFS(Test_Cases!E257,"DEFINED")+COUNTIFS(Test_Cases!E289,"DEFINED")+COUNTIFS(Test_Cases!E290,"DEFINED")+COUNTIFS(Test_Cases!E292,"DEFINED")+COUNTIFS(Test_Cases!E296,"DEFINED")</x:f>
        <x:v>12</x:v>
      </x:c>
      <x:c r="F57" s="9" t="n">
        <x:f>COUNTIFS(Test_Cases!E122,"NEEDS_DECISION")+COUNTIFS(Test_Cases!E123,"NEEDS_DECISION")+COUNTIFS(Test_Cases!E124,"NEEDS_DECISION")+COUNTIFS(Test_Cases!E125,"NEEDS_DECISION")+COUNTIFS(Test_Cases!E126,"NEEDS_DECISION")+COUNTIFS(Test_Cases!E253,"NEEDS_DECISION")+COUNTIFS(Test_Cases!E254,"NEEDS_DECISION")+COUNTIFS(Test_Cases!E255,"NEEDS_DECISION")+COUNTIFS(Test_Cases!E256,"NEEDS_DECISION")+COUNTIFS(Test_Cases!E257,"NEEDS_DECISION")+COUNTIFS(Test_Cases!E289,"NEEDS_DECISION")+COUNTIFS(Test_Cases!E290,"NEEDS_DECISION")+COUNTIFS(Test_Cases!E292,"NEEDS_DECISION")+COUNTIFS(Test_Cases!E296,"NEEDS_DECISION")</x:f>
        <x:v>2</x:v>
      </x:c>
      <x:c r="G57" s="9" t="n">
        <x:f>COUNTIFS(Test_Cases!F122,"PASS")+COUNTIFS(Test_Cases!F123,"PASS")+COUNTIFS(Test_Cases!F124,"PASS")+COUNTIFS(Test_Cases!F125,"PASS")+COUNTIFS(Test_Cases!F126,"PASS")+COUNTIFS(Test_Cases!F253,"PASS")+COUNTIFS(Test_Cases!F254,"PASS")+COUNTIFS(Test_Cases!F255,"PASS")+COUNTIFS(Test_Cases!F256,"PASS")+COUNTIFS(Test_Cases!F257,"PASS")+COUNTIFS(Test_Cases!F289,"PASS")+COUNTIFS(Test_Cases!F290,"PASS")+COUNTIFS(Test_Cases!F292,"PASS")+COUNTIFS(Test_Cases!F296,"PASS")</x:f>
        <x:v>0</x:v>
      </x:c>
      <x:c r="H57" s="9" t="n">
        <x:f>COUNTIFS(Test_Cases!F122,"FAIL")+COUNTIFS(Test_Cases!F123,"FAIL")+COUNTIFS(Test_Cases!F124,"FAIL")+COUNTIFS(Test_Cases!F125,"FAIL")+COUNTIFS(Test_Cases!F126,"FAIL")+COUNTIFS(Test_Cases!F253,"FAIL")+COUNTIFS(Test_Cases!F254,"FAIL")+COUNTIFS(Test_Cases!F255,"FAIL")+COUNTIFS(Test_Cases!F256,"FAIL")+COUNTIFS(Test_Cases!F257,"FAIL")+COUNTIFS(Test_Cases!F289,"FAIL")+COUNTIFS(Test_Cases!F290,"FAIL")+COUNTIFS(Test_Cases!F292,"FAIL")+COUNTIFS(Test_Cases!F296,"FAIL")</x:f>
        <x:v>0</x:v>
      </x:c>
      <x:c r="I57" s="9" t="str">
        <x:v>TC13-TRIP-001, TC13-TRIP-002, TC13-TRIP-003, TC13-TRIP-004, TC13-TRIP-005, TC13-E2E-001, TC13-E2E-002, TC13-E2E-003, TC13-E2E-004, TC13-E2E-005, TC13-API-025, TC13-API-026, TC13-API-028, TC13-API-032</x:v>
      </x:c>
    </x:row>
    <x:row r="58" ht="94" customHeight="1">
      <x:c r="A58" s="10" t="str">
        <x:v>AC06</x:v>
      </x:c>
      <x:c r="B58" s="10" t="str">
        <x:v>Tiêu chí chấp nhận 06</x:v>
      </x:c>
      <x:c r="C58" s="10" t="str">
        <x:v>MVP</x:v>
      </x:c>
      <x:c r="D58" s="10" t="n">
        <x:f>COUNTA(Test_Cases!A151,Test_Cases!A152,Test_Cases!A153,Test_Cases!A154,Test_Cases!A155,Test_Cases!A156,Test_Cases!A157,Test_Cases!A158,Test_Cases!A159,Test_Cases!A160,Test_Cases!A161,Test_Cases!A162,Test_Cases!A163,Test_Cases!A164,Test_Cases!A165,Test_Cases!A166,Test_Cases!A167,Test_Cases!A168,Test_Cases!A169,Test_Cases!A170,Test_Cases!A171,Test_Cases!A172,Test_Cases!A173,Test_Cases!A174,Test_Cases!A175,Test_Cases!A176,Test_Cases!A177,Test_Cases!A178,Test_Cases!A179,Test_Cases!A253,Test_Cases!A254,Test_Cases!A255,Test_Cases!A256,Test_Cases!A257,Test_Cases!A297,Test_Cases!A298,Test_Cases!A299,Test_Cases!A300,Test_Cases!A301,Test_Cases!A302,Test_Cases!A303,Test_Cases!A304,Test_Cases!A330)</x:f>
        <x:v>43</x:v>
      </x:c>
      <x:c r="E58" s="10" t="n">
        <x:f>COUNTIFS(Test_Cases!E151,"DEFINED")+COUNTIFS(Test_Cases!E152,"DEFINED")+COUNTIFS(Test_Cases!E153,"DEFINED")+COUNTIFS(Test_Cases!E154,"DEFINED")+COUNTIFS(Test_Cases!E155,"DEFINED")+COUNTIFS(Test_Cases!E156,"DEFINED")+COUNTIFS(Test_Cases!E157,"DEFINED")+COUNTIFS(Test_Cases!E158,"DEFINED")+COUNTIFS(Test_Cases!E159,"DEFINED")+COUNTIFS(Test_Cases!E160,"DEFINED")+COUNTIFS(Test_Cases!E161,"DEFINED")+COUNTIFS(Test_Cases!E162,"DEFINED")+COUNTIFS(Test_Cases!E163,"DEFINED")+COUNTIFS(Test_Cases!E164,"DEFINED")+COUNTIFS(Test_Cases!E165,"DEFINED")+COUNTIFS(Test_Cases!E166,"DEFINED")+COUNTIFS(Test_Cases!E167,"DEFINED")+COUNTIFS(Test_Cases!E168,"DEFINED")+COUNTIFS(Test_Cases!E169,"DEFINED")+COUNTIFS(Test_Cases!E170,"DEFINED")+COUNTIFS(Test_Cases!E171,"DEFINED")+COUNTIFS(Test_Cases!E172,"DEFINED")+COUNTIFS(Test_Cases!E173,"DEFINED")+COUNTIFS(Test_Cases!E174,"DEFINED")+COUNTIFS(Test_Cases!E175,"DEFINED")+COUNTIFS(Test_Cases!E176,"DEFINED")+COUNTIFS(Test_Cases!E177,"DEFINED")+COUNTIFS(Test_Cases!E178,"DEFINED")+COUNTIFS(Test_Cases!E179,"DEFINED")+COUNTIFS(Test_Cases!E253,"DEFINED")+COUNTIFS(Test_Cases!E254,"DEFINED")+COUNTIFS(Test_Cases!E255,"DEFINED")+COUNTIFS(Test_Cases!E256,"DEFINED")+COUNTIFS(Test_Cases!E257,"DEFINED")+COUNTIFS(Test_Cases!E297,"DEFINED")+COUNTIFS(Test_Cases!E298,"DEFINED")+COUNTIFS(Test_Cases!E299,"DEFINED")+COUNTIFS(Test_Cases!E300,"DEFINED")+COUNTIFS(Test_Cases!E301,"DEFINED")+COUNTIFS(Test_Cases!E302,"DEFINED")+COUNTIFS(Test_Cases!E303,"DEFINED")+COUNTIFS(Test_Cases!E304,"DEFINED")+COUNTIFS(Test_Cases!E330,"DEFINED")</x:f>
        <x:v>29</x:v>
      </x:c>
      <x:c r="F58" s="10" t="n">
        <x:f>COUNTIFS(Test_Cases!E151,"NEEDS_DECISION")+COUNTIFS(Test_Cases!E152,"NEEDS_DECISION")+COUNTIFS(Test_Cases!E153,"NEEDS_DECISION")+COUNTIFS(Test_Cases!E154,"NEEDS_DECISION")+COUNTIFS(Test_Cases!E155,"NEEDS_DECISION")+COUNTIFS(Test_Cases!E156,"NEEDS_DECISION")+COUNTIFS(Test_Cases!E157,"NEEDS_DECISION")+COUNTIFS(Test_Cases!E158,"NEEDS_DECISION")+COUNTIFS(Test_Cases!E159,"NEEDS_DECISION")+COUNTIFS(Test_Cases!E160,"NEEDS_DECISION")+COUNTIFS(Test_Cases!E161,"NEEDS_DECISION")+COUNTIFS(Test_Cases!E162,"NEEDS_DECISION")+COUNTIFS(Test_Cases!E163,"NEEDS_DECISION")+COUNTIFS(Test_Cases!E164,"NEEDS_DECISION")+COUNTIFS(Test_Cases!E165,"NEEDS_DECISION")+COUNTIFS(Test_Cases!E166,"NEEDS_DECISION")+COUNTIFS(Test_Cases!E167,"NEEDS_DECISION")+COUNTIFS(Test_Cases!E168,"NEEDS_DECISION")+COUNTIFS(Test_Cases!E169,"NEEDS_DECISION")+COUNTIFS(Test_Cases!E170,"NEEDS_DECISION")+COUNTIFS(Test_Cases!E171,"NEEDS_DECISION")+COUNTIFS(Test_Cases!E172,"NEEDS_DECISION")+COUNTIFS(Test_Cases!E173,"NEEDS_DECISION")+COUNTIFS(Test_Cases!E174,"NEEDS_DECISION")+COUNTIFS(Test_Cases!E175,"NEEDS_DECISION")+COUNTIFS(Test_Cases!E176,"NEEDS_DECISION")+COUNTIFS(Test_Cases!E177,"NEEDS_DECISION")+COUNTIFS(Test_Cases!E178,"NEEDS_DECISION")+COUNTIFS(Test_Cases!E179,"NEEDS_DECISION")+COUNTIFS(Test_Cases!E253,"NEEDS_DECISION")+COUNTIFS(Test_Cases!E254,"NEEDS_DECISION")+COUNTIFS(Test_Cases!E255,"NEEDS_DECISION")+COUNTIFS(Test_Cases!E256,"NEEDS_DECISION")+COUNTIFS(Test_Cases!E257,"NEEDS_DECISION")+COUNTIFS(Test_Cases!E297,"NEEDS_DECISION")+COUNTIFS(Test_Cases!E298,"NEEDS_DECISION")+COUNTIFS(Test_Cases!E299,"NEEDS_DECISION")+COUNTIFS(Test_Cases!E300,"NEEDS_DECISION")+COUNTIFS(Test_Cases!E301,"NEEDS_DECISION")+COUNTIFS(Test_Cases!E302,"NEEDS_DECISION")+COUNTIFS(Test_Cases!E303,"NEEDS_DECISION")+COUNTIFS(Test_Cases!E304,"NEEDS_DECISION")+COUNTIFS(Test_Cases!E330,"NEEDS_DECISION")</x:f>
        <x:v>14</x:v>
      </x:c>
      <x:c r="G58" s="10" t="n">
        <x:f>COUNTIFS(Test_Cases!F151,"PASS")+COUNTIFS(Test_Cases!F152,"PASS")+COUNTIFS(Test_Cases!F153,"PASS")+COUNTIFS(Test_Cases!F154,"PASS")+COUNTIFS(Test_Cases!F155,"PASS")+COUNTIFS(Test_Cases!F156,"PASS")+COUNTIFS(Test_Cases!F157,"PASS")+COUNTIFS(Test_Cases!F158,"PASS")+COUNTIFS(Test_Cases!F159,"PASS")+COUNTIFS(Test_Cases!F160,"PASS")+COUNTIFS(Test_Cases!F161,"PASS")+COUNTIFS(Test_Cases!F162,"PASS")+COUNTIFS(Test_Cases!F163,"PASS")+COUNTIFS(Test_Cases!F164,"PASS")+COUNTIFS(Test_Cases!F165,"PASS")+COUNTIFS(Test_Cases!F166,"PASS")+COUNTIFS(Test_Cases!F167,"PASS")+COUNTIFS(Test_Cases!F168,"PASS")+COUNTIFS(Test_Cases!F169,"PASS")+COUNTIFS(Test_Cases!F170,"PASS")+COUNTIFS(Test_Cases!F171,"PASS")+COUNTIFS(Test_Cases!F172,"PASS")+COUNTIFS(Test_Cases!F173,"PASS")+COUNTIFS(Test_Cases!F174,"PASS")+COUNTIFS(Test_Cases!F175,"PASS")+COUNTIFS(Test_Cases!F176,"PASS")+COUNTIFS(Test_Cases!F177,"PASS")+COUNTIFS(Test_Cases!F178,"PASS")+COUNTIFS(Test_Cases!F179,"PASS")+COUNTIFS(Test_Cases!F253,"PASS")+COUNTIFS(Test_Cases!F254,"PASS")+COUNTIFS(Test_Cases!F255,"PASS")+COUNTIFS(Test_Cases!F256,"PASS")+COUNTIFS(Test_Cases!F257,"PASS")+COUNTIFS(Test_Cases!F297,"PASS")+COUNTIFS(Test_Cases!F298,"PASS")+COUNTIFS(Test_Cases!F299,"PASS")+COUNTIFS(Test_Cases!F300,"PASS")+COUNTIFS(Test_Cases!F301,"PASS")+COUNTIFS(Test_Cases!F302,"PASS")+COUNTIFS(Test_Cases!F303,"PASS")+COUNTIFS(Test_Cases!F304,"PASS")+COUNTIFS(Test_Cases!F330,"PASS")</x:f>
        <x:v>0</x:v>
      </x:c>
      <x:c r="H58" s="10" t="n">
        <x:f>COUNTIFS(Test_Cases!F151,"FAIL")+COUNTIFS(Test_Cases!F152,"FAIL")+COUNTIFS(Test_Cases!F153,"FAIL")+COUNTIFS(Test_Cases!F154,"FAIL")+COUNTIFS(Test_Cases!F155,"FAIL")+COUNTIFS(Test_Cases!F156,"FAIL")+COUNTIFS(Test_Cases!F157,"FAIL")+COUNTIFS(Test_Cases!F158,"FAIL")+COUNTIFS(Test_Cases!F159,"FAIL")+COUNTIFS(Test_Cases!F160,"FAIL")+COUNTIFS(Test_Cases!F161,"FAIL")+COUNTIFS(Test_Cases!F162,"FAIL")+COUNTIFS(Test_Cases!F163,"FAIL")+COUNTIFS(Test_Cases!F164,"FAIL")+COUNTIFS(Test_Cases!F165,"FAIL")+COUNTIFS(Test_Cases!F166,"FAIL")+COUNTIFS(Test_Cases!F167,"FAIL")+COUNTIFS(Test_Cases!F168,"FAIL")+COUNTIFS(Test_Cases!F169,"FAIL")+COUNTIFS(Test_Cases!F170,"FAIL")+COUNTIFS(Test_Cases!F171,"FAIL")+COUNTIFS(Test_Cases!F172,"FAIL")+COUNTIFS(Test_Cases!F173,"FAIL")+COUNTIFS(Test_Cases!F174,"FAIL")+COUNTIFS(Test_Cases!F175,"FAIL")+COUNTIFS(Test_Cases!F176,"FAIL")+COUNTIFS(Test_Cases!F177,"FAIL")+COUNTIFS(Test_Cases!F178,"FAIL")+COUNTIFS(Test_Cases!F179,"FAIL")+COUNTIFS(Test_Cases!F253,"FAIL")+COUNTIFS(Test_Cases!F254,"FAIL")+COUNTIFS(Test_Cases!F255,"FAIL")+COUNTIFS(Test_Cases!F256,"FAIL")+COUNTIFS(Test_Cases!F257,"FAIL")+COUNTIFS(Test_Cases!F297,"FAIL")+COUNTIFS(Test_Cases!F298,"FAIL")+COUNTIFS(Test_Cases!F299,"FAIL")+COUNTIFS(Test_Cases!F300,"FAIL")+COUNTIFS(Test_Cases!F301,"FAIL")+COUNTIFS(Test_Cases!F302,"FAIL")+COUNTIFS(Test_Cases!F303,"FAIL")+COUNTIFS(Test_Cases!F304,"FAIL")+COUNTIFS(Test_Cases!F330,"FAIL")</x:f>
        <x:v>0</x:v>
      </x:c>
      <x:c r="I58" s="10" t="str">
        <x:v>TC13-PAY-001, TC13-PAY-002, TC13-PAY-003, TC13-PAY-004, TC13-PAY-005, TC13-PAY-006, TC13-PAY-007, TC13-PAY-008, TC13-PAY-009, TC13-PAY-010, TC13-PAY-011, TC13-PAY-012, TC13-PAY-013, TC13-PAY-014, TC13-PAY-015, TC13-PAY-016, TC13-PAY-017, TC13-PAY-018, TC13-PAY-019, TC13-PAY-020, TC13-PAY-021, TC13-PAY-022, TC13-PAY-023, TC13-PAY-024, TC13-PAY-025, TC13-PAY-026, TC13-PAY-027, TC13-PAY-028, TC13-PAY-029, TC13-E2E-001, TC13-E2E-002, TC13-E2E-003, TC13-E2E-004, TC13-E2E-005, TC13-API-033, TC13-API-034, TC13-API-035, TC13-API-036, TC13-API-037, TC13-API-038, TC13-API-039, TC13-API-040, TC13-API-066</x:v>
      </x:c>
    </x:row>
    <x:row r="59" ht="52" customHeight="1">
      <x:c r="A59" s="9" t="str">
        <x:v>AC07</x:v>
      </x:c>
      <x:c r="B59" s="9" t="str">
        <x:v>Tiêu chí chấp nhận 07</x:v>
      </x:c>
      <x:c r="C59" s="9" t="str">
        <x:v>MVP</x:v>
      </x:c>
      <x:c r="D59" s="9" t="n">
        <x:f>COUNTA(Test_Cases!A195,Test_Cases!A196,Test_Cases!A197,Test_Cases!A198,Test_Cases!A199,Test_Cases!A200,Test_Cases!A201,Test_Cases!A202,Test_Cases!A203,Test_Cases!A204,Test_Cases!A205,Test_Cases!A253,Test_Cases!A254,Test_Cases!A255,Test_Cases!A256,Test_Cases!A257,Test_Cases!A335,Test_Cases!A336,Test_Cases!A337,Test_Cases!A338)</x:f>
        <x:v>20</x:v>
      </x:c>
      <x:c r="E59" s="9" t="n">
        <x:f>COUNTIFS(Test_Cases!E195,"DEFINED")+COUNTIFS(Test_Cases!E196,"DEFINED")+COUNTIFS(Test_Cases!E197,"DEFINED")+COUNTIFS(Test_Cases!E198,"DEFINED")+COUNTIFS(Test_Cases!E199,"DEFINED")+COUNTIFS(Test_Cases!E200,"DEFINED")+COUNTIFS(Test_Cases!E201,"DEFINED")+COUNTIFS(Test_Cases!E202,"DEFINED")+COUNTIFS(Test_Cases!E203,"DEFINED")+COUNTIFS(Test_Cases!E204,"DEFINED")+COUNTIFS(Test_Cases!E205,"DEFINED")+COUNTIFS(Test_Cases!E253,"DEFINED")+COUNTIFS(Test_Cases!E254,"DEFINED")+COUNTIFS(Test_Cases!E255,"DEFINED")+COUNTIFS(Test_Cases!E256,"DEFINED")+COUNTIFS(Test_Cases!E257,"DEFINED")+COUNTIFS(Test_Cases!E335,"DEFINED")+COUNTIFS(Test_Cases!E336,"DEFINED")+COUNTIFS(Test_Cases!E337,"DEFINED")+COUNTIFS(Test_Cases!E338,"DEFINED")</x:f>
        <x:v>17</x:v>
      </x:c>
      <x:c r="F59" s="9" t="n">
        <x:f>COUNTIFS(Test_Cases!E195,"NEEDS_DECISION")+COUNTIFS(Test_Cases!E196,"NEEDS_DECISION")+COUNTIFS(Test_Cases!E197,"NEEDS_DECISION")+COUNTIFS(Test_Cases!E198,"NEEDS_DECISION")+COUNTIFS(Test_Cases!E199,"NEEDS_DECISION")+COUNTIFS(Test_Cases!E200,"NEEDS_DECISION")+COUNTIFS(Test_Cases!E201,"NEEDS_DECISION")+COUNTIFS(Test_Cases!E202,"NEEDS_DECISION")+COUNTIFS(Test_Cases!E203,"NEEDS_DECISION")+COUNTIFS(Test_Cases!E204,"NEEDS_DECISION")+COUNTIFS(Test_Cases!E205,"NEEDS_DECISION")+COUNTIFS(Test_Cases!E253,"NEEDS_DECISION")+COUNTIFS(Test_Cases!E254,"NEEDS_DECISION")+COUNTIFS(Test_Cases!E255,"NEEDS_DECISION")+COUNTIFS(Test_Cases!E256,"NEEDS_DECISION")+COUNTIFS(Test_Cases!E257,"NEEDS_DECISION")+COUNTIFS(Test_Cases!E335,"NEEDS_DECISION")+COUNTIFS(Test_Cases!E336,"NEEDS_DECISION")+COUNTIFS(Test_Cases!E337,"NEEDS_DECISION")+COUNTIFS(Test_Cases!E338,"NEEDS_DECISION")</x:f>
        <x:v>3</x:v>
      </x:c>
      <x:c r="G59" s="9" t="n">
        <x:f>COUNTIFS(Test_Cases!F195,"PASS")+COUNTIFS(Test_Cases!F196,"PASS")+COUNTIFS(Test_Cases!F197,"PASS")+COUNTIFS(Test_Cases!F198,"PASS")+COUNTIFS(Test_Cases!F199,"PASS")+COUNTIFS(Test_Cases!F200,"PASS")+COUNTIFS(Test_Cases!F201,"PASS")+COUNTIFS(Test_Cases!F202,"PASS")+COUNTIFS(Test_Cases!F203,"PASS")+COUNTIFS(Test_Cases!F204,"PASS")+COUNTIFS(Test_Cases!F205,"PASS")+COUNTIFS(Test_Cases!F253,"PASS")+COUNTIFS(Test_Cases!F254,"PASS")+COUNTIFS(Test_Cases!F255,"PASS")+COUNTIFS(Test_Cases!F256,"PASS")+COUNTIFS(Test_Cases!F257,"PASS")+COUNTIFS(Test_Cases!F335,"PASS")+COUNTIFS(Test_Cases!F336,"PASS")+COUNTIFS(Test_Cases!F337,"PASS")+COUNTIFS(Test_Cases!F338,"PASS")</x:f>
        <x:v>0</x:v>
      </x:c>
      <x:c r="H59" s="9" t="n">
        <x:f>COUNTIFS(Test_Cases!F195,"FAIL")+COUNTIFS(Test_Cases!F196,"FAIL")+COUNTIFS(Test_Cases!F197,"FAIL")+COUNTIFS(Test_Cases!F198,"FAIL")+COUNTIFS(Test_Cases!F199,"FAIL")+COUNTIFS(Test_Cases!F200,"FAIL")+COUNTIFS(Test_Cases!F201,"FAIL")+COUNTIFS(Test_Cases!F202,"FAIL")+COUNTIFS(Test_Cases!F203,"FAIL")+COUNTIFS(Test_Cases!F204,"FAIL")+COUNTIFS(Test_Cases!F205,"FAIL")+COUNTIFS(Test_Cases!F253,"FAIL")+COUNTIFS(Test_Cases!F254,"FAIL")+COUNTIFS(Test_Cases!F255,"FAIL")+COUNTIFS(Test_Cases!F256,"FAIL")+COUNTIFS(Test_Cases!F257,"FAIL")+COUNTIFS(Test_Cases!F335,"FAIL")+COUNTIFS(Test_Cases!F336,"FAIL")+COUNTIFS(Test_Cases!F337,"FAIL")+COUNTIFS(Test_Cases!F338,"FAIL")</x:f>
        <x:v>0</x:v>
      </x:c>
      <x:c r="I59" s="9" t="str">
        <x:v>TC13-RATE-001, TC13-RATE-002, TC13-RATE-003, TC13-RATE-004, TC13-RATE-005, TC13-RATE-006, TC13-RATE-007, TC13-RATE-008, TC13-RATE-009, TC13-RATE-010, TC13-RATE-011, TC13-E2E-001, TC13-E2E-002, TC13-E2E-003, TC13-E2E-004, TC13-E2E-005, TC13-API-071, TC13-API-072, TC13-API-073, TC13-API-074</x:v>
      </x:c>
    </x:row>
    <x:row r="60" ht="52" customHeight="1">
      <x:c r="A60" s="10" t="str">
        <x:v>AC08</x:v>
      </x:c>
      <x:c r="B60" s="10" t="str">
        <x:v>Tiêu chí chấp nhận 08</x:v>
      </x:c>
      <x:c r="C60" s="10" t="str">
        <x:v>MVP</x:v>
      </x:c>
      <x:c r="D60" s="10" t="n">
        <x:f>COUNTA(Test_Cases!A78,Test_Cases!A79,Test_Cases!A80,Test_Cases!A134,Test_Cases!A135,Test_Cases!A136,Test_Cases!A137,Test_Cases!A138,Test_Cases!A294,Test_Cases!A312,Test_Cases!A313,Test_Cases!A324,Test_Cases!A325,Test_Cases!A326,Test_Cases!A327,Test_Cases!A330)</x:f>
        <x:v>16</x:v>
      </x:c>
      <x:c r="E60" s="10" t="n">
        <x:f>COUNTIFS(Test_Cases!E78,"DEFINED")+COUNTIFS(Test_Cases!E79,"DEFINED")+COUNTIFS(Test_Cases!E80,"DEFINED")+COUNTIFS(Test_Cases!E134,"DEFINED")+COUNTIFS(Test_Cases!E135,"DEFINED")+COUNTIFS(Test_Cases!E136,"DEFINED")+COUNTIFS(Test_Cases!E137,"DEFINED")+COUNTIFS(Test_Cases!E138,"DEFINED")+COUNTIFS(Test_Cases!E294,"DEFINED")+COUNTIFS(Test_Cases!E312,"DEFINED")+COUNTIFS(Test_Cases!E313,"DEFINED")+COUNTIFS(Test_Cases!E324,"DEFINED")+COUNTIFS(Test_Cases!E325,"DEFINED")+COUNTIFS(Test_Cases!E326,"DEFINED")+COUNTIFS(Test_Cases!E327,"DEFINED")+COUNTIFS(Test_Cases!E330,"DEFINED")</x:f>
        <x:v>16</x:v>
      </x:c>
      <x:c r="F60" s="10" t="n">
        <x:f>COUNTIFS(Test_Cases!E78,"NEEDS_DECISION")+COUNTIFS(Test_Cases!E79,"NEEDS_DECISION")+COUNTIFS(Test_Cases!E80,"NEEDS_DECISION")+COUNTIFS(Test_Cases!E134,"NEEDS_DECISION")+COUNTIFS(Test_Cases!E135,"NEEDS_DECISION")+COUNTIFS(Test_Cases!E136,"NEEDS_DECISION")+COUNTIFS(Test_Cases!E137,"NEEDS_DECISION")+COUNTIFS(Test_Cases!E138,"NEEDS_DECISION")+COUNTIFS(Test_Cases!E294,"NEEDS_DECISION")+COUNTIFS(Test_Cases!E312,"NEEDS_DECISION")+COUNTIFS(Test_Cases!E313,"NEEDS_DECISION")+COUNTIFS(Test_Cases!E324,"NEEDS_DECISION")+COUNTIFS(Test_Cases!E325,"NEEDS_DECISION")+COUNTIFS(Test_Cases!E326,"NEEDS_DECISION")+COUNTIFS(Test_Cases!E327,"NEEDS_DECISION")+COUNTIFS(Test_Cases!E330,"NEEDS_DECISION")</x:f>
        <x:v>0</x:v>
      </x:c>
      <x:c r="G60" s="10" t="n">
        <x:f>COUNTIFS(Test_Cases!F78,"PASS")+COUNTIFS(Test_Cases!F79,"PASS")+COUNTIFS(Test_Cases!F80,"PASS")+COUNTIFS(Test_Cases!F134,"PASS")+COUNTIFS(Test_Cases!F135,"PASS")+COUNTIFS(Test_Cases!F136,"PASS")+COUNTIFS(Test_Cases!F137,"PASS")+COUNTIFS(Test_Cases!F138,"PASS")+COUNTIFS(Test_Cases!F294,"PASS")+COUNTIFS(Test_Cases!F312,"PASS")+COUNTIFS(Test_Cases!F313,"PASS")+COUNTIFS(Test_Cases!F324,"PASS")+COUNTIFS(Test_Cases!F325,"PASS")+COUNTIFS(Test_Cases!F326,"PASS")+COUNTIFS(Test_Cases!F327,"PASS")+COUNTIFS(Test_Cases!F330,"PASS")</x:f>
        <x:v>0</x:v>
      </x:c>
      <x:c r="H60" s="10" t="n">
        <x:f>COUNTIFS(Test_Cases!F78,"FAIL")+COUNTIFS(Test_Cases!F79,"FAIL")+COUNTIFS(Test_Cases!F80,"FAIL")+COUNTIFS(Test_Cases!F134,"FAIL")+COUNTIFS(Test_Cases!F135,"FAIL")+COUNTIFS(Test_Cases!F136,"FAIL")+COUNTIFS(Test_Cases!F137,"FAIL")+COUNTIFS(Test_Cases!F138,"FAIL")+COUNTIFS(Test_Cases!F294,"FAIL")+COUNTIFS(Test_Cases!F312,"FAIL")+COUNTIFS(Test_Cases!F313,"FAIL")+COUNTIFS(Test_Cases!F324,"FAIL")+COUNTIFS(Test_Cases!F325,"FAIL")+COUNTIFS(Test_Cases!F326,"FAIL")+COUNTIFS(Test_Cases!F327,"FAIL")+COUNTIFS(Test_Cases!F330,"FAIL")</x:f>
        <x:v>0</x:v>
      </x:c>
      <x:c r="I60" s="10" t="str">
        <x:v>TC13-FLEET-029, TC13-FLEET-030, TC13-FLEET-031, TC13-TRIP-013, TC13-TRIP-014, TC13-TRIP-015, TC13-TRIP-016, TC13-TRIP-017, TC13-API-030, TC13-API-048, TC13-API-049, TC13-API-060, TC13-API-061, TC13-API-062, TC13-API-063, TC13-API-066</x:v>
      </x:c>
    </x:row>
    <x:row r="61" ht="94" customHeight="1">
      <x:c r="A61" s="9" t="str">
        <x:v>AC09</x:v>
      </x:c>
      <x:c r="B61" s="9" t="str">
        <x:v>Tiêu chí chấp nhận 09</x:v>
      </x:c>
      <x:c r="C61" s="9" t="str">
        <x:v>MVP</x:v>
      </x:c>
      <x:c r="D61" s="9" t="n">
        <x:f>COUNTA(Test_Cases!A56,Test_Cases!A57,Test_Cases!A58,Test_Cases!A59,Test_Cases!A60,Test_Cases!A61,Test_Cases!A62,Test_Cases!A63,Test_Cases!A64,Test_Cases!A65,Test_Cases!A66,Test_Cases!A67,Test_Cases!A68,Test_Cases!A69,Test_Cases!A70,Test_Cases!A71,Test_Cases!A72,Test_Cases!A73,Test_Cases!A74,Test_Cases!A75,Test_Cases!A76,Test_Cases!A142,Test_Cases!A143,Test_Cases!A144,Test_Cases!A145,Test_Cases!A295,Test_Cases!A309,Test_Cases!A310,Test_Cases!A311,Test_Cases!A314,Test_Cases!A315,Test_Cases!A316,Test_Cases!A318,Test_Cases!A319,Test_Cases!A320,Test_Cases!A321,Test_Cases!A322,Test_Cases!A323)</x:f>
        <x:v>38</x:v>
      </x:c>
      <x:c r="E61" s="9" t="n">
        <x:f>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66,"DEFINED")+COUNTIFS(Test_Cases!E67,"DEFINED")+COUNTIFS(Test_Cases!E68,"DEFINED")+COUNTIFS(Test_Cases!E69,"DEFINED")+COUNTIFS(Test_Cases!E70,"DEFINED")+COUNTIFS(Test_Cases!E71,"DEFINED")+COUNTIFS(Test_Cases!E72,"DEFINED")+COUNTIFS(Test_Cases!E73,"DEFINED")+COUNTIFS(Test_Cases!E74,"DEFINED")+COUNTIFS(Test_Cases!E75,"DEFINED")+COUNTIFS(Test_Cases!E76,"DEFINED")+COUNTIFS(Test_Cases!E142,"DEFINED")+COUNTIFS(Test_Cases!E143,"DEFINED")+COUNTIFS(Test_Cases!E144,"DEFINED")+COUNTIFS(Test_Cases!E145,"DEFINED")+COUNTIFS(Test_Cases!E295,"DEFINED")+COUNTIFS(Test_Cases!E309,"DEFINED")+COUNTIFS(Test_Cases!E310,"DEFINED")+COUNTIFS(Test_Cases!E311,"DEFINED")+COUNTIFS(Test_Cases!E314,"DEFINED")+COUNTIFS(Test_Cases!E315,"DEFINED")+COUNTIFS(Test_Cases!E316,"DEFINED")+COUNTIFS(Test_Cases!E318,"DEFINED")+COUNTIFS(Test_Cases!E319,"DEFINED")+COUNTIFS(Test_Cases!E320,"DEFINED")+COUNTIFS(Test_Cases!E321,"DEFINED")+COUNTIFS(Test_Cases!E322,"DEFINED")+COUNTIFS(Test_Cases!E323,"DEFINED")</x:f>
        <x:v>37</x:v>
      </x:c>
      <x:c r="F61" s="9" t="n">
        <x:f>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66,"NEEDS_DECISION")+COUNTIFS(Test_Cases!E67,"NEEDS_DECISION")+COUNTIFS(Test_Cases!E68,"NEEDS_DECISION")+COUNTIFS(Test_Cases!E69,"NEEDS_DECISION")+COUNTIFS(Test_Cases!E70,"NEEDS_DECISION")+COUNTIFS(Test_Cases!E71,"NEEDS_DECISION")+COUNTIFS(Test_Cases!E72,"NEEDS_DECISION")+COUNTIFS(Test_Cases!E73,"NEEDS_DECISION")+COUNTIFS(Test_Cases!E74,"NEEDS_DECISION")+COUNTIFS(Test_Cases!E75,"NEEDS_DECISION")+COUNTIFS(Test_Cases!E76,"NEEDS_DECISION")+COUNTIFS(Test_Cases!E142,"NEEDS_DECISION")+COUNTIFS(Test_Cases!E143,"NEEDS_DECISION")+COUNTIFS(Test_Cases!E144,"NEEDS_DECISION")+COUNTIFS(Test_Cases!E145,"NEEDS_DECISION")+COUNTIFS(Test_Cases!E295,"NEEDS_DECISION")+COUNTIFS(Test_Cases!E309,"NEEDS_DECISION")+COUNTIFS(Test_Cases!E310,"NEEDS_DECISION")+COUNTIFS(Test_Cases!E311,"NEEDS_DECISION")+COUNTIFS(Test_Cases!E314,"NEEDS_DECISION")+COUNTIFS(Test_Cases!E315,"NEEDS_DECISION")+COUNTIFS(Test_Cases!E316,"NEEDS_DECISION")+COUNTIFS(Test_Cases!E318,"NEEDS_DECISION")+COUNTIFS(Test_Cases!E319,"NEEDS_DECISION")+COUNTIFS(Test_Cases!E320,"NEEDS_DECISION")+COUNTIFS(Test_Cases!E321,"NEEDS_DECISION")+COUNTIFS(Test_Cases!E322,"NEEDS_DECISION")+COUNTIFS(Test_Cases!E323,"NEEDS_DECISION")</x:f>
        <x:v>1</x:v>
      </x:c>
      <x:c r="G61" s="9" t="n">
        <x:f>COUNTIFS(Test_Cases!F56,"PASS")+COUNTIFS(Test_Cases!F57,"PASS")+COUNTIFS(Test_Cases!F58,"PASS")+COUNTIFS(Test_Cases!F59,"PASS")+COUNTIFS(Test_Cases!F60,"PASS")+COUNTIFS(Test_Cases!F61,"PASS")+COUNTIFS(Test_Cases!F62,"PASS")+COUNTIFS(Test_Cases!F63,"PASS")+COUNTIFS(Test_Cases!F64,"PASS")+COUNTIFS(Test_Cases!F65,"PASS")+COUNTIFS(Test_Cases!F66,"PASS")+COUNTIFS(Test_Cases!F67,"PASS")+COUNTIFS(Test_Cases!F68,"PASS")+COUNTIFS(Test_Cases!F69,"PASS")+COUNTIFS(Test_Cases!F70,"PASS")+COUNTIFS(Test_Cases!F71,"PASS")+COUNTIFS(Test_Cases!F72,"PASS")+COUNTIFS(Test_Cases!F73,"PASS")+COUNTIFS(Test_Cases!F74,"PASS")+COUNTIFS(Test_Cases!F75,"PASS")+COUNTIFS(Test_Cases!F76,"PASS")+COUNTIFS(Test_Cases!F142,"PASS")+COUNTIFS(Test_Cases!F143,"PASS")+COUNTIFS(Test_Cases!F144,"PASS")+COUNTIFS(Test_Cases!F145,"PASS")+COUNTIFS(Test_Cases!F295,"PASS")+COUNTIFS(Test_Cases!F309,"PASS")+COUNTIFS(Test_Cases!F310,"PASS")+COUNTIFS(Test_Cases!F311,"PASS")+COUNTIFS(Test_Cases!F314,"PASS")+COUNTIFS(Test_Cases!F315,"PASS")+COUNTIFS(Test_Cases!F316,"PASS")+COUNTIFS(Test_Cases!F318,"PASS")+COUNTIFS(Test_Cases!F319,"PASS")+COUNTIFS(Test_Cases!F320,"PASS")+COUNTIFS(Test_Cases!F321,"PASS")+COUNTIFS(Test_Cases!F322,"PASS")+COUNTIFS(Test_Cases!F323,"PASS")</x:f>
        <x:v>0</x:v>
      </x:c>
      <x:c r="H61" s="9" t="n">
        <x:f>COUNTIFS(Test_Cases!F56,"FAIL")+COUNTIFS(Test_Cases!F57,"FAIL")+COUNTIFS(Test_Cases!F58,"FAIL")+COUNTIFS(Test_Cases!F59,"FAIL")+COUNTIFS(Test_Cases!F60,"FAIL")+COUNTIFS(Test_Cases!F61,"FAIL")+COUNTIFS(Test_Cases!F62,"FAIL")+COUNTIFS(Test_Cases!F63,"FAIL")+COUNTIFS(Test_Cases!F64,"FAIL")+COUNTIFS(Test_Cases!F65,"FAIL")+COUNTIFS(Test_Cases!F66,"FAIL")+COUNTIFS(Test_Cases!F67,"FAIL")+COUNTIFS(Test_Cases!F68,"FAIL")+COUNTIFS(Test_Cases!F69,"FAIL")+COUNTIFS(Test_Cases!F70,"FAIL")+COUNTIFS(Test_Cases!F71,"FAIL")+COUNTIFS(Test_Cases!F72,"FAIL")+COUNTIFS(Test_Cases!F73,"FAIL")+COUNTIFS(Test_Cases!F74,"FAIL")+COUNTIFS(Test_Cases!F75,"FAIL")+COUNTIFS(Test_Cases!F76,"FAIL")+COUNTIFS(Test_Cases!F142,"FAIL")+COUNTIFS(Test_Cases!F143,"FAIL")+COUNTIFS(Test_Cases!F144,"FAIL")+COUNTIFS(Test_Cases!F145,"FAIL")+COUNTIFS(Test_Cases!F295,"FAIL")+COUNTIFS(Test_Cases!F309,"FAIL")+COUNTIFS(Test_Cases!F310,"FAIL")+COUNTIFS(Test_Cases!F311,"FAIL")+COUNTIFS(Test_Cases!F314,"FAIL")+COUNTIFS(Test_Cases!F315,"FAIL")+COUNTIFS(Test_Cases!F316,"FAIL")+COUNTIFS(Test_Cases!F318,"FAIL")+COUNTIFS(Test_Cases!F319,"FAIL")+COUNTIFS(Test_Cases!F320,"FAIL")+COUNTIFS(Test_Cases!F321,"FAIL")+COUNTIFS(Test_Cases!F322,"FAIL")+COUNTIFS(Test_Cases!F323,"FAIL")</x:f>
        <x:v>0</x:v>
      </x:c>
      <x:c r="I61" s="9" t="str">
        <x:v>TC13-FLEET-007, TC13-FLEET-008, TC13-FLEET-009, TC13-FLEET-010, TC13-FLEET-011, TC13-FLEET-012, TC13-FLEET-013, TC13-FLEET-014, TC13-FLEET-015, TC13-FLEET-016, TC13-FLEET-017, TC13-FLEET-018, TC13-FLEET-019, TC13-FLEET-020, TC13-FLEET-021, TC13-FLEET-022, TC13-FLEET-023, TC13-FLEET-024, TC13-FLEET-025, TC13-FLEET-026, TC13-FLEET-027, TC13-TRIP-021, TC13-TRIP-022, TC13-TRIP-023, TC13-TRIP-024, TC13-API-031, TC13-API-045, TC13-API-046, TC13-API-047, TC13-API-050, TC13-API-051, TC13-API-052, TC13-API-054, TC13-API-055, TC13-API-056, TC13-API-057, TC13-API-058, TC13-API-059</x:v>
      </x:c>
    </x:row>
    <x:row r="62" ht="38" customHeight="1">
      <x:c r="A62" s="10" t="str">
        <x:v>AC10</x:v>
      </x:c>
      <x:c r="B62" s="10" t="str">
        <x:v>Tiêu chí chấp nhận 10</x:v>
      </x:c>
      <x:c r="C62" s="10" t="str">
        <x:v>MVP</x:v>
      </x:c>
      <x:c r="D62" s="10" t="n">
        <x:f>COUNTA(Test_Cases!A96,Test_Cases!A97,Test_Cases!A98,Test_Cases!A99,Test_Cases!A100,Test_Cases!A127,Test_Cases!A128,Test_Cases!A129,Test_Cases!A130,Test_Cases!A131,Test_Cases!A132,Test_Cases!A133,Test_Cases!A280,Test_Cases!A293)</x:f>
        <x:v>14</x:v>
      </x:c>
      <x:c r="E62" s="10" t="n">
        <x:f>COUNTIFS(Test_Cases!E96,"DEFINED")+COUNTIFS(Test_Cases!E97,"DEFINED")+COUNTIFS(Test_Cases!E98,"DEFINED")+COUNTIFS(Test_Cases!E99,"DEFINED")+COUNTIFS(Test_Cases!E100,"DEFINED")+COUNTIFS(Test_Cases!E127,"DEFINED")+COUNTIFS(Test_Cases!E128,"DEFINED")+COUNTIFS(Test_Cases!E129,"DEFINED")+COUNTIFS(Test_Cases!E130,"DEFINED")+COUNTIFS(Test_Cases!E131,"DEFINED")+COUNTIFS(Test_Cases!E132,"DEFINED")+COUNTIFS(Test_Cases!E133,"DEFINED")+COUNTIFS(Test_Cases!E280,"DEFINED")+COUNTIFS(Test_Cases!E293,"DEFINED")</x:f>
        <x:v>11</x:v>
      </x:c>
      <x:c r="F62" s="10" t="n">
        <x:f>COUNTIFS(Test_Cases!E96,"NEEDS_DECISION")+COUNTIFS(Test_Cases!E97,"NEEDS_DECISION")+COUNTIFS(Test_Cases!E98,"NEEDS_DECISION")+COUNTIFS(Test_Cases!E99,"NEEDS_DECISION")+COUNTIFS(Test_Cases!E100,"NEEDS_DECISION")+COUNTIFS(Test_Cases!E127,"NEEDS_DECISION")+COUNTIFS(Test_Cases!E128,"NEEDS_DECISION")+COUNTIFS(Test_Cases!E129,"NEEDS_DECISION")+COUNTIFS(Test_Cases!E130,"NEEDS_DECISION")+COUNTIFS(Test_Cases!E131,"NEEDS_DECISION")+COUNTIFS(Test_Cases!E132,"NEEDS_DECISION")+COUNTIFS(Test_Cases!E133,"NEEDS_DECISION")+COUNTIFS(Test_Cases!E280,"NEEDS_DECISION")+COUNTIFS(Test_Cases!E293,"NEEDS_DECISION")</x:f>
        <x:v>3</x:v>
      </x:c>
      <x:c r="G62" s="10" t="n">
        <x:f>COUNTIFS(Test_Cases!F96,"PASS")+COUNTIFS(Test_Cases!F97,"PASS")+COUNTIFS(Test_Cases!F98,"PASS")+COUNTIFS(Test_Cases!F99,"PASS")+COUNTIFS(Test_Cases!F100,"PASS")+COUNTIFS(Test_Cases!F127,"PASS")+COUNTIFS(Test_Cases!F128,"PASS")+COUNTIFS(Test_Cases!F129,"PASS")+COUNTIFS(Test_Cases!F130,"PASS")+COUNTIFS(Test_Cases!F131,"PASS")+COUNTIFS(Test_Cases!F132,"PASS")+COUNTIFS(Test_Cases!F133,"PASS")+COUNTIFS(Test_Cases!F280,"PASS")+COUNTIFS(Test_Cases!F293,"PASS")</x:f>
        <x:v>0</x:v>
      </x:c>
      <x:c r="H62" s="10" t="n">
        <x:f>COUNTIFS(Test_Cases!F96,"FAIL")+COUNTIFS(Test_Cases!F97,"FAIL")+COUNTIFS(Test_Cases!F98,"FAIL")+COUNTIFS(Test_Cases!F99,"FAIL")+COUNTIFS(Test_Cases!F100,"FAIL")+COUNTIFS(Test_Cases!F127,"FAIL")+COUNTIFS(Test_Cases!F128,"FAIL")+COUNTIFS(Test_Cases!F129,"FAIL")+COUNTIFS(Test_Cases!F130,"FAIL")+COUNTIFS(Test_Cases!F131,"FAIL")+COUNTIFS(Test_Cases!F132,"FAIL")+COUNTIFS(Test_Cases!F133,"FAIL")+COUNTIFS(Test_Cases!F280,"FAIL")+COUNTIFS(Test_Cases!F293,"FAIL")</x:f>
        <x:v>0</x:v>
      </x:c>
      <x:c r="I62" s="10" t="str">
        <x:v>TC13-BOOK-016, TC13-BOOK-017, TC13-BOOK-018, TC13-BOOK-019, TC13-BOOK-020, TC13-TRIP-006, TC13-TRIP-007, TC13-TRIP-008, TC13-TRIP-009, TC13-TRIP-010, TC13-TRIP-011, TC13-TRIP-012, TC13-API-016, TC13-API-029</x:v>
      </x:c>
    </x:row>
    <x:row r="63" ht="34" customHeight="1">
      <x:c r="A63" s="9" t="str">
        <x:v>AC11</x:v>
      </x:c>
      <x:c r="B63" s="9" t="str">
        <x:v>Tiêu chí chấp nhận 11</x:v>
      </x:c>
      <x:c r="C63" s="9" t="str">
        <x:v>MVP</x:v>
      </x:c>
      <x:c r="D63" s="9" t="n">
        <x:f>COUNTA(Test_Cases!A149,Test_Cases!A150,Test_Cases!A289,Test_Cases!A290,Test_Cases!A292,Test_Cases!A296)</x:f>
        <x:v>6</x:v>
      </x:c>
      <x:c r="E63" s="9" t="n">
        <x:f>COUNTIFS(Test_Cases!E149,"DEFINED")+COUNTIFS(Test_Cases!E150,"DEFINED")+COUNTIFS(Test_Cases!E289,"DEFINED")+COUNTIFS(Test_Cases!E290,"DEFINED")+COUNTIFS(Test_Cases!E292,"DEFINED")+COUNTIFS(Test_Cases!E296,"DEFINED")</x:f>
        <x:v>6</x:v>
      </x:c>
      <x:c r="F63" s="9" t="n">
        <x:f>COUNTIFS(Test_Cases!E149,"NEEDS_DECISION")+COUNTIFS(Test_Cases!E150,"NEEDS_DECISION")+COUNTIFS(Test_Cases!E289,"NEEDS_DECISION")+COUNTIFS(Test_Cases!E290,"NEEDS_DECISION")+COUNTIFS(Test_Cases!E292,"NEEDS_DECISION")+COUNTIFS(Test_Cases!E296,"NEEDS_DECISION")</x:f>
        <x:v>0</x:v>
      </x:c>
      <x:c r="G63" s="9" t="n">
        <x:f>COUNTIFS(Test_Cases!F149,"PASS")+COUNTIFS(Test_Cases!F150,"PASS")+COUNTIFS(Test_Cases!F289,"PASS")+COUNTIFS(Test_Cases!F290,"PASS")+COUNTIFS(Test_Cases!F292,"PASS")+COUNTIFS(Test_Cases!F296,"PASS")</x:f>
        <x:v>0</x:v>
      </x:c>
      <x:c r="H63" s="9" t="n">
        <x:f>COUNTIFS(Test_Cases!F149,"FAIL")+COUNTIFS(Test_Cases!F150,"FAIL")+COUNTIFS(Test_Cases!F289,"FAIL")+COUNTIFS(Test_Cases!F290,"FAIL")+COUNTIFS(Test_Cases!F292,"FAIL")+COUNTIFS(Test_Cases!F296,"FAIL")</x:f>
        <x:v>0</x:v>
      </x:c>
      <x:c r="I63" s="9" t="str">
        <x:v>TC13-TRIP-028, TC13-TRIP-029, TC13-API-025, TC13-API-026, TC13-API-028, TC13-API-032</x:v>
      </x:c>
    </x:row>
    <x:row r="64" ht="38" customHeight="1">
      <x:c r="A64" s="10" t="str">
        <x:v>AC12</x:v>
      </x:c>
      <x:c r="B64" s="10" t="str">
        <x:v>Tiêu chí chấp nhận 12</x:v>
      </x:c>
      <x:c r="C64" s="10" t="str">
        <x:v>MVP</x:v>
      </x:c>
      <x:c r="D64" s="10" t="n">
        <x:f>COUNTA(Test_Cases!A151,Test_Cases!A152,Test_Cases!A153,Test_Cases!A154,Test_Cases!A155,Test_Cases!A156,Test_Cases!A157,Test_Cases!A158,Test_Cases!A180,Test_Cases!A328,Test_Cases!A329)</x:f>
        <x:v>11</x:v>
      </x:c>
      <x:c r="E64" s="10" t="n">
        <x:f>COUNTIFS(Test_Cases!E151,"DEFINED")+COUNTIFS(Test_Cases!E152,"DEFINED")+COUNTIFS(Test_Cases!E153,"DEFINED")+COUNTIFS(Test_Cases!E154,"DEFINED")+COUNTIFS(Test_Cases!E155,"DEFINED")+COUNTIFS(Test_Cases!E156,"DEFINED")+COUNTIFS(Test_Cases!E157,"DEFINED")+COUNTIFS(Test_Cases!E158,"DEFINED")+COUNTIFS(Test_Cases!E180,"DEFINED")+COUNTIFS(Test_Cases!E328,"DEFINED")+COUNTIFS(Test_Cases!E329,"DEFINED")</x:f>
        <x:v>10</x:v>
      </x:c>
      <x:c r="F64" s="10" t="n">
        <x:f>COUNTIFS(Test_Cases!E151,"NEEDS_DECISION")+COUNTIFS(Test_Cases!E152,"NEEDS_DECISION")+COUNTIFS(Test_Cases!E153,"NEEDS_DECISION")+COUNTIFS(Test_Cases!E154,"NEEDS_DECISION")+COUNTIFS(Test_Cases!E155,"NEEDS_DECISION")+COUNTIFS(Test_Cases!E156,"NEEDS_DECISION")+COUNTIFS(Test_Cases!E157,"NEEDS_DECISION")+COUNTIFS(Test_Cases!E158,"NEEDS_DECISION")+COUNTIFS(Test_Cases!E180,"NEEDS_DECISION")+COUNTIFS(Test_Cases!E328,"NEEDS_DECISION")+COUNTIFS(Test_Cases!E329,"NEEDS_DECISION")</x:f>
        <x:v>1</x:v>
      </x:c>
      <x:c r="G64" s="10" t="n">
        <x:f>COUNTIFS(Test_Cases!F151,"PASS")+COUNTIFS(Test_Cases!F152,"PASS")+COUNTIFS(Test_Cases!F153,"PASS")+COUNTIFS(Test_Cases!F154,"PASS")+COUNTIFS(Test_Cases!F155,"PASS")+COUNTIFS(Test_Cases!F156,"PASS")+COUNTIFS(Test_Cases!F157,"PASS")+COUNTIFS(Test_Cases!F158,"PASS")+COUNTIFS(Test_Cases!F180,"PASS")+COUNTIFS(Test_Cases!F328,"PASS")+COUNTIFS(Test_Cases!F329,"PASS")</x:f>
        <x:v>0</x:v>
      </x:c>
      <x:c r="H64" s="10" t="n">
        <x:f>COUNTIFS(Test_Cases!F151,"FAIL")+COUNTIFS(Test_Cases!F152,"FAIL")+COUNTIFS(Test_Cases!F153,"FAIL")+COUNTIFS(Test_Cases!F154,"FAIL")+COUNTIFS(Test_Cases!F155,"FAIL")+COUNTIFS(Test_Cases!F156,"FAIL")+COUNTIFS(Test_Cases!F157,"FAIL")+COUNTIFS(Test_Cases!F158,"FAIL")+COUNTIFS(Test_Cases!F180,"FAIL")+COUNTIFS(Test_Cases!F328,"FAIL")+COUNTIFS(Test_Cases!F329,"FAIL")</x:f>
        <x:v>0</x:v>
      </x:c>
      <x:c r="I64" s="10" t="str">
        <x:v>TC13-PAY-001, TC13-PAY-002, TC13-PAY-003, TC13-PAY-004, TC13-PAY-005, TC13-PAY-006, TC13-PAY-007, TC13-PAY-008, TC13-PAY-030, TC13-API-064, TC13-API-065</x:v>
      </x:c>
    </x:row>
    <x:row r="65" ht="80" customHeight="1">
      <x:c r="A65" s="9" t="str">
        <x:v>AC13</x:v>
      </x:c>
      <x:c r="B65" s="9" t="str">
        <x:v>Tiêu chí chấp nhận 13</x:v>
      </x:c>
      <x:c r="C65" s="9" t="str">
        <x:v>MVP</x:v>
      </x:c>
      <x:c r="D65" s="9" t="n">
        <x:f>COUNTA(Test_Cases!A56,Test_Cases!A57,Test_Cases!A58,Test_Cases!A59,Test_Cases!A60,Test_Cases!A61,Test_Cases!A62,Test_Cases!A63,Test_Cases!A64,Test_Cases!A65,Test_Cases!A181,Test_Cases!A182,Test_Cases!A183,Test_Cases!A184,Test_Cases!A185,Test_Cases!A186,Test_Cases!A187,Test_Cases!A188,Test_Cases!A189,Test_Cases!A190,Test_Cases!A191,Test_Cases!A192,Test_Cases!A193,Test_Cases!A194,Test_Cases!A253,Test_Cases!A254,Test_Cases!A255,Test_Cases!A256,Test_Cases!A257,Test_Cases!A305,Test_Cases!A306)</x:f>
        <x:v>31</x:v>
      </x:c>
      <x:c r="E65" s="9" t="n">
        <x:f>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181,"DEFINED")+COUNTIFS(Test_Cases!E182,"DEFINED")+COUNTIFS(Test_Cases!E183,"DEFINED")+COUNTIFS(Test_Cases!E184,"DEFINED")+COUNTIFS(Test_Cases!E185,"DEFINED")+COUNTIFS(Test_Cases!E186,"DEFINED")+COUNTIFS(Test_Cases!E187,"DEFINED")+COUNTIFS(Test_Cases!E188,"DEFINED")+COUNTIFS(Test_Cases!E189,"DEFINED")+COUNTIFS(Test_Cases!E190,"DEFINED")+COUNTIFS(Test_Cases!E191,"DEFINED")+COUNTIFS(Test_Cases!E192,"DEFINED")+COUNTIFS(Test_Cases!E193,"DEFINED")+COUNTIFS(Test_Cases!E194,"DEFINED")+COUNTIFS(Test_Cases!E253,"DEFINED")+COUNTIFS(Test_Cases!E254,"DEFINED")+COUNTIFS(Test_Cases!E255,"DEFINED")+COUNTIFS(Test_Cases!E256,"DEFINED")+COUNTIFS(Test_Cases!E257,"DEFINED")+COUNTIFS(Test_Cases!E305,"DEFINED")+COUNTIFS(Test_Cases!E306,"DEFINED")</x:f>
        <x:v>25</x:v>
      </x:c>
      <x:c r="F65" s="9" t="n">
        <x:f>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181,"NEEDS_DECISION")+COUNTIFS(Test_Cases!E182,"NEEDS_DECISION")+COUNTIFS(Test_Cases!E183,"NEEDS_DECISION")+COUNTIFS(Test_Cases!E184,"NEEDS_DECISION")+COUNTIFS(Test_Cases!E185,"NEEDS_DECISION")+COUNTIFS(Test_Cases!E186,"NEEDS_DECISION")+COUNTIFS(Test_Cases!E187,"NEEDS_DECISION")+COUNTIFS(Test_Cases!E188,"NEEDS_DECISION")+COUNTIFS(Test_Cases!E189,"NEEDS_DECISION")+COUNTIFS(Test_Cases!E190,"NEEDS_DECISION")+COUNTIFS(Test_Cases!E191,"NEEDS_DECISION")+COUNTIFS(Test_Cases!E192,"NEEDS_DECISION")+COUNTIFS(Test_Cases!E193,"NEEDS_DECISION")+COUNTIFS(Test_Cases!E194,"NEEDS_DECISION")+COUNTIFS(Test_Cases!E253,"NEEDS_DECISION")+COUNTIFS(Test_Cases!E254,"NEEDS_DECISION")+COUNTIFS(Test_Cases!E255,"NEEDS_DECISION")+COUNTIFS(Test_Cases!E256,"NEEDS_DECISION")+COUNTIFS(Test_Cases!E257,"NEEDS_DECISION")+COUNTIFS(Test_Cases!E305,"NEEDS_DECISION")+COUNTIFS(Test_Cases!E306,"NEEDS_DECISION")</x:f>
        <x:v>6</x:v>
      </x:c>
      <x:c r="G65" s="9" t="n">
        <x:f>COUNTIFS(Test_Cases!F56,"PASS")+COUNTIFS(Test_Cases!F57,"PASS")+COUNTIFS(Test_Cases!F58,"PASS")+COUNTIFS(Test_Cases!F59,"PASS")+COUNTIFS(Test_Cases!F60,"PASS")+COUNTIFS(Test_Cases!F61,"PASS")+COUNTIFS(Test_Cases!F62,"PASS")+COUNTIFS(Test_Cases!F63,"PASS")+COUNTIFS(Test_Cases!F64,"PASS")+COUNTIFS(Test_Cases!F65,"PASS")+COUNTIFS(Test_Cases!F181,"PASS")+COUNTIFS(Test_Cases!F182,"PASS")+COUNTIFS(Test_Cases!F183,"PASS")+COUNTIFS(Test_Cases!F184,"PASS")+COUNTIFS(Test_Cases!F185,"PASS")+COUNTIFS(Test_Cases!F186,"PASS")+COUNTIFS(Test_Cases!F187,"PASS")+COUNTIFS(Test_Cases!F188,"PASS")+COUNTIFS(Test_Cases!F189,"PASS")+COUNTIFS(Test_Cases!F190,"PASS")+COUNTIFS(Test_Cases!F191,"PASS")+COUNTIFS(Test_Cases!F192,"PASS")+COUNTIFS(Test_Cases!F193,"PASS")+COUNTIFS(Test_Cases!F194,"PASS")+COUNTIFS(Test_Cases!F253,"PASS")+COUNTIFS(Test_Cases!F254,"PASS")+COUNTIFS(Test_Cases!F255,"PASS")+COUNTIFS(Test_Cases!F256,"PASS")+COUNTIFS(Test_Cases!F257,"PASS")+COUNTIFS(Test_Cases!F305,"PASS")+COUNTIFS(Test_Cases!F306,"PASS")</x:f>
        <x:v>0</x:v>
      </x:c>
      <x:c r="H65" s="9" t="n">
        <x:f>COUNTIFS(Test_Cases!F56,"FAIL")+COUNTIFS(Test_Cases!F57,"FAIL")+COUNTIFS(Test_Cases!F58,"FAIL")+COUNTIFS(Test_Cases!F59,"FAIL")+COUNTIFS(Test_Cases!F60,"FAIL")+COUNTIFS(Test_Cases!F61,"FAIL")+COUNTIFS(Test_Cases!F62,"FAIL")+COUNTIFS(Test_Cases!F63,"FAIL")+COUNTIFS(Test_Cases!F64,"FAIL")+COUNTIFS(Test_Cases!F65,"FAIL")+COUNTIFS(Test_Cases!F181,"FAIL")+COUNTIFS(Test_Cases!F182,"FAIL")+COUNTIFS(Test_Cases!F183,"FAIL")+COUNTIFS(Test_Cases!F184,"FAIL")+COUNTIFS(Test_Cases!F185,"FAIL")+COUNTIFS(Test_Cases!F186,"FAIL")+COUNTIFS(Test_Cases!F187,"FAIL")+COUNTIFS(Test_Cases!F188,"FAIL")+COUNTIFS(Test_Cases!F189,"FAIL")+COUNTIFS(Test_Cases!F190,"FAIL")+COUNTIFS(Test_Cases!F191,"FAIL")+COUNTIFS(Test_Cases!F192,"FAIL")+COUNTIFS(Test_Cases!F193,"FAIL")+COUNTIFS(Test_Cases!F194,"FAIL")+COUNTIFS(Test_Cases!F253,"FAIL")+COUNTIFS(Test_Cases!F254,"FAIL")+COUNTIFS(Test_Cases!F255,"FAIL")+COUNTIFS(Test_Cases!F256,"FAIL")+COUNTIFS(Test_Cases!F257,"FAIL")+COUNTIFS(Test_Cases!F305,"FAIL")+COUNTIFS(Test_Cases!F306,"FAIL")</x:f>
        <x:v>0</x:v>
      </x:c>
      <x:c r="I65" s="9" t="str">
        <x:v>TC13-FLEET-007, TC13-FLEET-008, TC13-FLEET-009, TC13-FLEET-010, TC13-FLEET-011, TC13-FLEET-012, TC13-FLEET-013, TC13-FLEET-014, TC13-FLEET-015, TC13-FLEET-016, TC13-NOTI-001, TC13-NOTI-002, TC13-NOTI-003, TC13-NOTI-004, TC13-NOTI-005, TC13-NOTI-006, TC13-NOTI-007, TC13-NOTI-008, TC13-NOTI-009, TC13-NOTI-010, TC13-NOTI-011, TC13-NOTI-012, TC13-NOTI-013, TC13-NOTI-014, TC13-E2E-001, TC13-E2E-002, TC13-E2E-003, TC13-E2E-004, TC13-E2E-005, TC13-API-041, TC13-API-042</x:v>
      </x:c>
    </x:row>
    <x:row r="66" ht="34" customHeight="1">
      <x:c r="A66" s="10" t="str">
        <x:v>AC14</x:v>
      </x:c>
      <x:c r="B66" s="10" t="str">
        <x:v>Tiêu chí chấp nhận 14</x:v>
      </x:c>
      <x:c r="C66" s="10" t="str">
        <x:v>OUT_OF_SCOPE</x:v>
      </x:c>
      <x:c r="D66" s="10" t="n">
        <x:f>COUNTA(Test_Cases!A261)</x:f>
        <x:v>1</x:v>
      </x:c>
      <x:c r="E66" s="10" t="n">
        <x:f>COUNTIFS(Test_Cases!E261,"DEFINED")</x:f>
        <x:v>0</x:v>
      </x:c>
      <x:c r="F66" s="10" t="n">
        <x:f>COUNTIFS(Test_Cases!E261,"NEEDS_DECISION")</x:f>
        <x:v>0</x:v>
      </x:c>
      <x:c r="G66" s="10" t="n">
        <x:f>COUNTIFS(Test_Cases!F261,"PASS")</x:f>
        <x:v>0</x:v>
      </x:c>
      <x:c r="H66" s="10" t="n">
        <x:f>COUNTIFS(Test_Cases!F261,"FAIL")</x:f>
        <x:v>0</x:v>
      </x:c>
      <x:c r="I66" s="10" t="str">
        <x:v>TC13-SCOPE-001</x:v>
      </x:c>
    </x:row>
    <x:row r="67" ht="94" customHeight="1">
      <x:c r="A67" s="9" t="str">
        <x:v>AC15</x:v>
      </x:c>
      <x:c r="B67" s="9" t="str">
        <x:v>Tiêu chí chấp nhận 15</x:v>
      </x:c>
      <x:c r="C67" s="9" t="str">
        <x:v>MVP</x:v>
      </x:c>
      <x:c r="D67" s="9" t="n">
        <x:f>COUNTA(Test_Cases!A37,Test_Cases!A38,Test_Cases!A39,Test_Cases!A40,Test_Cases!A41,Test_Cases!A42,Test_Cases!A43,Test_Cases!A44,Test_Cases!A45,Test_Cases!A46,Test_Cases!A47,Test_Cases!A48,Test_Cases!A49,Test_Cases!A50,Test_Cases!A51,Test_Cases!A52,Test_Cases!A53,Test_Cases!A54,Test_Cases!A55,Test_Cases!A56,Test_Cases!A57,Test_Cases!A58,Test_Cases!A59,Test_Cases!A60,Test_Cases!A61,Test_Cases!A62,Test_Cases!A63,Test_Cases!A64,Test_Cases!A65,Test_Cases!A270,Test_Cases!A271,Test_Cases!A307,Test_Cases!A308,Test_Cases!A309,Test_Cases!A310,Test_Cases!A311,Test_Cases!A314,Test_Cases!A315,Test_Cases!A316,Test_Cases!A319,Test_Cases!A320,Test_Cases!A321,Test_Cases!A322,Test_Cases!A323,Test_Cases!A334)</x:f>
        <x:v>45</x:v>
      </x:c>
      <x:c r="E67" s="9" t="n">
        <x:f>COUNTIFS(Test_Cases!E37,"DEFINED")+COUNTIFS(Test_Cases!E38,"DEFINED")+COUNTIFS(Test_Cases!E39,"DEFINED")+COUNTIFS(Test_Cases!E40,"DEFINED")+COUNTIFS(Test_Cases!E41,"DEFINED")+COUNTIFS(Test_Cases!E42,"DEFINED")+COUNTIFS(Test_Cases!E43,"DEFINED")+COUNTIFS(Test_Cases!E44,"DEFINED")+COUNTIFS(Test_Cases!E45,"DEFINED")+COUNTIFS(Test_Cases!E46,"DEFINED")+COUNTIFS(Test_Cases!E47,"DEFINED")+COUNTIFS(Test_Cases!E48,"DEFINED")+COUNTIFS(Test_Cases!E49,"DEFINED")+COUNTIFS(Test_Cases!E50,"DEFINED")+COUNTIFS(Test_Cases!E51,"DEFINED")+COUNTIFS(Test_Cases!E52,"DEFINED")+COUNTIFS(Test_Cases!E53,"DEFINED")+COUNTIFS(Test_Cases!E54,"DEFINED")+COUNTIFS(Test_Cases!E55,"DEFINED")+COUNTIFS(Test_Cases!E56,"DEFINED")+COUNTIFS(Test_Cases!E57,"DEFINED")+COUNTIFS(Test_Cases!E58,"DEFINED")+COUNTIFS(Test_Cases!E59,"DEFINED")+COUNTIFS(Test_Cases!E60,"DEFINED")+COUNTIFS(Test_Cases!E61,"DEFINED")+COUNTIFS(Test_Cases!E62,"DEFINED")+COUNTIFS(Test_Cases!E63,"DEFINED")+COUNTIFS(Test_Cases!E64,"DEFINED")+COUNTIFS(Test_Cases!E65,"DEFINED")+COUNTIFS(Test_Cases!E270,"DEFINED")+COUNTIFS(Test_Cases!E271,"DEFINED")+COUNTIFS(Test_Cases!E307,"DEFINED")+COUNTIFS(Test_Cases!E308,"DEFINED")+COUNTIFS(Test_Cases!E309,"DEFINED")+COUNTIFS(Test_Cases!E310,"DEFINED")+COUNTIFS(Test_Cases!E311,"DEFINED")+COUNTIFS(Test_Cases!E314,"DEFINED")+COUNTIFS(Test_Cases!E315,"DEFINED")+COUNTIFS(Test_Cases!E316,"DEFINED")+COUNTIFS(Test_Cases!E319,"DEFINED")+COUNTIFS(Test_Cases!E320,"DEFINED")+COUNTIFS(Test_Cases!E321,"DEFINED")+COUNTIFS(Test_Cases!E322,"DEFINED")+COUNTIFS(Test_Cases!E323,"DEFINED")+COUNTIFS(Test_Cases!E334,"DEFINED")</x:f>
        <x:v>39</x:v>
      </x:c>
      <x:c r="F67" s="9" t="n">
        <x:f>COUNTIFS(Test_Cases!E37,"NEEDS_DECISION")+COUNTIFS(Test_Cases!E38,"NEEDS_DECISION")+COUNTIFS(Test_Cases!E39,"NEEDS_DECISION")+COUNTIFS(Test_Cases!E40,"NEEDS_DECISION")+COUNTIFS(Test_Cases!E41,"NEEDS_DECISION")+COUNTIFS(Test_Cases!E42,"NEEDS_DECISION")+COUNTIFS(Test_Cases!E43,"NEEDS_DECISION")+COUNTIFS(Test_Cases!E44,"NEEDS_DECISION")+COUNTIFS(Test_Cases!E45,"NEEDS_DECISION")+COUNTIFS(Test_Cases!E46,"NEEDS_DECISION")+COUNTIFS(Test_Cases!E47,"NEEDS_DECISION")+COUNTIFS(Test_Cases!E48,"NEEDS_DECISION")+COUNTIFS(Test_Cases!E49,"NEEDS_DECISION")+COUNTIFS(Test_Cases!E50,"NEEDS_DECISION")+COUNTIFS(Test_Cases!E51,"NEEDS_DECISION")+COUNTIFS(Test_Cases!E52,"NEEDS_DECISION")+COUNTIFS(Test_Cases!E53,"NEEDS_DECISION")+COUNTIFS(Test_Cases!E54,"NEEDS_DECISION")+COUNTIFS(Test_Cases!E55,"NEEDS_DECISION")+COUNTIFS(Test_Cases!E56,"NEEDS_DECISION")+COUNTIFS(Test_Cases!E57,"NEEDS_DECISION")+COUNTIFS(Test_Cases!E58,"NEEDS_DECISION")+COUNTIFS(Test_Cases!E59,"NEEDS_DECISION")+COUNTIFS(Test_Cases!E60,"NEEDS_DECISION")+COUNTIFS(Test_Cases!E61,"NEEDS_DECISION")+COUNTIFS(Test_Cases!E62,"NEEDS_DECISION")+COUNTIFS(Test_Cases!E63,"NEEDS_DECISION")+COUNTIFS(Test_Cases!E64,"NEEDS_DECISION")+COUNTIFS(Test_Cases!E65,"NEEDS_DECISION")+COUNTIFS(Test_Cases!E270,"NEEDS_DECISION")+COUNTIFS(Test_Cases!E271,"NEEDS_DECISION")+COUNTIFS(Test_Cases!E307,"NEEDS_DECISION")+COUNTIFS(Test_Cases!E308,"NEEDS_DECISION")+COUNTIFS(Test_Cases!E309,"NEEDS_DECISION")+COUNTIFS(Test_Cases!E310,"NEEDS_DECISION")+COUNTIFS(Test_Cases!E311,"NEEDS_DECISION")+COUNTIFS(Test_Cases!E314,"NEEDS_DECISION")+COUNTIFS(Test_Cases!E315,"NEEDS_DECISION")+COUNTIFS(Test_Cases!E316,"NEEDS_DECISION")+COUNTIFS(Test_Cases!E319,"NEEDS_DECISION")+COUNTIFS(Test_Cases!E320,"NEEDS_DECISION")+COUNTIFS(Test_Cases!E321,"NEEDS_DECISION")+COUNTIFS(Test_Cases!E322,"NEEDS_DECISION")+COUNTIFS(Test_Cases!E323,"NEEDS_DECISION")+COUNTIFS(Test_Cases!E334,"NEEDS_DECISION")</x:f>
        <x:v>6</x:v>
      </x:c>
      <x:c r="G67" s="9" t="n">
        <x:f>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50,"PASS")+COUNTIFS(Test_Cases!F51,"PASS")+COUNTIFS(Test_Cases!F52,"PASS")+COUNTIFS(Test_Cases!F53,"PASS")+COUNTIFS(Test_Cases!F54,"PASS")+COUNTIFS(Test_Cases!F55,"PASS")+COUNTIFS(Test_Cases!F56,"PASS")+COUNTIFS(Test_Cases!F57,"PASS")+COUNTIFS(Test_Cases!F58,"PASS")+COUNTIFS(Test_Cases!F59,"PASS")+COUNTIFS(Test_Cases!F60,"PASS")+COUNTIFS(Test_Cases!F61,"PASS")+COUNTIFS(Test_Cases!F62,"PASS")+COUNTIFS(Test_Cases!F63,"PASS")+COUNTIFS(Test_Cases!F64,"PASS")+COUNTIFS(Test_Cases!F65,"PASS")+COUNTIFS(Test_Cases!F270,"PASS")+COUNTIFS(Test_Cases!F271,"PASS")+COUNTIFS(Test_Cases!F307,"PASS")+COUNTIFS(Test_Cases!F308,"PASS")+COUNTIFS(Test_Cases!F309,"PASS")+COUNTIFS(Test_Cases!F310,"PASS")+COUNTIFS(Test_Cases!F311,"PASS")+COUNTIFS(Test_Cases!F314,"PASS")+COUNTIFS(Test_Cases!F315,"PASS")+COUNTIFS(Test_Cases!F316,"PASS")+COUNTIFS(Test_Cases!F319,"PASS")+COUNTIFS(Test_Cases!F320,"PASS")+COUNTIFS(Test_Cases!F321,"PASS")+COUNTIFS(Test_Cases!F322,"PASS")+COUNTIFS(Test_Cases!F323,"PASS")+COUNTIFS(Test_Cases!F334,"PASS")</x:f>
        <x:v>0</x:v>
      </x:c>
      <x:c r="H67" s="9" t="n">
        <x:f>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50,"FAIL")+COUNTIFS(Test_Cases!F51,"FAIL")+COUNTIFS(Test_Cases!F52,"FAIL")+COUNTIFS(Test_Cases!F53,"FAIL")+COUNTIFS(Test_Cases!F54,"FAIL")+COUNTIFS(Test_Cases!F55,"FAIL")+COUNTIFS(Test_Cases!F56,"FAIL")+COUNTIFS(Test_Cases!F57,"FAIL")+COUNTIFS(Test_Cases!F58,"FAIL")+COUNTIFS(Test_Cases!F59,"FAIL")+COUNTIFS(Test_Cases!F60,"FAIL")+COUNTIFS(Test_Cases!F61,"FAIL")+COUNTIFS(Test_Cases!F62,"FAIL")+COUNTIFS(Test_Cases!F63,"FAIL")+COUNTIFS(Test_Cases!F64,"FAIL")+COUNTIFS(Test_Cases!F65,"FAIL")+COUNTIFS(Test_Cases!F270,"FAIL")+COUNTIFS(Test_Cases!F271,"FAIL")+COUNTIFS(Test_Cases!F307,"FAIL")+COUNTIFS(Test_Cases!F308,"FAIL")+COUNTIFS(Test_Cases!F309,"FAIL")+COUNTIFS(Test_Cases!F310,"FAIL")+COUNTIFS(Test_Cases!F311,"FAIL")+COUNTIFS(Test_Cases!F314,"FAIL")+COUNTIFS(Test_Cases!F315,"FAIL")+COUNTIFS(Test_Cases!F316,"FAIL")+COUNTIFS(Test_Cases!F319,"FAIL")+COUNTIFS(Test_Cases!F320,"FAIL")+COUNTIFS(Test_Cases!F321,"FAIL")+COUNTIFS(Test_Cases!F322,"FAIL")+COUNTIFS(Test_Cases!F323,"FAIL")+COUNTIFS(Test_Cases!F334,"FAIL")</x:f>
        <x:v>0</x:v>
      </x:c>
      <x:c r="I67" s="9" t="str">
        <x:v>TC13-OTP-001, TC13-OTP-002, TC13-OTP-003, TC13-OTP-004, TC13-OTP-005, TC13-OTP-006, TC13-OTP-007, TC13-OTP-008, TC13-OTP-009, TC13-OTP-010, TC13-OTP-011, TC13-OTP-012, TC13-OTP-013, TC13-FLEET-001, TC13-FLEET-002, TC13-FLEET-003, TC13-FLEET-004, TC13-FLEET-005, TC13-FLEET-006, TC13-FLEET-007, TC13-FLEET-008, TC13-FLEET-009, TC13-FLEET-010, TC13-FLEET-011, TC13-FLEET-012, TC13-FLEET-013, TC13-FLEET-014, TC13-FLEET-015, TC13-FLEET-016, TC13-API-006, TC13-API-007, TC13-API-043, TC13-API-044, TC13-API-045, TC13-API-046, TC13-API-047, TC13-API-050, TC13-API-051, TC13-API-052, TC13-API-055, TC13-API-056, TC13-API-057, TC13-API-058, TC13-API-059, TC13-API-070</x:v>
      </x:c>
    </x:row>
    <x:row r="68" ht="38" customHeight="1">
      <x:c r="A68" s="10" t="str">
        <x:v>AC16</x:v>
      </x:c>
      <x:c r="B68" s="10" t="str">
        <x:v>Tiêu chí chấp nhận 16</x:v>
      </x:c>
      <x:c r="C68" s="10" t="str">
        <x:v>MVP</x:v>
      </x:c>
      <x:c r="D68" s="10" t="n">
        <x:f>COUNTA(Test_Cases!A102,Test_Cases!A103,Test_Cases!A104,Test_Cases!A105,Test_Cases!A106,Test_Cases!A107,Test_Cases!A108,Test_Cases!A282)</x:f>
        <x:v>8</x:v>
      </x:c>
      <x:c r="E68" s="10" t="n">
        <x:f>COUNTIFS(Test_Cases!E102,"DEFINED")+COUNTIFS(Test_Cases!E103,"DEFINED")+COUNTIFS(Test_Cases!E104,"DEFINED")+COUNTIFS(Test_Cases!E105,"DEFINED")+COUNTIFS(Test_Cases!E106,"DEFINED")+COUNTIFS(Test_Cases!E107,"DEFINED")+COUNTIFS(Test_Cases!E108,"DEFINED")+COUNTIFS(Test_Cases!E282,"DEFINED")</x:f>
        <x:v>5</x:v>
      </x:c>
      <x:c r="F68" s="10" t="n">
        <x:f>COUNTIFS(Test_Cases!E102,"NEEDS_DECISION")+COUNTIFS(Test_Cases!E103,"NEEDS_DECISION")+COUNTIFS(Test_Cases!E104,"NEEDS_DECISION")+COUNTIFS(Test_Cases!E105,"NEEDS_DECISION")+COUNTIFS(Test_Cases!E106,"NEEDS_DECISION")+COUNTIFS(Test_Cases!E107,"NEEDS_DECISION")+COUNTIFS(Test_Cases!E108,"NEEDS_DECISION")+COUNTIFS(Test_Cases!E282,"NEEDS_DECISION")</x:f>
        <x:v>3</x:v>
      </x:c>
      <x:c r="G68" s="10" t="n">
        <x:f>COUNTIFS(Test_Cases!F102,"PASS")+COUNTIFS(Test_Cases!F103,"PASS")+COUNTIFS(Test_Cases!F104,"PASS")+COUNTIFS(Test_Cases!F105,"PASS")+COUNTIFS(Test_Cases!F106,"PASS")+COUNTIFS(Test_Cases!F107,"PASS")+COUNTIFS(Test_Cases!F108,"PASS")+COUNTIFS(Test_Cases!F282,"PASS")</x:f>
        <x:v>0</x:v>
      </x:c>
      <x:c r="H68" s="10" t="n">
        <x:f>COUNTIFS(Test_Cases!F102,"FAIL")+COUNTIFS(Test_Cases!F103,"FAIL")+COUNTIFS(Test_Cases!F104,"FAIL")+COUNTIFS(Test_Cases!F105,"FAIL")+COUNTIFS(Test_Cases!F106,"FAIL")+COUNTIFS(Test_Cases!F107,"FAIL")+COUNTIFS(Test_Cases!F108,"FAIL")+COUNTIFS(Test_Cases!F282,"FAIL")</x:f>
        <x:v>0</x:v>
      </x:c>
      <x:c r="I68" s="10" t="str">
        <x:v>TC13-DISP-001, TC13-DISP-002, TC13-DISP-003, TC13-DISP-004, TC13-DISP-005, TC13-DISP-006, TC13-DISP-007, TC13-API-018</x:v>
      </x:c>
    </x:row>
    <x:row r="69" ht="34" customHeight="1">
      <x:c r="A69" s="9" t="str">
        <x:v>AC17</x:v>
      </x:c>
      <x:c r="B69" s="9" t="str">
        <x:v>Tiêu chí chấp nhận 17</x:v>
      </x:c>
      <x:c r="C69" s="9" t="str">
        <x:v>MVP</x:v>
      </x:c>
      <x:c r="D69" s="9" t="n">
        <x:f>COUNTA(Test_Cases!A92,Test_Cases!A93,Test_Cases!A94,Test_Cases!A95,Test_Cases!A276)</x:f>
        <x:v>5</x:v>
      </x:c>
      <x:c r="E69" s="9" t="n">
        <x:f>COUNTIFS(Test_Cases!E92,"DEFINED")+COUNTIFS(Test_Cases!E93,"DEFINED")+COUNTIFS(Test_Cases!E94,"DEFINED")+COUNTIFS(Test_Cases!E95,"DEFINED")+COUNTIFS(Test_Cases!E276,"DEFINED")</x:f>
        <x:v>5</x:v>
      </x:c>
      <x:c r="F69" s="9" t="n">
        <x:f>COUNTIFS(Test_Cases!E92,"NEEDS_DECISION")+COUNTIFS(Test_Cases!E93,"NEEDS_DECISION")+COUNTIFS(Test_Cases!E94,"NEEDS_DECISION")+COUNTIFS(Test_Cases!E95,"NEEDS_DECISION")+COUNTIFS(Test_Cases!E276,"NEEDS_DECISION")</x:f>
        <x:v>0</x:v>
      </x:c>
      <x:c r="G69" s="9" t="n">
        <x:f>COUNTIFS(Test_Cases!F92,"PASS")+COUNTIFS(Test_Cases!F93,"PASS")+COUNTIFS(Test_Cases!F94,"PASS")+COUNTIFS(Test_Cases!F95,"PASS")+COUNTIFS(Test_Cases!F276,"PASS")</x:f>
        <x:v>0</x:v>
      </x:c>
      <x:c r="H69" s="9" t="n">
        <x:f>COUNTIFS(Test_Cases!F92,"FAIL")+COUNTIFS(Test_Cases!F93,"FAIL")+COUNTIFS(Test_Cases!F94,"FAIL")+COUNTIFS(Test_Cases!F95,"FAIL")+COUNTIFS(Test_Cases!F276,"FAIL")</x:f>
        <x:v>0</x:v>
      </x:c>
      <x:c r="I69" s="9" t="str">
        <x:v>TC13-BOOK-012, TC13-BOOK-013, TC13-BOOK-014, TC13-BOOK-015, TC13-API-012</x:v>
      </x:c>
    </x:row>
    <x:row r="70" ht="52" customHeight="1">
      <x:c r="A70" s="10" t="str">
        <x:v>AC18</x:v>
      </x:c>
      <x:c r="B70" s="10" t="str">
        <x:v>Tiêu chí chấp nhận 18</x:v>
      </x:c>
      <x:c r="C70" s="10" t="str">
        <x:v>MVP</x:v>
      </x:c>
      <x:c r="D70" s="10" t="n">
        <x:f>COUNTA(Test_Cases!A31,Test_Cases!A32,Test_Cases!A33,Test_Cases!A77,Test_Cases!A195,Test_Cases!A196,Test_Cases!A197,Test_Cases!A198,Test_Cases!A199,Test_Cases!A200,Test_Cases!A201,Test_Cases!A202,Test_Cases!A203,Test_Cases!A204,Test_Cases!A205,Test_Cases!A219,Test_Cases!A220,Test_Cases!A221,Test_Cases!A274,Test_Cases!A317)</x:f>
        <x:v>20</x:v>
      </x:c>
      <x:c r="E70" s="10" t="n">
        <x:f>COUNTIFS(Test_Cases!E31,"DEFINED")+COUNTIFS(Test_Cases!E32,"DEFINED")+COUNTIFS(Test_Cases!E33,"DEFINED")+COUNTIFS(Test_Cases!E77,"DEFINED")+COUNTIFS(Test_Cases!E195,"DEFINED")+COUNTIFS(Test_Cases!E196,"DEFINED")+COUNTIFS(Test_Cases!E197,"DEFINED")+COUNTIFS(Test_Cases!E198,"DEFINED")+COUNTIFS(Test_Cases!E199,"DEFINED")+COUNTIFS(Test_Cases!E200,"DEFINED")+COUNTIFS(Test_Cases!E201,"DEFINED")+COUNTIFS(Test_Cases!E202,"DEFINED")+COUNTIFS(Test_Cases!E203,"DEFINED")+COUNTIFS(Test_Cases!E204,"DEFINED")+COUNTIFS(Test_Cases!E205,"DEFINED")+COUNTIFS(Test_Cases!E219,"DEFINED")+COUNTIFS(Test_Cases!E220,"DEFINED")+COUNTIFS(Test_Cases!E221,"DEFINED")+COUNTIFS(Test_Cases!E274,"DEFINED")+COUNTIFS(Test_Cases!E317,"DEFINED")</x:f>
        <x:v>19</x:v>
      </x:c>
      <x:c r="F70" s="10" t="n">
        <x:f>COUNTIFS(Test_Cases!E31,"NEEDS_DECISION")+COUNTIFS(Test_Cases!E32,"NEEDS_DECISION")+COUNTIFS(Test_Cases!E33,"NEEDS_DECISION")+COUNTIFS(Test_Cases!E77,"NEEDS_DECISION")+COUNTIFS(Test_Cases!E195,"NEEDS_DECISION")+COUNTIFS(Test_Cases!E196,"NEEDS_DECISION")+COUNTIFS(Test_Cases!E197,"NEEDS_DECISION")+COUNTIFS(Test_Cases!E198,"NEEDS_DECISION")+COUNTIFS(Test_Cases!E199,"NEEDS_DECISION")+COUNTIFS(Test_Cases!E200,"NEEDS_DECISION")+COUNTIFS(Test_Cases!E201,"NEEDS_DECISION")+COUNTIFS(Test_Cases!E202,"NEEDS_DECISION")+COUNTIFS(Test_Cases!E203,"NEEDS_DECISION")+COUNTIFS(Test_Cases!E204,"NEEDS_DECISION")+COUNTIFS(Test_Cases!E205,"NEEDS_DECISION")+COUNTIFS(Test_Cases!E219,"NEEDS_DECISION")+COUNTIFS(Test_Cases!E220,"NEEDS_DECISION")+COUNTIFS(Test_Cases!E221,"NEEDS_DECISION")+COUNTIFS(Test_Cases!E274,"NEEDS_DECISION")+COUNTIFS(Test_Cases!E317,"NEEDS_DECISION")</x:f>
        <x:v>1</x:v>
      </x:c>
      <x:c r="G70" s="10" t="n">
        <x:f>COUNTIFS(Test_Cases!F31,"PASS")+COUNTIFS(Test_Cases!F32,"PASS")+COUNTIFS(Test_Cases!F33,"PASS")+COUNTIFS(Test_Cases!F77,"PASS")+COUNTIFS(Test_Cases!F195,"PASS")+COUNTIFS(Test_Cases!F196,"PASS")+COUNTIFS(Test_Cases!F197,"PASS")+COUNTIFS(Test_Cases!F198,"PASS")+COUNTIFS(Test_Cases!F199,"PASS")+COUNTIFS(Test_Cases!F200,"PASS")+COUNTIFS(Test_Cases!F201,"PASS")+COUNTIFS(Test_Cases!F202,"PASS")+COUNTIFS(Test_Cases!F203,"PASS")+COUNTIFS(Test_Cases!F204,"PASS")+COUNTIFS(Test_Cases!F205,"PASS")+COUNTIFS(Test_Cases!F219,"PASS")+COUNTIFS(Test_Cases!F220,"PASS")+COUNTIFS(Test_Cases!F221,"PASS")+COUNTIFS(Test_Cases!F274,"PASS")+COUNTIFS(Test_Cases!F317,"PASS")</x:f>
        <x:v>0</x:v>
      </x:c>
      <x:c r="H70" s="10" t="n">
        <x:f>COUNTIFS(Test_Cases!F31,"FAIL")+COUNTIFS(Test_Cases!F32,"FAIL")+COUNTIFS(Test_Cases!F33,"FAIL")+COUNTIFS(Test_Cases!F77,"FAIL")+COUNTIFS(Test_Cases!F195,"FAIL")+COUNTIFS(Test_Cases!F196,"FAIL")+COUNTIFS(Test_Cases!F197,"FAIL")+COUNTIFS(Test_Cases!F198,"FAIL")+COUNTIFS(Test_Cases!F199,"FAIL")+COUNTIFS(Test_Cases!F200,"FAIL")+COUNTIFS(Test_Cases!F201,"FAIL")+COUNTIFS(Test_Cases!F202,"FAIL")+COUNTIFS(Test_Cases!F203,"FAIL")+COUNTIFS(Test_Cases!F204,"FAIL")+COUNTIFS(Test_Cases!F205,"FAIL")+COUNTIFS(Test_Cases!F219,"FAIL")+COUNTIFS(Test_Cases!F220,"FAIL")+COUNTIFS(Test_Cases!F221,"FAIL")+COUNTIFS(Test_Cases!F274,"FAIL")+COUNTIFS(Test_Cases!F317,"FAIL")</x:f>
        <x:v>0</x:v>
      </x:c>
      <x:c r="I70" s="10" t="str">
        <x:v>TC13-AUTH-025, TC13-AUTH-026, TC13-AUTH-027, TC13-FLEET-028, TC13-RATE-001, TC13-RATE-002, TC13-RATE-003, TC13-RATE-004, TC13-RATE-005, TC13-RATE-006, TC13-RATE-007, TC13-RATE-008, TC13-RATE-009, TC13-RATE-010, TC13-RATE-011, TC13-SEC-003, TC13-SEC-004, TC13-SEC-005, TC13-API-010, TC13-API-053</x:v>
      </x:c>
    </x:row>
    <x:row r="71" ht="94" customHeight="1">
      <x:c r="A71" s="9" t="str">
        <x:v>AC19</x:v>
      </x:c>
      <x:c r="B71" s="9" t="str">
        <x:v>Tiêu chí chấp nhận 19</x:v>
      </x:c>
      <x:c r="C71" s="9" t="str">
        <x:v>MVP</x:v>
      </x:c>
      <x:c r="D71" s="9" t="n">
        <x:f>COUNTA(Test_Cases!A181,Test_Cases!A182,Test_Cases!A183,Test_Cases!A184,Test_Cases!A185,Test_Cases!A186,Test_Cases!A191,Test_Cases!A192,Test_Cases!A193,Test_Cases!A194,Test_Cases!A206,Test_Cases!A207,Test_Cases!A208,Test_Cases!A209,Test_Cases!A210,Test_Cases!A211,Test_Cases!A212,Test_Cases!A213,Test_Cases!A214,Test_Cases!A215,Test_Cases!A216,Test_Cases!A228,Test_Cases!A234,Test_Cases!A235,Test_Cases!A236,Test_Cases!A237,Test_Cases!A238,Test_Cases!A239,Test_Cases!A240,Test_Cases!A241,Test_Cases!A242,Test_Cases!A243,Test_Cases!A244,Test_Cases!A245,Test_Cases!A246,Test_Cases!A247,Test_Cases!A248,Test_Cases!A249,Test_Cases!A251,Test_Cases!A252,Test_Cases!A258,Test_Cases!A331,Test_Cases!A332,Test_Cases!A333)</x:f>
        <x:v>44</x:v>
      </x:c>
      <x:c r="E71" s="9" t="n">
        <x:f>COUNTIFS(Test_Cases!E181,"DEFINED")+COUNTIFS(Test_Cases!E182,"DEFINED")+COUNTIFS(Test_Cases!E183,"DEFINED")+COUNTIFS(Test_Cases!E184,"DEFINED")+COUNTIFS(Test_Cases!E185,"DEFINED")+COUNTIFS(Test_Cases!E186,"DEFINED")+COUNTIFS(Test_Cases!E191,"DEFINED")+COUNTIFS(Test_Cases!E192,"DEFINED")+COUNTIFS(Test_Cases!E193,"DEFINED")+COUNTIFS(Test_Cases!E194,"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228,"DEFINED")+COUNTIFS(Test_Cases!E234,"DEFINED")+COUNTIFS(Test_Cases!E235,"DEFINED")+COUNTIFS(Test_Cases!E236,"DEFINED")+COUNTIFS(Test_Cases!E237,"DEFINED")+COUNTIFS(Test_Cases!E238,"DEFINED")+COUNTIFS(Test_Cases!E239,"DEFINED")+COUNTIFS(Test_Cases!E240,"DEFINED")+COUNTIFS(Test_Cases!E241,"DEFINED")+COUNTIFS(Test_Cases!E242,"DEFINED")+COUNTIFS(Test_Cases!E243,"DEFINED")+COUNTIFS(Test_Cases!E244,"DEFINED")+COUNTIFS(Test_Cases!E245,"DEFINED")+COUNTIFS(Test_Cases!E246,"DEFINED")+COUNTIFS(Test_Cases!E247,"DEFINED")+COUNTIFS(Test_Cases!E248,"DEFINED")+COUNTIFS(Test_Cases!E249,"DEFINED")+COUNTIFS(Test_Cases!E251,"DEFINED")+COUNTIFS(Test_Cases!E252,"DEFINED")+COUNTIFS(Test_Cases!E258,"DEFINED")+COUNTIFS(Test_Cases!E331,"DEFINED")+COUNTIFS(Test_Cases!E332,"DEFINED")+COUNTIFS(Test_Cases!E333,"DEFINED")</x:f>
        <x:v>24</x:v>
      </x:c>
      <x:c r="F71" s="9" t="n">
        <x:f>COUNTIFS(Test_Cases!E181,"NEEDS_DECISION")+COUNTIFS(Test_Cases!E182,"NEEDS_DECISION")+COUNTIFS(Test_Cases!E183,"NEEDS_DECISION")+COUNTIFS(Test_Cases!E184,"NEEDS_DECISION")+COUNTIFS(Test_Cases!E185,"NEEDS_DECISION")+COUNTIFS(Test_Cases!E186,"NEEDS_DECISION")+COUNTIFS(Test_Cases!E191,"NEEDS_DECISION")+COUNTIFS(Test_Cases!E192,"NEEDS_DECISION")+COUNTIFS(Test_Cases!E193,"NEEDS_DECISION")+COUNTIFS(Test_Cases!E194,"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228,"NEEDS_DECISION")+COUNTIFS(Test_Cases!E234,"NEEDS_DECISION")+COUNTIFS(Test_Cases!E235,"NEEDS_DECISION")+COUNTIFS(Test_Cases!E236,"NEEDS_DECISION")+COUNTIFS(Test_Cases!E237,"NEEDS_DECISION")+COUNTIFS(Test_Cases!E238,"NEEDS_DECISION")+COUNTIFS(Test_Cases!E239,"NEEDS_DECISION")+COUNTIFS(Test_Cases!E240,"NEEDS_DECISION")+COUNTIFS(Test_Cases!E241,"NEEDS_DECISION")+COUNTIFS(Test_Cases!E242,"NEEDS_DECISION")+COUNTIFS(Test_Cases!E243,"NEEDS_DECISION")+COUNTIFS(Test_Cases!E244,"NEEDS_DECISION")+COUNTIFS(Test_Cases!E245,"NEEDS_DECISION")+COUNTIFS(Test_Cases!E246,"NEEDS_DECISION")+COUNTIFS(Test_Cases!E247,"NEEDS_DECISION")+COUNTIFS(Test_Cases!E248,"NEEDS_DECISION")+COUNTIFS(Test_Cases!E249,"NEEDS_DECISION")+COUNTIFS(Test_Cases!E251,"NEEDS_DECISION")+COUNTIFS(Test_Cases!E252,"NEEDS_DECISION")+COUNTIFS(Test_Cases!E258,"NEEDS_DECISION")+COUNTIFS(Test_Cases!E331,"NEEDS_DECISION")+COUNTIFS(Test_Cases!E332,"NEEDS_DECISION")+COUNTIFS(Test_Cases!E333,"NEEDS_DECISION")</x:f>
        <x:v>20</x:v>
      </x:c>
      <x:c r="G71" s="9" t="n">
        <x:f>COUNTIFS(Test_Cases!F181,"PASS")+COUNTIFS(Test_Cases!F182,"PASS")+COUNTIFS(Test_Cases!F183,"PASS")+COUNTIFS(Test_Cases!F184,"PASS")+COUNTIFS(Test_Cases!F185,"PASS")+COUNTIFS(Test_Cases!F186,"PASS")+COUNTIFS(Test_Cases!F191,"PASS")+COUNTIFS(Test_Cases!F192,"PASS")+COUNTIFS(Test_Cases!F193,"PASS")+COUNTIFS(Test_Cases!F194,"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228,"PASS")+COUNTIFS(Test_Cases!F234,"PASS")+COUNTIFS(Test_Cases!F235,"PASS")+COUNTIFS(Test_Cases!F236,"PASS")+COUNTIFS(Test_Cases!F237,"PASS")+COUNTIFS(Test_Cases!F238,"PASS")+COUNTIFS(Test_Cases!F239,"PASS")+COUNTIFS(Test_Cases!F240,"PASS")+COUNTIFS(Test_Cases!F241,"PASS")+COUNTIFS(Test_Cases!F242,"PASS")+COUNTIFS(Test_Cases!F243,"PASS")+COUNTIFS(Test_Cases!F244,"PASS")+COUNTIFS(Test_Cases!F245,"PASS")+COUNTIFS(Test_Cases!F246,"PASS")+COUNTIFS(Test_Cases!F247,"PASS")+COUNTIFS(Test_Cases!F248,"PASS")+COUNTIFS(Test_Cases!F249,"PASS")+COUNTIFS(Test_Cases!F251,"PASS")+COUNTIFS(Test_Cases!F252,"PASS")+COUNTIFS(Test_Cases!F258,"PASS")+COUNTIFS(Test_Cases!F331,"PASS")+COUNTIFS(Test_Cases!F332,"PASS")+COUNTIFS(Test_Cases!F333,"PASS")</x:f>
        <x:v>0</x:v>
      </x:c>
      <x:c r="H71" s="9" t="n">
        <x:f>COUNTIFS(Test_Cases!F181,"FAIL")+COUNTIFS(Test_Cases!F182,"FAIL")+COUNTIFS(Test_Cases!F183,"FAIL")+COUNTIFS(Test_Cases!F184,"FAIL")+COUNTIFS(Test_Cases!F185,"FAIL")+COUNTIFS(Test_Cases!F186,"FAIL")+COUNTIFS(Test_Cases!F191,"FAIL")+COUNTIFS(Test_Cases!F192,"FAIL")+COUNTIFS(Test_Cases!F193,"FAIL")+COUNTIFS(Test_Cases!F194,"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228,"FAIL")+COUNTIFS(Test_Cases!F234,"FAIL")+COUNTIFS(Test_Cases!F235,"FAIL")+COUNTIFS(Test_Cases!F236,"FAIL")+COUNTIFS(Test_Cases!F237,"FAIL")+COUNTIFS(Test_Cases!F238,"FAIL")+COUNTIFS(Test_Cases!F239,"FAIL")+COUNTIFS(Test_Cases!F240,"FAIL")+COUNTIFS(Test_Cases!F241,"FAIL")+COUNTIFS(Test_Cases!F242,"FAIL")+COUNTIFS(Test_Cases!F243,"FAIL")+COUNTIFS(Test_Cases!F244,"FAIL")+COUNTIFS(Test_Cases!F245,"FAIL")+COUNTIFS(Test_Cases!F246,"FAIL")+COUNTIFS(Test_Cases!F247,"FAIL")+COUNTIFS(Test_Cases!F248,"FAIL")+COUNTIFS(Test_Cases!F249,"FAIL")+COUNTIFS(Test_Cases!F251,"FAIL")+COUNTIFS(Test_Cases!F252,"FAIL")+COUNTIFS(Test_Cases!F258,"FAIL")+COUNTIFS(Test_Cases!F331,"FAIL")+COUNTIFS(Test_Cases!F332,"FAIL")+COUNTIFS(Test_Cases!F333,"FAIL")</x:f>
        <x:v>0</x:v>
      </x:c>
      <x:c r="I71" s="9" t="str">
        <x:v>TC13-NOTI-001, TC13-NOTI-002, TC13-NOTI-003, TC13-NOTI-004, TC13-NOTI-005, TC13-NOTI-006, TC13-NOTI-011, TC13-NOTI-012, TC13-NOTI-013, TC13-NOTI-014, TC13-SAGA-001, TC13-SAGA-002, TC13-SAGA-003, TC13-SAGA-004, TC13-SAGA-005, TC13-SAGA-006, TC13-SAGA-007, TC13-SAGA-008, TC13-SAGA-009, TC13-SAGA-010, TC13-SAGA-011, TC13-SEC-012, TC13-INFRA-001, TC13-INFRA-002, TC13-INFRA-003, TC13-INFRA-004, TC13-INFRA-005, TC13-INFRA-006, TC13-INFRA-007, TC13-INFRA-008, TC13-INFRA-009, TC13-INFRA-010, TC13-INFRA-011, TC13-INFRA-012, TC13-INFRA-013, TC13-INFRA-014, TC13-INFRA-015, TC13-INFRA-016, TC13-INFRA-018, TC13-INFRA-019, TC13-PERF-001, TC13-API-067, TC13-API-068, TC13-API-069</x:v>
      </x:c>
    </x:row>
    <x:row r="72" ht="94" customHeight="1">
      <x:c r="A72" s="10" t="str">
        <x:v>AC20</x:v>
      </x:c>
      <x:c r="B72" s="10" t="str">
        <x:v>Tiêu chí chấp nhận 20</x:v>
      </x:c>
      <x:c r="C72" s="10" t="str">
        <x:v>MVP</x:v>
      </x:c>
      <x:c r="D72" s="10" t="n">
        <x:f>COUNTA(Test_Cases!A29,Test_Cases!A30,Test_Cases!A33,Test_Cases!A36,Test_Cases!A37,Test_Cases!A38,Test_Cases!A39,Test_Cases!A40,Test_Cases!A41,Test_Cases!A42,Test_Cases!A43,Test_Cases!A44,Test_Cases!A45,Test_Cases!A46,Test_Cases!A47,Test_Cases!A48,Test_Cases!A49,Test_Cases!A78,Test_Cases!A79,Test_Cases!A80,Test_Cases!A170,Test_Cases!A171,Test_Cases!A172,Test_Cases!A173,Test_Cases!A217,Test_Cases!A218,Test_Cases!A219,Test_Cases!A220,Test_Cases!A221,Test_Cases!A222,Test_Cases!A223,Test_Cases!A224,Test_Cases!A225,Test_Cases!A226,Test_Cases!A227,Test_Cases!A228,Test_Cases!A229,Test_Cases!A230,Test_Cases!A231,Test_Cases!A232,Test_Cases!A233,Test_Cases!A240,Test_Cases!A251,Test_Cases!A259)</x:f>
        <x:v>44</x:v>
      </x:c>
      <x:c r="E72" s="10" t="n">
        <x:f>COUNTIFS(Test_Cases!E29,"DEFINED")+COUNTIFS(Test_Cases!E30,"DEFINED")+COUNTIFS(Test_Cases!E33,"DEFINED")+COUNTIFS(Test_Cases!E36,"DEFINED")+COUNTIFS(Test_Cases!E37,"DEFINED")+COUNTIFS(Test_Cases!E38,"DEFINED")+COUNTIFS(Test_Cases!E39,"DEFINED")+COUNTIFS(Test_Cases!E40,"DEFINED")+COUNTIFS(Test_Cases!E41,"DEFINED")+COUNTIFS(Test_Cases!E42,"DEFINED")+COUNTIFS(Test_Cases!E43,"DEFINED")+COUNTIFS(Test_Cases!E44,"DEFINED")+COUNTIFS(Test_Cases!E45,"DEFINED")+COUNTIFS(Test_Cases!E46,"DEFINED")+COUNTIFS(Test_Cases!E47,"DEFINED")+COUNTIFS(Test_Cases!E48,"DEFINED")+COUNTIFS(Test_Cases!E49,"DEFINED")+COUNTIFS(Test_Cases!E78,"DEFINED")+COUNTIFS(Test_Cases!E79,"DEFINED")+COUNTIFS(Test_Cases!E80,"DEFINED")+COUNTIFS(Test_Cases!E170,"DEFINED")+COUNTIFS(Test_Cases!E171,"DEFINED")+COUNTIFS(Test_Cases!E172,"DEFINED")+COUNTIFS(Test_Cases!E173,"DEFINED")+COUNTIFS(Test_Cases!E217,"DEFINED")+COUNTIFS(Test_Cases!E218,"DEFINED")+COUNTIFS(Test_Cases!E219,"DEFINED")+COUNTIFS(Test_Cases!E220,"DEFINED")+COUNTIFS(Test_Cases!E221,"DEFINED")+COUNTIFS(Test_Cases!E222,"DEFINED")+COUNTIFS(Test_Cases!E223,"DEFINED")+COUNTIFS(Test_Cases!E224,"DEFINED")+COUNTIFS(Test_Cases!E225,"DEFINED")+COUNTIFS(Test_Cases!E226,"DEFINED")+COUNTIFS(Test_Cases!E227,"DEFINED")+COUNTIFS(Test_Cases!E228,"DEFINED")+COUNTIFS(Test_Cases!E229,"DEFINED")+COUNTIFS(Test_Cases!E230,"DEFINED")+COUNTIFS(Test_Cases!E231,"DEFINED")+COUNTIFS(Test_Cases!E232,"DEFINED")+COUNTIFS(Test_Cases!E233,"DEFINED")+COUNTIFS(Test_Cases!E240,"DEFINED")+COUNTIFS(Test_Cases!E251,"DEFINED")+COUNTIFS(Test_Cases!E259,"DEFINED")</x:f>
        <x:v>35</x:v>
      </x:c>
      <x:c r="F72" s="10" t="n">
        <x:f>COUNTIFS(Test_Cases!E29,"NEEDS_DECISION")+COUNTIFS(Test_Cases!E30,"NEEDS_DECISION")+COUNTIFS(Test_Cases!E33,"NEEDS_DECISION")+COUNTIFS(Test_Cases!E36,"NEEDS_DECISION")+COUNTIFS(Test_Cases!E37,"NEEDS_DECISION")+COUNTIFS(Test_Cases!E38,"NEEDS_DECISION")+COUNTIFS(Test_Cases!E39,"NEEDS_DECISION")+COUNTIFS(Test_Cases!E40,"NEEDS_DECISION")+COUNTIFS(Test_Cases!E41,"NEEDS_DECISION")+COUNTIFS(Test_Cases!E42,"NEEDS_DECISION")+COUNTIFS(Test_Cases!E43,"NEEDS_DECISION")+COUNTIFS(Test_Cases!E44,"NEEDS_DECISION")+COUNTIFS(Test_Cases!E45,"NEEDS_DECISION")+COUNTIFS(Test_Cases!E46,"NEEDS_DECISION")+COUNTIFS(Test_Cases!E47,"NEEDS_DECISION")+COUNTIFS(Test_Cases!E48,"NEEDS_DECISION")+COUNTIFS(Test_Cases!E49,"NEEDS_DECISION")+COUNTIFS(Test_Cases!E78,"NEEDS_DECISION")+COUNTIFS(Test_Cases!E79,"NEEDS_DECISION")+COUNTIFS(Test_Cases!E80,"NEEDS_DECISION")+COUNTIFS(Test_Cases!E170,"NEEDS_DECISION")+COUNTIFS(Test_Cases!E171,"NEEDS_DECISION")+COUNTIFS(Test_Cases!E172,"NEEDS_DECISION")+COUNTIFS(Test_Cases!E173,"NEEDS_DECISION")+COUNTIFS(Test_Cases!E217,"NEEDS_DECISION")+COUNTIFS(Test_Cases!E218,"NEEDS_DECISION")+COUNTIFS(Test_Cases!E219,"NEEDS_DECISION")+COUNTIFS(Test_Cases!E220,"NEEDS_DECISION")+COUNTIFS(Test_Cases!E221,"NEEDS_DECISION")+COUNTIFS(Test_Cases!E222,"NEEDS_DECISION")+COUNTIFS(Test_Cases!E223,"NEEDS_DECISION")+COUNTIFS(Test_Cases!E224,"NEEDS_DECISION")+COUNTIFS(Test_Cases!E225,"NEEDS_DECISION")+COUNTIFS(Test_Cases!E226,"NEEDS_DECISION")+COUNTIFS(Test_Cases!E227,"NEEDS_DECISION")+COUNTIFS(Test_Cases!E228,"NEEDS_DECISION")+COUNTIFS(Test_Cases!E229,"NEEDS_DECISION")+COUNTIFS(Test_Cases!E230,"NEEDS_DECISION")+COUNTIFS(Test_Cases!E231,"NEEDS_DECISION")+COUNTIFS(Test_Cases!E232,"NEEDS_DECISION")+COUNTIFS(Test_Cases!E233,"NEEDS_DECISION")+COUNTIFS(Test_Cases!E240,"NEEDS_DECISION")+COUNTIFS(Test_Cases!E251,"NEEDS_DECISION")+COUNTIFS(Test_Cases!E259,"NEEDS_DECISION")</x:f>
        <x:v>9</x:v>
      </x:c>
      <x:c r="G72" s="10" t="n">
        <x:f>COUNTIFS(Test_Cases!F29,"PASS")+COUNTIFS(Test_Cases!F30,"PASS")+COUNTIFS(Test_Cases!F33,"PASS")+COUNTIFS(Test_Cases!F36,"PASS")+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78,"PASS")+COUNTIFS(Test_Cases!F79,"PASS")+COUNTIFS(Test_Cases!F80,"PASS")+COUNTIFS(Test_Cases!F170,"PASS")+COUNTIFS(Test_Cases!F171,"PASS")+COUNTIFS(Test_Cases!F172,"PASS")+COUNTIFS(Test_Cases!F173,"PASS")+COUNTIFS(Test_Cases!F217,"PASS")+COUNTIFS(Test_Cases!F218,"PASS")+COUNTIFS(Test_Cases!F219,"PASS")+COUNTIFS(Test_Cases!F220,"PASS")+COUNTIFS(Test_Cases!F221,"PASS")+COUNTIFS(Test_Cases!F222,"PASS")+COUNTIFS(Test_Cases!F223,"PASS")+COUNTIFS(Test_Cases!F224,"PASS")+COUNTIFS(Test_Cases!F225,"PASS")+COUNTIFS(Test_Cases!F226,"PASS")+COUNTIFS(Test_Cases!F227,"PASS")+COUNTIFS(Test_Cases!F228,"PASS")+COUNTIFS(Test_Cases!F229,"PASS")+COUNTIFS(Test_Cases!F230,"PASS")+COUNTIFS(Test_Cases!F231,"PASS")+COUNTIFS(Test_Cases!F232,"PASS")+COUNTIFS(Test_Cases!F233,"PASS")+COUNTIFS(Test_Cases!F240,"PASS")+COUNTIFS(Test_Cases!F251,"PASS")+COUNTIFS(Test_Cases!F259,"PASS")</x:f>
        <x:v>0</x:v>
      </x:c>
      <x:c r="H72" s="10" t="n">
        <x:f>COUNTIFS(Test_Cases!F29,"FAIL")+COUNTIFS(Test_Cases!F30,"FAIL")+COUNTIFS(Test_Cases!F33,"FAIL")+COUNTIFS(Test_Cases!F36,"FAIL")+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78,"FAIL")+COUNTIFS(Test_Cases!F79,"FAIL")+COUNTIFS(Test_Cases!F80,"FAIL")+COUNTIFS(Test_Cases!F170,"FAIL")+COUNTIFS(Test_Cases!F171,"FAIL")+COUNTIFS(Test_Cases!F172,"FAIL")+COUNTIFS(Test_Cases!F173,"FAIL")+COUNTIFS(Test_Cases!F217,"FAIL")+COUNTIFS(Test_Cases!F218,"FAIL")+COUNTIFS(Test_Cases!F219,"FAIL")+COUNTIFS(Test_Cases!F220,"FAIL")+COUNTIFS(Test_Cases!F221,"FAIL")+COUNTIFS(Test_Cases!F222,"FAIL")+COUNTIFS(Test_Cases!F223,"FAIL")+COUNTIFS(Test_Cases!F224,"FAIL")+COUNTIFS(Test_Cases!F225,"FAIL")+COUNTIFS(Test_Cases!F226,"FAIL")+COUNTIFS(Test_Cases!F227,"FAIL")+COUNTIFS(Test_Cases!F228,"FAIL")+COUNTIFS(Test_Cases!F229,"FAIL")+COUNTIFS(Test_Cases!F230,"FAIL")+COUNTIFS(Test_Cases!F231,"FAIL")+COUNTIFS(Test_Cases!F232,"FAIL")+COUNTIFS(Test_Cases!F233,"FAIL")+COUNTIFS(Test_Cases!F240,"FAIL")+COUNTIFS(Test_Cases!F251,"FAIL")+COUNTIFS(Test_Cases!F259,"FAIL")</x:f>
        <x:v>0</x:v>
      </x:c>
      <x:c r="I72" s="10" t="str">
        <x:v>TC13-AUTH-023, TC13-AUTH-024, TC13-AUTH-027, TC13-AUTH-030, TC13-OTP-001, TC13-OTP-002, TC13-OTP-003, TC13-OTP-004, TC13-OTP-005, TC13-OTP-006, TC13-OTP-007, TC13-OTP-008, TC13-OTP-009, TC13-OTP-010, TC13-OTP-011, TC13-OTP-012, TC13-OTP-013, TC13-FLEET-029, TC13-FLEET-030, TC13-FLEET-031, TC13-PAY-020, TC13-PAY-021, TC13-PAY-022, TC13-PAY-023, TC13-SEC-001, TC13-SEC-002, TC13-SEC-003, TC13-SEC-004, TC13-SEC-005, TC13-SEC-006, TC13-SEC-007, TC13-SEC-008, TC13-SEC-009, TC13-SEC-010, TC13-SEC-011, TC13-SEC-012, TC13-SEC-013, TC13-SEC-014, TC13-SEC-015, TC13-SEC-016, TC13-SEC-017, TC13-INFRA-007, TC13-INFRA-018, TC13-PERF-002</x:v>
      </x:c>
    </x:row>
    <x:row r="73" ht="178" customHeight="1">
      <x:c r="A73" s="9" t="str">
        <x:v>AC21</x:v>
      </x:c>
      <x:c r="B73" s="9" t="str">
        <x:v>Tiêu chí chấp nhận 21</x:v>
      </x:c>
      <x:c r="C73" s="9" t="str">
        <x:v>MVP</x:v>
      </x:c>
      <x:c r="D73" s="9" t="n">
        <x:f>COUNTA(Test_Cases!A7,Test_Cases!A8,Test_Cases!A9,Test_Cases!A10,Test_Cases!A11,Test_Cases!A12,Test_Cases!A13,Test_Cases!A14,Test_Cases!A15,Test_Cases!A16,Test_Cases!A17,Test_Cases!A18,Test_Cases!A50,Test_Cases!A51,Test_Cases!A52,Test_Cases!A53,Test_Cases!A54,Test_Cases!A55,Test_Cases!A81,Test_Cases!A82,Test_Cases!A83,Test_Cases!A84,Test_Cases!A85,Test_Cases!A86,Test_Cases!A87,Test_Cases!A88,Test_Cases!A89,Test_Cases!A90,Test_Cases!A91,Test_Cases!A96,Test_Cases!A97,Test_Cases!A98,Test_Cases!A99,Test_Cases!A100,Test_Cases!A101,Test_Cases!A112,Test_Cases!A113,Test_Cases!A114,Test_Cases!A115,Test_Cases!A116,Test_Cases!A117,Test_Cases!A118,Test_Cases!A119,Test_Cases!A121,Test_Cases!A127,Test_Cases!A128,Test_Cases!A129,Test_Cases!A130,Test_Cases!A131,Test_Cases!A132,Test_Cases!A133,Test_Cases!A139,Test_Cases!A140,Test_Cases!A141,Test_Cases!A206,Test_Cases!A207,Test_Cases!A208,Test_Cases!A209,Test_Cases!A210,Test_Cases!A211,Test_Cases!A212,Test_Cases!A213,Test_Cases!A214,Test_Cases!A215,Test_Cases!A216,Test_Cases!A275,Test_Cases!A281,Test_Cases!A288,Test_Cases!A296,Test_Cases!A309,Test_Cases!A310,Test_Cases!A311,Test_Cases!A312,Test_Cases!A313,Test_Cases!A314,Test_Cases!A315,Test_Cases!A319,Test_Cases!A320,Test_Cases!A321,Test_Cases!A322,Test_Cases!A323,Test_Cases!A324,Test_Cases!A325,Test_Cases!A326,Test_Cases!A327,Test_Cases!A328,Test_Cases!A329,Test_Cases!A330,Test_Cases!A334,Test_Cases!A338)</x:f>
        <x:v>90</x:v>
      </x:c>
      <x:c r="E73" s="9" t="n">
        <x:f>COUNTIFS(Test_Cases!E7,"DEFINED")+COUNTIFS(Test_Cases!E8,"DEFINED")+COUNTIFS(Test_Cases!E9,"DEFINED")+COUNTIFS(Test_Cases!E10,"DEFINED")+COUNTIFS(Test_Cases!E11,"DEFINED")+COUNTIFS(Test_Cases!E12,"DEFINED")+COUNTIFS(Test_Cases!E13,"DEFINED")+COUNTIFS(Test_Cases!E14,"DEFINED")+COUNTIFS(Test_Cases!E15,"DEFINED")+COUNTIFS(Test_Cases!E16,"DEFINED")+COUNTIFS(Test_Cases!E17,"DEFINED")+COUNTIFS(Test_Cases!E18,"DEFINED")+COUNTIFS(Test_Cases!E50,"DEFINED")+COUNTIFS(Test_Cases!E51,"DEFINED")+COUNTIFS(Test_Cases!E52,"DEFINED")+COUNTIFS(Test_Cases!E53,"DEFINED")+COUNTIFS(Test_Cases!E54,"DEFINED")+COUNTIFS(Test_Cases!E55,"DEFINED")+COUNTIFS(Test_Cases!E81,"DEFINED")+COUNTIFS(Test_Cases!E82,"DEFINED")+COUNTIFS(Test_Cases!E83,"DEFINED")+COUNTIFS(Test_Cases!E84,"DEFINED")+COUNTIFS(Test_Cases!E85,"DEFINED")+COUNTIFS(Test_Cases!E86,"DEFINED")+COUNTIFS(Test_Cases!E87,"DEFINED")+COUNTIFS(Test_Cases!E88,"DEFINED")+COUNTIFS(Test_Cases!E89,"DEFINED")+COUNTIFS(Test_Cases!E90,"DEFINED")+COUNTIFS(Test_Cases!E91,"DEFINED")+COUNTIFS(Test_Cases!E96,"DEFINED")+COUNTIFS(Test_Cases!E97,"DEFINED")+COUNTIFS(Test_Cases!E98,"DEFINED")+COUNTIFS(Test_Cases!E99,"DEFINED")+COUNTIFS(Test_Cases!E100,"DEFINED")+COUNTIFS(Test_Cases!E101,"DEFINED")+COUNTIFS(Test_Cases!E112,"DEFINED")+COUNTIFS(Test_Cases!E113,"DEFINED")+COUNTIFS(Test_Cases!E114,"DEFINED")+COUNTIFS(Test_Cases!E115,"DEFINED")+COUNTIFS(Test_Cases!E116,"DEFINED")+COUNTIFS(Test_Cases!E117,"DEFINED")+COUNTIFS(Test_Cases!E118,"DEFINED")+COUNTIFS(Test_Cases!E119,"DEFINED")+COUNTIFS(Test_Cases!E121,"DEFINED")+COUNTIFS(Test_Cases!E127,"DEFINED")+COUNTIFS(Test_Cases!E128,"DEFINED")+COUNTIFS(Test_Cases!E129,"DEFINED")+COUNTIFS(Test_Cases!E130,"DEFINED")+COUNTIFS(Test_Cases!E131,"DEFINED")+COUNTIFS(Test_Cases!E132,"DEFINED")+COUNTIFS(Test_Cases!E133,"DEFINED")+COUNTIFS(Test_Cases!E139,"DEFINED")+COUNTIFS(Test_Cases!E140,"DEFINED")+COUNTIFS(Test_Cases!E141,"DEFINED")+COUNTIFS(Test_Cases!E206,"DEFINED")+COUNTIFS(Test_Cases!E207,"DEFINED")+COUNTIFS(Test_Cases!E208,"DEFINED")+COUNTIFS(Test_Cases!E209,"DEFINED")+COUNTIFS(Test_Cases!E210,"DEFINED")+COUNTIFS(Test_Cases!E211,"DEFINED")+COUNTIFS(Test_Cases!E212,"DEFINED")+COUNTIFS(Test_Cases!E213,"DEFINED")+COUNTIFS(Test_Cases!E214,"DEFINED")+COUNTIFS(Test_Cases!E215,"DEFINED")+COUNTIFS(Test_Cases!E216,"DEFINED")+COUNTIFS(Test_Cases!E275,"DEFINED")+COUNTIFS(Test_Cases!E281,"DEFINED")+COUNTIFS(Test_Cases!E288,"DEFINED")+COUNTIFS(Test_Cases!E296,"DEFINED")+COUNTIFS(Test_Cases!E309,"DEFINED")+COUNTIFS(Test_Cases!E310,"DEFINED")+COUNTIFS(Test_Cases!E311,"DEFINED")+COUNTIFS(Test_Cases!E312,"DEFINED")+COUNTIFS(Test_Cases!E313,"DEFINED")+COUNTIFS(Test_Cases!E314,"DEFINED")+COUNTIFS(Test_Cases!E315,"DEFINED")+COUNTIFS(Test_Cases!E319,"DEFINED")+COUNTIFS(Test_Cases!E320,"DEFINED")+COUNTIFS(Test_Cases!E321,"DEFINED")+COUNTIFS(Test_Cases!E322,"DEFINED")+COUNTIFS(Test_Cases!E323,"DEFINED")+COUNTIFS(Test_Cases!E324,"DEFINED")+COUNTIFS(Test_Cases!E325,"DEFINED")+COUNTIFS(Test_Cases!E326,"DEFINED")+COUNTIFS(Test_Cases!E327,"DEFINED")+COUNTIFS(Test_Cases!E328,"DEFINED")+COUNTIFS(Test_Cases!E329,"DEFINED")+COUNTIFS(Test_Cases!E330,"DEFINED")+COUNTIFS(Test_Cases!E334,"DEFINED")+COUNTIFS(Test_Cases!E338,"DEFINED")</x:f>
        <x:v>66</x:v>
      </x:c>
      <x:c r="F73" s="9" t="n">
        <x:f>COUNTIFS(Test_Cases!E7,"NEEDS_DECISION")+COUNTIFS(Test_Cases!E8,"NEEDS_DECISION")+COUNTIFS(Test_Cases!E9,"NEEDS_DECISION")+COUNTIFS(Test_Cases!E10,"NEEDS_DECISION")+COUNTIFS(Test_Cases!E11,"NEEDS_DECISION")+COUNTIFS(Test_Cases!E12,"NEEDS_DECISION")+COUNTIFS(Test_Cases!E13,"NEEDS_DECISION")+COUNTIFS(Test_Cases!E14,"NEEDS_DECISION")+COUNTIFS(Test_Cases!E15,"NEEDS_DECISION")+COUNTIFS(Test_Cases!E16,"NEEDS_DECISION")+COUNTIFS(Test_Cases!E17,"NEEDS_DECISION")+COUNTIFS(Test_Cases!E18,"NEEDS_DECISION")+COUNTIFS(Test_Cases!E50,"NEEDS_DECISION")+COUNTIFS(Test_Cases!E51,"NEEDS_DECISION")+COUNTIFS(Test_Cases!E52,"NEEDS_DECISION")+COUNTIFS(Test_Cases!E53,"NEEDS_DECISION")+COUNTIFS(Test_Cases!E54,"NEEDS_DECISION")+COUNTIFS(Test_Cases!E55,"NEEDS_DECISION")+COUNTIFS(Test_Cases!E81,"NEEDS_DECISION")+COUNTIFS(Test_Cases!E82,"NEEDS_DECISION")+COUNTIFS(Test_Cases!E83,"NEEDS_DECISION")+COUNTIFS(Test_Cases!E84,"NEEDS_DECISION")+COUNTIFS(Test_Cases!E85,"NEEDS_DECISION")+COUNTIFS(Test_Cases!E86,"NEEDS_DECISION")+COUNTIFS(Test_Cases!E87,"NEEDS_DECISION")+COUNTIFS(Test_Cases!E88,"NEEDS_DECISION")+COUNTIFS(Test_Cases!E89,"NEEDS_DECISION")+COUNTIFS(Test_Cases!E90,"NEEDS_DECISION")+COUNTIFS(Test_Cases!E91,"NEEDS_DECISION")+COUNTIFS(Test_Cases!E96,"NEEDS_DECISION")+COUNTIFS(Test_Cases!E97,"NEEDS_DECISION")+COUNTIFS(Test_Cases!E98,"NEEDS_DECISION")+COUNTIFS(Test_Cases!E99,"NEEDS_DECISION")+COUNTIFS(Test_Cases!E100,"NEEDS_DECISION")+COUNTIFS(Test_Cases!E101,"NEEDS_DECISION")+COUNTIFS(Test_Cases!E112,"NEEDS_DECISION")+COUNTIFS(Test_Cases!E113,"NEEDS_DECISION")+COUNTIFS(Test_Cases!E114,"NEEDS_DECISION")+COUNTIFS(Test_Cases!E115,"NEEDS_DECISION")+COUNTIFS(Test_Cases!E116,"NEEDS_DECISION")+COUNTIFS(Test_Cases!E117,"NEEDS_DECISION")+COUNTIFS(Test_Cases!E118,"NEEDS_DECISION")+COUNTIFS(Test_Cases!E119,"NEEDS_DECISION")+COUNTIFS(Test_Cases!E121,"NEEDS_DECISION")+COUNTIFS(Test_Cases!E127,"NEEDS_DECISION")+COUNTIFS(Test_Cases!E128,"NEEDS_DECISION")+COUNTIFS(Test_Cases!E129,"NEEDS_DECISION")+COUNTIFS(Test_Cases!E130,"NEEDS_DECISION")+COUNTIFS(Test_Cases!E131,"NEEDS_DECISION")+COUNTIFS(Test_Cases!E132,"NEEDS_DECISION")+COUNTIFS(Test_Cases!E133,"NEEDS_DECISION")+COUNTIFS(Test_Cases!E139,"NEEDS_DECISION")+COUNTIFS(Test_Cases!E140,"NEEDS_DECISION")+COUNTIFS(Test_Cases!E141,"NEEDS_DECISION")+COUNTIFS(Test_Cases!E206,"NEEDS_DECISION")+COUNTIFS(Test_Cases!E207,"NEEDS_DECISION")+COUNTIFS(Test_Cases!E208,"NEEDS_DECISION")+COUNTIFS(Test_Cases!E209,"NEEDS_DECISION")+COUNTIFS(Test_Cases!E210,"NEEDS_DECISION")+COUNTIFS(Test_Cases!E211,"NEEDS_DECISION")+COUNTIFS(Test_Cases!E212,"NEEDS_DECISION")+COUNTIFS(Test_Cases!E213,"NEEDS_DECISION")+COUNTIFS(Test_Cases!E214,"NEEDS_DECISION")+COUNTIFS(Test_Cases!E215,"NEEDS_DECISION")+COUNTIFS(Test_Cases!E216,"NEEDS_DECISION")+COUNTIFS(Test_Cases!E275,"NEEDS_DECISION")+COUNTIFS(Test_Cases!E281,"NEEDS_DECISION")+COUNTIFS(Test_Cases!E288,"NEEDS_DECISION")+COUNTIFS(Test_Cases!E296,"NEEDS_DECISION")+COUNTIFS(Test_Cases!E309,"NEEDS_DECISION")+COUNTIFS(Test_Cases!E310,"NEEDS_DECISION")+COUNTIFS(Test_Cases!E311,"NEEDS_DECISION")+COUNTIFS(Test_Cases!E312,"NEEDS_DECISION")+COUNTIFS(Test_Cases!E313,"NEEDS_DECISION")+COUNTIFS(Test_Cases!E314,"NEEDS_DECISION")+COUNTIFS(Test_Cases!E315,"NEEDS_DECISION")+COUNTIFS(Test_Cases!E319,"NEEDS_DECISION")+COUNTIFS(Test_Cases!E320,"NEEDS_DECISION")+COUNTIFS(Test_Cases!E321,"NEEDS_DECISION")+COUNTIFS(Test_Cases!E322,"NEEDS_DECISION")+COUNTIFS(Test_Cases!E323,"NEEDS_DECISION")+COUNTIFS(Test_Cases!E324,"NEEDS_DECISION")+COUNTIFS(Test_Cases!E325,"NEEDS_DECISION")+COUNTIFS(Test_Cases!E326,"NEEDS_DECISION")+COUNTIFS(Test_Cases!E327,"NEEDS_DECISION")+COUNTIFS(Test_Cases!E328,"NEEDS_DECISION")+COUNTIFS(Test_Cases!E329,"NEEDS_DECISION")+COUNTIFS(Test_Cases!E330,"NEEDS_DECISION")+COUNTIFS(Test_Cases!E334,"NEEDS_DECISION")+COUNTIFS(Test_Cases!E338,"NEEDS_DECISION")</x:f>
        <x:v>24</x:v>
      </x:c>
      <x:c r="G73" s="9"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50,"PASS")+COUNTIFS(Test_Cases!F51,"PASS")+COUNTIFS(Test_Cases!F52,"PASS")+COUNTIFS(Test_Cases!F53,"PASS")+COUNTIFS(Test_Cases!F54,"PASS")+COUNTIFS(Test_Cases!F55,"PASS")+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96,"PASS")+COUNTIFS(Test_Cases!F97,"PASS")+COUNTIFS(Test_Cases!F98,"PASS")+COUNTIFS(Test_Cases!F99,"PASS")+COUNTIFS(Test_Cases!F100,"PASS")+COUNTIFS(Test_Cases!F101,"PASS")+COUNTIFS(Test_Cases!F112,"PASS")+COUNTIFS(Test_Cases!F113,"PASS")+COUNTIFS(Test_Cases!F114,"PASS")+COUNTIFS(Test_Cases!F115,"PASS")+COUNTIFS(Test_Cases!F116,"PASS")+COUNTIFS(Test_Cases!F117,"PASS")+COUNTIFS(Test_Cases!F118,"PASS")+COUNTIFS(Test_Cases!F119,"PASS")+COUNTIFS(Test_Cases!F121,"PASS")+COUNTIFS(Test_Cases!F127,"PASS")+COUNTIFS(Test_Cases!F128,"PASS")+COUNTIFS(Test_Cases!F129,"PASS")+COUNTIFS(Test_Cases!F130,"PASS")+COUNTIFS(Test_Cases!F131,"PASS")+COUNTIFS(Test_Cases!F132,"PASS")+COUNTIFS(Test_Cases!F133,"PASS")+COUNTIFS(Test_Cases!F139,"PASS")+COUNTIFS(Test_Cases!F140,"PASS")+COUNTIFS(Test_Cases!F141,"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275,"PASS")+COUNTIFS(Test_Cases!F281,"PASS")+COUNTIFS(Test_Cases!F288,"PASS")+COUNTIFS(Test_Cases!F296,"PASS")+COUNTIFS(Test_Cases!F309,"PASS")+COUNTIFS(Test_Cases!F310,"PASS")+COUNTIFS(Test_Cases!F311,"PASS")+COUNTIFS(Test_Cases!F312,"PASS")+COUNTIFS(Test_Cases!F313,"PASS")+COUNTIFS(Test_Cases!F314,"PASS")+COUNTIFS(Test_Cases!F315,"PASS")+COUNTIFS(Test_Cases!F319,"PASS")+COUNTIFS(Test_Cases!F320,"PASS")+COUNTIFS(Test_Cases!F321,"PASS")+COUNTIFS(Test_Cases!F322,"PASS")+COUNTIFS(Test_Cases!F323,"PASS")+COUNTIFS(Test_Cases!F324,"PASS")+COUNTIFS(Test_Cases!F325,"PASS")+COUNTIFS(Test_Cases!F326,"PASS")+COUNTIFS(Test_Cases!F327,"PASS")+COUNTIFS(Test_Cases!F328,"PASS")+COUNTIFS(Test_Cases!F329,"PASS")+COUNTIFS(Test_Cases!F330,"PASS")+COUNTIFS(Test_Cases!F334,"PASS")+COUNTIFS(Test_Cases!F338,"PASS")</x:f>
        <x:v>0</x:v>
      </x:c>
      <x:c r="H73" s="9"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50,"FAIL")+COUNTIFS(Test_Cases!F51,"FAIL")+COUNTIFS(Test_Cases!F52,"FAIL")+COUNTIFS(Test_Cases!F53,"FAIL")+COUNTIFS(Test_Cases!F54,"FAIL")+COUNTIFS(Test_Cases!F55,"FAIL")+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96,"FAIL")+COUNTIFS(Test_Cases!F97,"FAIL")+COUNTIFS(Test_Cases!F98,"FAIL")+COUNTIFS(Test_Cases!F99,"FAIL")+COUNTIFS(Test_Cases!F100,"FAIL")+COUNTIFS(Test_Cases!F101,"FAIL")+COUNTIFS(Test_Cases!F112,"FAIL")+COUNTIFS(Test_Cases!F113,"FAIL")+COUNTIFS(Test_Cases!F114,"FAIL")+COUNTIFS(Test_Cases!F115,"FAIL")+COUNTIFS(Test_Cases!F116,"FAIL")+COUNTIFS(Test_Cases!F117,"FAIL")+COUNTIFS(Test_Cases!F118,"FAIL")+COUNTIFS(Test_Cases!F119,"FAIL")+COUNTIFS(Test_Cases!F121,"FAIL")+COUNTIFS(Test_Cases!F127,"FAIL")+COUNTIFS(Test_Cases!F128,"FAIL")+COUNTIFS(Test_Cases!F129,"FAIL")+COUNTIFS(Test_Cases!F130,"FAIL")+COUNTIFS(Test_Cases!F131,"FAIL")+COUNTIFS(Test_Cases!F132,"FAIL")+COUNTIFS(Test_Cases!F133,"FAIL")+COUNTIFS(Test_Cases!F139,"FAIL")+COUNTIFS(Test_Cases!F140,"FAIL")+COUNTIFS(Test_Cases!F141,"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275,"FAIL")+COUNTIFS(Test_Cases!F281,"FAIL")+COUNTIFS(Test_Cases!F288,"FAIL")+COUNTIFS(Test_Cases!F296,"FAIL")+COUNTIFS(Test_Cases!F309,"FAIL")+COUNTIFS(Test_Cases!F310,"FAIL")+COUNTIFS(Test_Cases!F311,"FAIL")+COUNTIFS(Test_Cases!F312,"FAIL")+COUNTIFS(Test_Cases!F313,"FAIL")+COUNTIFS(Test_Cases!F314,"FAIL")+COUNTIFS(Test_Cases!F315,"FAIL")+COUNTIFS(Test_Cases!F319,"FAIL")+COUNTIFS(Test_Cases!F320,"FAIL")+COUNTIFS(Test_Cases!F321,"FAIL")+COUNTIFS(Test_Cases!F322,"FAIL")+COUNTIFS(Test_Cases!F323,"FAIL")+COUNTIFS(Test_Cases!F324,"FAIL")+COUNTIFS(Test_Cases!F325,"FAIL")+COUNTIFS(Test_Cases!F326,"FAIL")+COUNTIFS(Test_Cases!F327,"FAIL")+COUNTIFS(Test_Cases!F328,"FAIL")+COUNTIFS(Test_Cases!F329,"FAIL")+COUNTIFS(Test_Cases!F330,"FAIL")+COUNTIFS(Test_Cases!F334,"FAIL")+COUNTIFS(Test_Cases!F338,"FAIL")</x:f>
        <x:v>0</x:v>
      </x:c>
      <x:c r="I73" s="9" t="str">
        <x:v>TC13-AUTH-001, TC13-AUTH-002, TC13-AUTH-003, TC13-AUTH-004, TC13-AUTH-005, TC13-AUTH-006, TC13-AUTH-007, TC13-AUTH-008, TC13-AUTH-009, TC13-AUTH-010, TC13-AUTH-011, TC13-AUTH-012, TC13-FLEET-001, TC13-FLEET-002, TC13-FLEET-003, TC13-FLEET-004, TC13-FLEET-005, TC13-FLEET-006, TC13-BOOK-001, TC13-BOOK-002, TC13-BOOK-003, TC13-BOOK-004, TC13-BOOK-005, TC13-BOOK-006, TC13-BOOK-007, TC13-BOOK-008, TC13-BOOK-009, TC13-BOOK-010, TC13-BOOK-011, TC13-BOOK-016, TC13-BOOK-017, TC13-BOOK-018, TC13-BOOK-019, TC13-BOOK-020, TC13-BOOK-021, TC13-DISP-011, TC13-DISP-012, TC13-DISP-013, TC13-DISP-014, TC13-DISP-015, TC13-DISP-016, TC13-DISP-017, TC13-DISP-018, TC13-DISP-020, TC13-TRIP-006, TC13-TRIP-007, TC13-TRIP-008, TC13-TRIP-009, TC13-TRIP-010, TC13-TRIP-011, TC13-TRIP-012, TC13-TRIP-018, TC13-TRIP-019, TC13-TRIP-020, TC13-SAGA-001, TC13-SAGA-002, TC13-SAGA-003, TC13-SAGA-004, TC13-SAGA-005, TC13-SAGA-006, TC13-SAGA-007, TC13-SAGA-008, TC13-SAGA-009, TC13-SAGA-010, TC13-SAGA-011, TC13-API-011, TC13-API-017, TC13-API-024, TC13-API-032, TC13-API-045, TC13-API-046, TC13-API-047, TC13-API-048, TC13-API-049, TC13-API-050, TC13-API-051, TC13-API-055, TC13-API-056, TC13-API-057, TC13-API-058, TC13-API-059, TC13-API-060, TC13-API-061, TC13-API-062, TC13-API-063, TC13-API-064, TC13-API-065, TC13-API-066, TC13-API-070, TC13-API-074</x:v>
      </x:c>
    </x:row>
  </x:sheetData>
  <x:pageMargins left="0.7" right="0.7" top="0.75" bottom="0.75" header="0.3" footer="0.3"/>
  <x:tableParts count="1">
    <x:tablePart xmlns:r="http://schemas.openxmlformats.org/officeDocument/2006/relationships" r:id="R35c6a68dadde480f"/>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61" hidden="0" customWidth="1"/>
    <x:col min="3" max="3" width="28" hidden="0" customWidth="1"/>
    <x:col min="4" max="4" width="24" hidden="0" customWidth="1"/>
    <x:col min="5" max="5" width="19" hidden="0" customWidth="1"/>
    <x:col min="6" max="6" width="21" hidden="0" customWidth="1"/>
    <x:col min="7" max="7" width="40" hidden="0" customWidth="1"/>
    <x:col min="8" max="8" width="25" hidden="0" customWidth="1"/>
    <x:col min="9" max="9" width="22" hidden="0" customWidth="1"/>
    <x:col min="10" max="10" width="19" hidden="0" customWidth="1"/>
    <x:col min="11" max="11" width="40" hidden="0" customWidth="1"/>
  </x:cols>
  <x:sheetData>
    <x:row r="2">
      <x:c r="A2" s="1" t="str">
        <x:v>Danh mục hợp đồng API 1.3.0</x:v>
      </x:c>
    </x:row>
    <x:row r="4">
      <x:c r="A4" t="str">
        <x:v>Danh mục đủ 75 method/path trong tám YAML. Một contract case cho mỗi thao tác MVP; ca nghiệp vụ chi tiết lọc theo Nhóm.</x:v>
      </x:c>
    </x:row>
    <x:row r="6" ht="32" customHeight="1">
      <x:c r="A6" s="8" t="str">
        <x:v>Operation ID</x:v>
      </x:c>
      <x:c r="B6" s="8" t="str">
        <x:v>Method / Path</x:v>
      </x:c>
      <x:c r="C6" s="8" t="str">
        <x:v>Owner theo YAML</x:v>
      </x:c>
      <x:c r="D6" s="8" t="str">
        <x:v>Xác thực</x:v>
      </x:c>
      <x:c r="E6" s="8" t="str">
        <x:v>HTTP 2xx</x:v>
      </x:c>
      <x:c r="F6" s="8" t="str">
        <x:v>Phạm vi</x:v>
      </x:c>
      <x:c r="G6" s="8" t="str">
        <x:v>HTTP được đặc tả</x:v>
      </x:c>
      <x:c r="H6" s="8" t="str">
        <x:v>Test contract</x:v>
      </x:c>
      <x:c r="I6" s="8" t="str">
        <x:v>Quyết định</x:v>
      </x:c>
      <x:c r="J6" s="8" t="str">
        <x:v>Thực thi contract</x:v>
      </x:c>
      <x:c r="K6" s="8" t="str">
        <x:v>File nguồn</x:v>
      </x:c>
    </x:row>
    <x:row r="7" ht="34" customHeight="1">
      <x:c r="A7" s="9" t="str">
        <x:v>API-01-registerCustomer</x:v>
      </x:c>
      <x:c r="B7" s="9" t="str">
        <x:v>POST /auth/register</x:v>
      </x:c>
      <x:c r="C7" s="9" t="str">
        <x:v>identity-service</x:v>
      </x:c>
      <x:c r="D7" s="9" t="str">
        <x:v>PUBLIC/PROOF</x:v>
      </x:c>
      <x:c r="E7" s="9" t="str">
        <x:v>201,202</x:v>
      </x:c>
      <x:c r="F7" s="9" t="str">
        <x:v>MVP</x:v>
      </x:c>
      <x:c r="G7" s="9" t="str">
        <x:v>201,202,401,400,409,429,503,default</x:v>
      </x:c>
      <x:c r="H7" s="9" t="str">
        <x:v>TC13-API-001</x:v>
      </x:c>
      <x:c r="I7" s="9" t="str">
        <x:v>D05</x:v>
      </x:c>
      <x:c r="J7" s="9" t="str">
        <x:f>INDEX(Test_Cases!$F$7:$F$338,MATCH(H7,Test_Cases!$A$7:$A$338,0))</x:f>
        <x:v>NOT_RUN</x:v>
      </x:c>
      <x:c r="K7" s="9" t="str">
        <x:v>01-auth-customer-api.yaml</x:v>
      </x:c>
    </x:row>
    <x:row r="8" ht="34" customHeight="1">
      <x:c r="A8" s="10" t="str">
        <x:v>API-01-login</x:v>
      </x:c>
      <x:c r="B8" s="10" t="str">
        <x:v>POST /auth/login</x:v>
      </x:c>
      <x:c r="C8" s="10" t="str">
        <x:v>identity-service</x:v>
      </x:c>
      <x:c r="D8" s="10" t="str">
        <x:v>PUBLIC/PROOF</x:v>
      </x:c>
      <x:c r="E8" s="10" t="str">
        <x:v>200</x:v>
      </x:c>
      <x:c r="F8" s="10" t="str">
        <x:v>MVP</x:v>
      </x:c>
      <x:c r="G8" s="10" t="str">
        <x:v>200,400,401,403,409,429,503,default</x:v>
      </x:c>
      <x:c r="H8" s="10" t="str">
        <x:v>TC13-API-002</x:v>
      </x:c>
      <x:c r="I8" s="10" t="str"/>
      <x:c r="J8" s="10" t="str">
        <x:f>INDEX(Test_Cases!$F$7:$F$338,MATCH(H8,Test_Cases!$A$7:$A$338,0))</x:f>
        <x:v>NOT_RUN</x:v>
      </x:c>
      <x:c r="K8" s="10" t="str">
        <x:v>01-auth-customer-api.yaml</x:v>
      </x:c>
    </x:row>
    <x:row r="9" ht="34" customHeight="1">
      <x:c r="A9" s="9" t="str">
        <x:v>API-01-refreshSession</x:v>
      </x:c>
      <x:c r="B9" s="9" t="str">
        <x:v>POST /auth/refresh</x:v>
      </x:c>
      <x:c r="C9" s="9" t="str">
        <x:v>identity-service</x:v>
      </x:c>
      <x:c r="D9" s="9" t="str">
        <x:v>PUBLIC/PROOF</x:v>
      </x:c>
      <x:c r="E9" s="9" t="str">
        <x:v>200</x:v>
      </x:c>
      <x:c r="F9" s="9" t="str">
        <x:v>MVP</x:v>
      </x:c>
      <x:c r="G9" s="9" t="str">
        <x:v>200,400,401,403,429,503,default</x:v>
      </x:c>
      <x:c r="H9" s="9" t="str">
        <x:v>TC13-API-003</x:v>
      </x:c>
      <x:c r="I9" s="9" t="str"/>
      <x:c r="J9" s="9" t="str">
        <x:f>INDEX(Test_Cases!$F$7:$F$338,MATCH(H9,Test_Cases!$A$7:$A$338,0))</x:f>
        <x:v>NOT_RUN</x:v>
      </x:c>
      <x:c r="K9" s="9" t="str">
        <x:v>01-auth-customer-api.yaml</x:v>
      </x:c>
    </x:row>
    <x:row r="10" ht="34" customHeight="1">
      <x:c r="A10" s="10" t="str">
        <x:v>API-01-logout</x:v>
      </x:c>
      <x:c r="B10" s="10" t="str">
        <x:v>POST /auth/logout</x:v>
      </x:c>
      <x:c r="C10" s="10" t="str">
        <x:v>identity-service</x:v>
      </x:c>
      <x:c r="D10" s="10" t="str">
        <x:v>BEARER + role/object</x:v>
      </x:c>
      <x:c r="E10" s="10" t="str">
        <x:v>204</x:v>
      </x:c>
      <x:c r="F10" s="10" t="str">
        <x:v>MVP</x:v>
      </x:c>
      <x:c r="G10" s="10" t="str">
        <x:v>204,400,401,403,429,503,default</x:v>
      </x:c>
      <x:c r="H10" s="10" t="str">
        <x:v>TC13-API-004</x:v>
      </x:c>
      <x:c r="I10" s="10" t="str"/>
      <x:c r="J10" s="10" t="str">
        <x:f>INDEX(Test_Cases!$F$7:$F$338,MATCH(H10,Test_Cases!$A$7:$A$338,0))</x:f>
        <x:v>NOT_RUN</x:v>
      </x:c>
      <x:c r="K10" s="10" t="str">
        <x:v>01-auth-customer-api.yaml</x:v>
      </x:c>
    </x:row>
    <x:row r="11" ht="34" customHeight="1">
      <x:c r="A11" s="9" t="str">
        <x:v>API-01-changePassword</x:v>
      </x:c>
      <x:c r="B11" s="9" t="str">
        <x:v>POST /auth/change-password</x:v>
      </x:c>
      <x:c r="C11" s="9" t="str">
        <x:v>identity-service</x:v>
      </x:c>
      <x:c r="D11" s="9" t="str">
        <x:v>BEARER + role/object</x:v>
      </x:c>
      <x:c r="E11" s="9" t="str">
        <x:v>204</x:v>
      </x:c>
      <x:c r="F11" s="9" t="str">
        <x:v>MVP</x:v>
      </x:c>
      <x:c r="G11" s="9" t="str">
        <x:v>204,400,401,403,429,503,default</x:v>
      </x:c>
      <x:c r="H11" s="9" t="str">
        <x:v>TC13-API-005</x:v>
      </x:c>
      <x:c r="I11" s="9" t="str"/>
      <x:c r="J11" s="9" t="str">
        <x:f>INDEX(Test_Cases!$F$7:$F$338,MATCH(H11,Test_Cases!$A$7:$A$338,0))</x:f>
        <x:v>NOT_RUN</x:v>
      </x:c>
      <x:c r="K11" s="9" t="str">
        <x:v>01-auth-customer-api.yaml</x:v>
      </x:c>
    </x:row>
    <x:row r="12" ht="34" customHeight="1">
      <x:c r="A12" s="10" t="str">
        <x:v>API-01-requestDriverRegistrationOtp</x:v>
      </x:c>
      <x:c r="B12" s="10" t="str">
        <x:v>POST /auth/driver-registration/otp</x:v>
      </x:c>
      <x:c r="C12" s="10" t="str">
        <x:v>identity-service</x:v>
      </x:c>
      <x:c r="D12" s="10" t="str">
        <x:v>PUBLIC/PROOF</x:v>
      </x:c>
      <x:c r="E12" s="10" t="str">
        <x:v>202</x:v>
      </x:c>
      <x:c r="F12" s="10" t="str">
        <x:v>MVP</x:v>
      </x:c>
      <x:c r="G12" s="10" t="str">
        <x:v>202,400,409,429,503,default</x:v>
      </x:c>
      <x:c r="H12" s="10" t="str">
        <x:v>TC13-API-006</x:v>
      </x:c>
      <x:c r="I12" s="10" t="str">
        <x:v>D05</x:v>
      </x:c>
      <x:c r="J12" s="10" t="str">
        <x:f>INDEX(Test_Cases!$F$7:$F$338,MATCH(H12,Test_Cases!$A$7:$A$338,0))</x:f>
        <x:v>NOT_RUN</x:v>
      </x:c>
      <x:c r="K12" s="10" t="str">
        <x:v>01-auth-customer-api.yaml</x:v>
      </x:c>
    </x:row>
    <x:row r="13" ht="34" customHeight="1">
      <x:c r="A13" s="9" t="str">
        <x:v>API-01-verifyDriverRegistrationOtp</x:v>
      </x:c>
      <x:c r="B13" s="9" t="str">
        <x:v>POST /auth/driver-registration/otp/verify</x:v>
      </x:c>
      <x:c r="C13" s="9" t="str">
        <x:v>identity-service</x:v>
      </x:c>
      <x:c r="D13" s="9" t="str">
        <x:v>PUBLIC/PROOF</x:v>
      </x:c>
      <x:c r="E13" s="9" t="str">
        <x:v>200</x:v>
      </x:c>
      <x:c r="F13" s="9" t="str">
        <x:v>MVP</x:v>
      </x:c>
      <x:c r="G13" s="9" t="str">
        <x:v>200,400,409,429,503,default</x:v>
      </x:c>
      <x:c r="H13" s="9" t="str">
        <x:v>TC13-API-007</x:v>
      </x:c>
      <x:c r="I13" s="9" t="str"/>
      <x:c r="J13" s="9" t="str">
        <x:f>INDEX(Test_Cases!$F$7:$F$338,MATCH(H13,Test_Cases!$A$7:$A$338,0))</x:f>
        <x:v>NOT_RUN</x:v>
      </x:c>
      <x:c r="K13" s="9" t="str">
        <x:v>01-auth-customer-api.yaml</x:v>
      </x:c>
    </x:row>
    <x:row r="14" ht="34" customHeight="1">
      <x:c r="A14" s="10" t="str">
        <x:v>API-01-getMyAccount</x:v>
      </x:c>
      <x:c r="B14" s="10" t="str">
        <x:v>GET /accounts/me</x:v>
      </x:c>
      <x:c r="C14" s="10" t="str">
        <x:v>identity-service</x:v>
      </x:c>
      <x:c r="D14" s="10" t="str">
        <x:v>BEARER + role/object</x:v>
      </x:c>
      <x:c r="E14" s="10" t="str">
        <x:v>200</x:v>
      </x:c>
      <x:c r="F14" s="10" t="str">
        <x:v>MVP</x:v>
      </x:c>
      <x:c r="G14" s="10" t="str">
        <x:v>200,401,403,429,503,default</x:v>
      </x:c>
      <x:c r="H14" s="10" t="str">
        <x:v>TC13-API-008</x:v>
      </x:c>
      <x:c r="I14" s="10" t="str"/>
      <x:c r="J14" s="10" t="str">
        <x:f>INDEX(Test_Cases!$F$7:$F$338,MATCH(H14,Test_Cases!$A$7:$A$338,0))</x:f>
        <x:v>NOT_RUN</x:v>
      </x:c>
      <x:c r="K14" s="10" t="str">
        <x:v>01-auth-customer-api.yaml</x:v>
      </x:c>
    </x:row>
    <x:row r="15" ht="34" customHeight="1">
      <x:c r="A15" s="9" t="str">
        <x:v>API-01-updateMyAccount</x:v>
      </x:c>
      <x:c r="B15" s="9" t="str">
        <x:v>PATCH /accounts/me</x:v>
      </x:c>
      <x:c r="C15" s="9" t="str">
        <x:v>identity-service</x:v>
      </x:c>
      <x:c r="D15" s="9" t="str">
        <x:v>BEARER + role/object</x:v>
      </x:c>
      <x:c r="E15" s="9" t="str">
        <x:v>200</x:v>
      </x:c>
      <x:c r="F15" s="9" t="str">
        <x:v>MVP</x:v>
      </x:c>
      <x:c r="G15" s="9" t="str">
        <x:v>200,400,401,403,409,429,503,default</x:v>
      </x:c>
      <x:c r="H15" s="9" t="str">
        <x:v>TC13-API-009</x:v>
      </x:c>
      <x:c r="I15" s="9" t="str"/>
      <x:c r="J15" s="9" t="str">
        <x:f>INDEX(Test_Cases!$F$7:$F$338,MATCH(H15,Test_Cases!$A$7:$A$338,0))</x:f>
        <x:v>NOT_RUN</x:v>
      </x:c>
      <x:c r="K15" s="9" t="str">
        <x:v>01-auth-customer-api.yaml</x:v>
      </x:c>
    </x:row>
    <x:row r="16" ht="34" customHeight="1">
      <x:c r="A16" s="10" t="str">
        <x:v>API-01-getCustomerById</x:v>
      </x:c>
      <x:c r="B16" s="10" t="str">
        <x:v>GET /customers/{customerId}</x:v>
      </x:c>
      <x:c r="C16" s="10" t="str">
        <x:v>customer-service</x:v>
      </x:c>
      <x:c r="D16" s="10" t="str">
        <x:v>BEARER + role/object</x:v>
      </x:c>
      <x:c r="E16" s="10" t="str">
        <x:v>200</x:v>
      </x:c>
      <x:c r="F16" s="10" t="str">
        <x:v>MVP</x:v>
      </x:c>
      <x:c r="G16" s="10" t="str">
        <x:v>200,400,401,403,404,429,503,default</x:v>
      </x:c>
      <x:c r="H16" s="10" t="str">
        <x:v>TC13-API-010</x:v>
      </x:c>
      <x:c r="I16" s="10" t="str"/>
      <x:c r="J16" s="10" t="str">
        <x:f>INDEX(Test_Cases!$F$7:$F$338,MATCH(H16,Test_Cases!$A$7:$A$338,0))</x:f>
        <x:v>NOT_RUN</x:v>
      </x:c>
      <x:c r="K16" s="10" t="str">
        <x:v>01-auth-customer-api.yaml</x:v>
      </x:c>
    </x:row>
    <x:row r="17" ht="34" customHeight="1">
      <x:c r="A17" s="9" t="str">
        <x:v>API-01-getCustomerRegistrationOperation</x:v>
      </x:c>
      <x:c r="B17" s="9" t="str">
        <x:v>GET /auth/customer-registrations/{operationId}</x:v>
      </x:c>
      <x:c r="C17" s="9" t="str">
        <x:v>identity-service</x:v>
      </x:c>
      <x:c r="D17" s="9" t="str">
        <x:v>BEARER + role/object</x:v>
      </x:c>
      <x:c r="E17" s="9" t="str">
        <x:v>200</x:v>
      </x:c>
      <x:c r="F17" s="9" t="str">
        <x:v>MVP</x:v>
      </x:c>
      <x:c r="G17" s="9" t="str">
        <x:v>200,401,404,429,503,default</x:v>
      </x:c>
      <x:c r="H17" s="9" t="str">
        <x:v>TC13-API-011</x:v>
      </x:c>
      <x:c r="I17" s="9" t="str"/>
      <x:c r="J17" s="9" t="str">
        <x:f>INDEX(Test_Cases!$F$7:$F$338,MATCH(H17,Test_Cases!$A$7:$A$338,0))</x:f>
        <x:v>NOT_RUN</x:v>
      </x:c>
      <x:c r="K17" s="9" t="str">
        <x:v>01-auth-customer-api.yaml</x:v>
      </x:c>
    </x:row>
    <x:row r="18" ht="34" customHeight="1">
      <x:c r="A18" s="10" t="str">
        <x:v>API-02-listMyBookings</x:v>
      </x:c>
      <x:c r="B18" s="10" t="str">
        <x:v>GET /bookings</x:v>
      </x:c>
      <x:c r="C18" s="10" t="str">
        <x:v>booking-service</x:v>
      </x:c>
      <x:c r="D18" s="10" t="str">
        <x:v>BEARER + role/object</x:v>
      </x:c>
      <x:c r="E18" s="10" t="str">
        <x:v>200</x:v>
      </x:c>
      <x:c r="F18" s="10" t="str">
        <x:v>MVP</x:v>
      </x:c>
      <x:c r="G18" s="10" t="str">
        <x:v>200,400,401,403,429,503,default</x:v>
      </x:c>
      <x:c r="H18" s="10" t="str">
        <x:v>TC13-API-012</x:v>
      </x:c>
      <x:c r="I18" s="10" t="str"/>
      <x:c r="J18" s="10" t="str">
        <x:f>INDEX(Test_Cases!$F$7:$F$338,MATCH(H18,Test_Cases!$A$7:$A$338,0))</x:f>
        <x:v>NOT_RUN</x:v>
      </x:c>
      <x:c r="K18" s="10" t="str">
        <x:v>02-booking-api.yaml</x:v>
      </x:c>
    </x:row>
    <x:row r="19" ht="34" customHeight="1">
      <x:c r="A19" s="9" t="str">
        <x:v>API-02-createBooking</x:v>
      </x:c>
      <x:c r="B19" s="9" t="str">
        <x:v>POST /bookings</x:v>
      </x:c>
      <x:c r="C19" s="9" t="str">
        <x:v>booking-service</x:v>
      </x:c>
      <x:c r="D19" s="9" t="str">
        <x:v>BEARER + role/object</x:v>
      </x:c>
      <x:c r="E19" s="9" t="str">
        <x:v>201,202</x:v>
      </x:c>
      <x:c r="F19" s="9" t="str">
        <x:v>MVP</x:v>
      </x:c>
      <x:c r="G19" s="9" t="str">
        <x:v>201,202,400,401,403,409,429,503,default</x:v>
      </x:c>
      <x:c r="H19" s="9" t="str">
        <x:v>TC13-API-013</x:v>
      </x:c>
      <x:c r="I19" s="9" t="str">
        <x:v>D05</x:v>
      </x:c>
      <x:c r="J19" s="9" t="str">
        <x:f>INDEX(Test_Cases!$F$7:$F$338,MATCH(H19,Test_Cases!$A$7:$A$338,0))</x:f>
        <x:v>NOT_RUN</x:v>
      </x:c>
      <x:c r="K19" s="9" t="str">
        <x:v>02-booking-api.yaml</x:v>
      </x:c>
    </x:row>
    <x:row r="20" ht="34" customHeight="1">
      <x:c r="A20" s="10" t="str">
        <x:v>API-02-getBooking</x:v>
      </x:c>
      <x:c r="B20" s="10" t="str">
        <x:v>GET /bookings/{bookingId}</x:v>
      </x:c>
      <x:c r="C20" s="10" t="str">
        <x:v>booking-service</x:v>
      </x:c>
      <x:c r="D20" s="10" t="str">
        <x:v>BEARER + role/object</x:v>
      </x:c>
      <x:c r="E20" s="10" t="str">
        <x:v>200</x:v>
      </x:c>
      <x:c r="F20" s="10" t="str">
        <x:v>MVP</x:v>
      </x:c>
      <x:c r="G20" s="10" t="str">
        <x:v>200,400,401,403,404,429,503,default</x:v>
      </x:c>
      <x:c r="H20" s="10" t="str">
        <x:v>TC13-API-014</x:v>
      </x:c>
      <x:c r="I20" s="10" t="str"/>
      <x:c r="J20" s="10" t="str">
        <x:f>INDEX(Test_Cases!$F$7:$F$338,MATCH(H20,Test_Cases!$A$7:$A$338,0))</x:f>
        <x:v>NOT_RUN</x:v>
      </x:c>
      <x:c r="K20" s="10" t="str">
        <x:v>02-booking-api.yaml</x:v>
      </x:c>
    </x:row>
    <x:row r="21" ht="34" customHeight="1">
      <x:c r="A21" s="9" t="str">
        <x:v>API-02-getBookingStatus</x:v>
      </x:c>
      <x:c r="B21" s="9" t="str">
        <x:v>GET /bookings/{bookingId}/status</x:v>
      </x:c>
      <x:c r="C21" s="9" t="str">
        <x:v>booking-service</x:v>
      </x:c>
      <x:c r="D21" s="9" t="str">
        <x:v>BEARER + role/object</x:v>
      </x:c>
      <x:c r="E21" s="9" t="str">
        <x:v>200</x:v>
      </x:c>
      <x:c r="F21" s="9" t="str">
        <x:v>MVP</x:v>
      </x:c>
      <x:c r="G21" s="9" t="str">
        <x:v>200,400,401,403,404,429,503,default</x:v>
      </x:c>
      <x:c r="H21" s="9" t="str">
        <x:v>TC13-API-015</x:v>
      </x:c>
      <x:c r="I21" s="9" t="str"/>
      <x:c r="J21" s="9" t="str">
        <x:f>INDEX(Test_Cases!$F$7:$F$338,MATCH(H21,Test_Cases!$A$7:$A$338,0))</x:f>
        <x:v>NOT_RUN</x:v>
      </x:c>
      <x:c r="K21" s="9" t="str">
        <x:v>02-booking-api.yaml</x:v>
      </x:c>
    </x:row>
    <x:row r="22" ht="34" customHeight="1">
      <x:c r="A22" s="10" t="str">
        <x:v>API-02-cancelBooking</x:v>
      </x:c>
      <x:c r="B22" s="10" t="str">
        <x:v>POST /bookings/{bookingId}/cancel</x:v>
      </x:c>
      <x:c r="C22" s="10" t="str">
        <x:v>booking-service</x:v>
      </x:c>
      <x:c r="D22" s="10" t="str">
        <x:v>BEARER + role/object</x:v>
      </x:c>
      <x:c r="E22" s="10" t="str">
        <x:v>200,202</x:v>
      </x:c>
      <x:c r="F22" s="10" t="str">
        <x:v>MVP</x:v>
      </x:c>
      <x:c r="G22" s="10" t="str">
        <x:v>200,202,400,401,403,404,409,429,503,default</x:v>
      </x:c>
      <x:c r="H22" s="10" t="str">
        <x:v>TC13-API-016</x:v>
      </x:c>
      <x:c r="I22" s="10" t="str">
        <x:v>D05</x:v>
      </x:c>
      <x:c r="J22" s="10" t="str">
        <x:f>INDEX(Test_Cases!$F$7:$F$338,MATCH(H22,Test_Cases!$A$7:$A$338,0))</x:f>
        <x:v>NOT_RUN</x:v>
      </x:c>
      <x:c r="K22" s="10" t="str">
        <x:v>02-booking-api.yaml</x:v>
      </x:c>
    </x:row>
    <x:row r="23" ht="34" customHeight="1">
      <x:c r="A23" s="9" t="str">
        <x:v>API-02-getBookingOperation</x:v>
      </x:c>
      <x:c r="B23" s="9" t="str">
        <x:v>GET /booking-operations/{operationId}</x:v>
      </x:c>
      <x:c r="C23" s="9" t="str">
        <x:v>booking-service</x:v>
      </x:c>
      <x:c r="D23" s="9" t="str">
        <x:v>BEARER + role/object</x:v>
      </x:c>
      <x:c r="E23" s="9" t="str">
        <x:v>200</x:v>
      </x:c>
      <x:c r="F23" s="9" t="str">
        <x:v>MVP</x:v>
      </x:c>
      <x:c r="G23" s="9" t="str">
        <x:v>200,400,401,403,404,429,503,default</x:v>
      </x:c>
      <x:c r="H23" s="9" t="str">
        <x:v>TC13-API-017</x:v>
      </x:c>
      <x:c r="I23" s="9" t="str"/>
      <x:c r="J23" s="9" t="str">
        <x:f>INDEX(Test_Cases!$F$7:$F$338,MATCH(H23,Test_Cases!$A$7:$A$338,0))</x:f>
        <x:v>NOT_RUN</x:v>
      </x:c>
      <x:c r="K23" s="9" t="str">
        <x:v>02-booking-api.yaml</x:v>
      </x:c>
    </x:row>
    <x:row r="24" ht="34" customHeight="1">
      <x:c r="A24" s="10" t="str">
        <x:v>API-03-searchNearbyDrivers</x:v>
      </x:c>
      <x:c r="B24" s="10" t="str">
        <x:v>GET /drivers/nearby</x:v>
      </x:c>
      <x:c r="C24" s="10" t="str">
        <x:v>driver-service</x:v>
      </x:c>
      <x:c r="D24" s="10" t="str">
        <x:v>BEARER + role/object</x:v>
      </x:c>
      <x:c r="E24" s="10" t="str">
        <x:v>200</x:v>
      </x:c>
      <x:c r="F24" s="10" t="str">
        <x:v>MVP</x:v>
      </x:c>
      <x:c r="G24" s="10" t="str">
        <x:v>200,400,401,403,429,503,default</x:v>
      </x:c>
      <x:c r="H24" s="10" t="str">
        <x:v>TC13-API-018</x:v>
      </x:c>
      <x:c r="I24" s="10" t="str">
        <x:v>G01</x:v>
      </x:c>
      <x:c r="J24" s="10" t="str">
        <x:f>INDEX(Test_Cases!$F$7:$F$338,MATCH(H24,Test_Cases!$A$7:$A$338,0))</x:f>
        <x:v>NOT_RUN</x:v>
      </x:c>
      <x:c r="K24" s="10" t="str">
        <x:v>03-dispatch driver-api.yaml</x:v>
      </x:c>
    </x:row>
    <x:row r="25" ht="34" customHeight="1">
      <x:c r="A25" s="9" t="str">
        <x:v>API-03-getDispatchStatus</x:v>
      </x:c>
      <x:c r="B25" s="9" t="str">
        <x:v>GET /bookings/{bookingId}/dispatch/status</x:v>
      </x:c>
      <x:c r="C25" s="9" t="str">
        <x:v>booking-service</x:v>
      </x:c>
      <x:c r="D25" s="9" t="str">
        <x:v>BEARER + role/object</x:v>
      </x:c>
      <x:c r="E25" s="9" t="str">
        <x:v>200</x:v>
      </x:c>
      <x:c r="F25" s="9" t="str">
        <x:v>MVP</x:v>
      </x:c>
      <x:c r="G25" s="9" t="str">
        <x:v>200,400,401,403,404,429,503,default</x:v>
      </x:c>
      <x:c r="H25" s="9" t="str">
        <x:v>TC13-API-019</x:v>
      </x:c>
      <x:c r="I25" s="9" t="str"/>
      <x:c r="J25" s="9" t="str">
        <x:f>INDEX(Test_Cases!$F$7:$F$338,MATCH(H25,Test_Cases!$A$7:$A$338,0))</x:f>
        <x:v>NOT_RUN</x:v>
      </x:c>
      <x:c r="K25" s="9" t="str">
        <x:v>03-dispatch driver-api.yaml</x:v>
      </x:c>
    </x:row>
    <x:row r="26" ht="34" customHeight="1">
      <x:c r="A26" s="10" t="str">
        <x:v>API-03-listMyPendingTripRequests</x:v>
      </x:c>
      <x:c r="B26" s="10" t="str">
        <x:v>GET /drivers/me/trip-requests</x:v>
      </x:c>
      <x:c r="C26" s="10" t="str">
        <x:v>booking-service</x:v>
      </x:c>
      <x:c r="D26" s="10" t="str">
        <x:v>BEARER + role/object</x:v>
      </x:c>
      <x:c r="E26" s="10" t="str">
        <x:v>200</x:v>
      </x:c>
      <x:c r="F26" s="10" t="str">
        <x:v>MVP</x:v>
      </x:c>
      <x:c r="G26" s="10" t="str">
        <x:v>200,400,401,403,429,503,default</x:v>
      </x:c>
      <x:c r="H26" s="10" t="str">
        <x:v>TC13-API-020</x:v>
      </x:c>
      <x:c r="I26" s="10" t="str"/>
      <x:c r="J26" s="10" t="str">
        <x:f>INDEX(Test_Cases!$F$7:$F$338,MATCH(H26,Test_Cases!$A$7:$A$338,0))</x:f>
        <x:v>NOT_RUN</x:v>
      </x:c>
      <x:c r="K26" s="10" t="str">
        <x:v>03-dispatch driver-api.yaml</x:v>
      </x:c>
    </x:row>
    <x:row r="27" ht="34" customHeight="1">
      <x:c r="A27" s="9" t="str">
        <x:v>API-03-getMyTripRequest</x:v>
      </x:c>
      <x:c r="B27" s="9" t="str">
        <x:v>GET /trip-requests/{tripRequestId}</x:v>
      </x:c>
      <x:c r="C27" s="9" t="str">
        <x:v>booking-service</x:v>
      </x:c>
      <x:c r="D27" s="9" t="str">
        <x:v>BEARER + role/object</x:v>
      </x:c>
      <x:c r="E27" s="9" t="str">
        <x:v>200,202</x:v>
      </x:c>
      <x:c r="F27" s="9" t="str">
        <x:v>MVP</x:v>
      </x:c>
      <x:c r="G27" s="9" t="str">
        <x:v>200,202,400,401,403,404,429,503,default</x:v>
      </x:c>
      <x:c r="H27" s="9" t="str">
        <x:v>TC13-API-021</x:v>
      </x:c>
      <x:c r="I27" s="9" t="str">
        <x:v>D05</x:v>
      </x:c>
      <x:c r="J27" s="9" t="str">
        <x:f>INDEX(Test_Cases!$F$7:$F$338,MATCH(H27,Test_Cases!$A$7:$A$338,0))</x:f>
        <x:v>NOT_RUN</x:v>
      </x:c>
      <x:c r="K27" s="9" t="str">
        <x:v>03-dispatch driver-api.yaml</x:v>
      </x:c>
    </x:row>
    <x:row r="28" ht="34" customHeight="1">
      <x:c r="A28" s="10" t="str">
        <x:v>API-03-acceptTripRequest</x:v>
      </x:c>
      <x:c r="B28" s="10" t="str">
        <x:v>POST /trip-requests/{tripRequestId}/accept</x:v>
      </x:c>
      <x:c r="C28" s="10" t="str">
        <x:v>booking-service</x:v>
      </x:c>
      <x:c r="D28" s="10" t="str">
        <x:v>BEARER + role/object</x:v>
      </x:c>
      <x:c r="E28" s="10" t="str">
        <x:v>200,202</x:v>
      </x:c>
      <x:c r="F28" s="10" t="str">
        <x:v>MVP</x:v>
      </x:c>
      <x:c r="G28" s="10" t="str">
        <x:v>200,202,400,401,403,404,409,429,503,default</x:v>
      </x:c>
      <x:c r="H28" s="10" t="str">
        <x:v>TC13-API-022</x:v>
      </x:c>
      <x:c r="I28" s="10" t="str">
        <x:v>D05</x:v>
      </x:c>
      <x:c r="J28" s="10" t="str">
        <x:f>INDEX(Test_Cases!$F$7:$F$338,MATCH(H28,Test_Cases!$A$7:$A$338,0))</x:f>
        <x:v>NOT_RUN</x:v>
      </x:c>
      <x:c r="K28" s="10" t="str">
        <x:v>03-dispatch driver-api.yaml</x:v>
      </x:c>
    </x:row>
    <x:row r="29" ht="34" customHeight="1">
      <x:c r="A29" s="9" t="str">
        <x:v>API-03-rejectTripRequest</x:v>
      </x:c>
      <x:c r="B29" s="9" t="str">
        <x:v>POST /trip-requests/{tripRequestId}/reject</x:v>
      </x:c>
      <x:c r="C29" s="9" t="str">
        <x:v>booking-service</x:v>
      </x:c>
      <x:c r="D29" s="9" t="str">
        <x:v>BEARER + role/object</x:v>
      </x:c>
      <x:c r="E29" s="9" t="str">
        <x:v>200</x:v>
      </x:c>
      <x:c r="F29" s="9" t="str">
        <x:v>MVP</x:v>
      </x:c>
      <x:c r="G29" s="9" t="str">
        <x:v>200,400,401,403,404,409,429,503,default</x:v>
      </x:c>
      <x:c r="H29" s="9" t="str">
        <x:v>TC13-API-023</x:v>
      </x:c>
      <x:c r="I29" s="9" t="str"/>
      <x:c r="J29" s="9" t="str">
        <x:f>INDEX(Test_Cases!$F$7:$F$338,MATCH(H29,Test_Cases!$A$7:$A$338,0))</x:f>
        <x:v>NOT_RUN</x:v>
      </x:c>
      <x:c r="K29" s="9" t="str">
        <x:v>03-dispatch driver-api.yaml</x:v>
      </x:c>
    </x:row>
    <x:row r="30" ht="34" customHeight="1">
      <x:c r="A30" s="10" t="str">
        <x:v>API-03-getMyAssignmentOperation</x:v>
      </x:c>
      <x:c r="B30" s="10" t="str">
        <x:v>GET /dispatch-operations/{operationId}</x:v>
      </x:c>
      <x:c r="C30" s="10" t="str">
        <x:v>booking-service</x:v>
      </x:c>
      <x:c r="D30" s="10" t="str">
        <x:v>BEARER + role/object</x:v>
      </x:c>
      <x:c r="E30" s="10" t="str">
        <x:v>200</x:v>
      </x:c>
      <x:c r="F30" s="10" t="str">
        <x:v>MVP</x:v>
      </x:c>
      <x:c r="G30" s="10" t="str">
        <x:v>200,400,401,403,404,429,503,default</x:v>
      </x:c>
      <x:c r="H30" s="10" t="str">
        <x:v>TC13-API-024</x:v>
      </x:c>
      <x:c r="I30" s="10" t="str"/>
      <x:c r="J30" s="10" t="str">
        <x:f>INDEX(Test_Cases!$F$7:$F$338,MATCH(H30,Test_Cases!$A$7:$A$338,0))</x:f>
        <x:v>NOT_RUN</x:v>
      </x:c>
      <x:c r="K30" s="10" t="str">
        <x:v>03-dispatch driver-api.yaml</x:v>
      </x:c>
    </x:row>
    <x:row r="31" ht="34" customHeight="1">
      <x:c r="A31" s="9" t="str">
        <x:v>API-04-listMyTrips</x:v>
      </x:c>
      <x:c r="B31" s="9" t="str">
        <x:v>GET /trips</x:v>
      </x:c>
      <x:c r="C31" s="9" t="str">
        <x:v>trip-service</x:v>
      </x:c>
      <x:c r="D31" s="9" t="str">
        <x:v>BEARER + role/object</x:v>
      </x:c>
      <x:c r="E31" s="9" t="str">
        <x:v>200</x:v>
      </x:c>
      <x:c r="F31" s="9" t="str">
        <x:v>MVP</x:v>
      </x:c>
      <x:c r="G31" s="9" t="str">
        <x:v>200,400,401,403,429,503,default</x:v>
      </x:c>
      <x:c r="H31" s="9" t="str">
        <x:v>TC13-API-025</x:v>
      </x:c>
      <x:c r="I31" s="9" t="str"/>
      <x:c r="J31" s="9" t="str">
        <x:f>INDEX(Test_Cases!$F$7:$F$338,MATCH(H31,Test_Cases!$A$7:$A$338,0))</x:f>
        <x:v>NOT_RUN</x:v>
      </x:c>
      <x:c r="K31" s="9" t="str">
        <x:v>04-trip-api.yaml</x:v>
      </x:c>
    </x:row>
    <x:row r="32" ht="34" customHeight="1">
      <x:c r="A32" s="10" t="str">
        <x:v>API-04-getTrip</x:v>
      </x:c>
      <x:c r="B32" s="10" t="str">
        <x:v>GET /trips/{tripId}</x:v>
      </x:c>
      <x:c r="C32" s="10" t="str">
        <x:v>trip-service</x:v>
      </x:c>
      <x:c r="D32" s="10" t="str">
        <x:v>BEARER + role/object</x:v>
      </x:c>
      <x:c r="E32" s="10" t="str">
        <x:v>200</x:v>
      </x:c>
      <x:c r="F32" s="10" t="str">
        <x:v>MVP</x:v>
      </x:c>
      <x:c r="G32" s="10" t="str">
        <x:v>200,400,401,403,404,429,503,default</x:v>
      </x:c>
      <x:c r="H32" s="10" t="str">
        <x:v>TC13-API-026</x:v>
      </x:c>
      <x:c r="I32" s="10" t="str"/>
      <x:c r="J32" s="10" t="str">
        <x:f>INDEX(Test_Cases!$F$7:$F$338,MATCH(H32,Test_Cases!$A$7:$A$338,0))</x:f>
        <x:v>NOT_RUN</x:v>
      </x:c>
      <x:c r="K32" s="10" t="str">
        <x:v>04-trip-api.yaml</x:v>
      </x:c>
    </x:row>
    <x:row r="33" ht="34" customHeight="1">
      <x:c r="A33" s="9" t="str">
        <x:v>API-04-getTripTracking</x:v>
      </x:c>
      <x:c r="B33" s="9" t="str">
        <x:v>GET /trips/{tripId}/tracking</x:v>
      </x:c>
      <x:c r="C33" s="9" t="str">
        <x:v>trip-service</x:v>
      </x:c>
      <x:c r="D33" s="9" t="str">
        <x:v>BEARER + role/object</x:v>
      </x:c>
      <x:c r="E33" s="9" t="str">
        <x:v>200</x:v>
      </x:c>
      <x:c r="F33" s="9" t="str">
        <x:v>MVP</x:v>
      </x:c>
      <x:c r="G33" s="9" t="str">
        <x:v>200,400,401,403,404,429,503,default</x:v>
      </x:c>
      <x:c r="H33" s="9" t="str">
        <x:v>TC13-API-027</x:v>
      </x:c>
      <x:c r="I33" s="9" t="str"/>
      <x:c r="J33" s="9" t="str">
        <x:f>INDEX(Test_Cases!$F$7:$F$338,MATCH(H33,Test_Cases!$A$7:$A$338,0))</x:f>
        <x:v>NOT_RUN</x:v>
      </x:c>
      <x:c r="K33" s="9" t="str">
        <x:v>04-trip-api.yaml</x:v>
      </x:c>
    </x:row>
    <x:row r="34" ht="34" customHeight="1">
      <x:c r="A34" s="10" t="str">
        <x:v>API-04-updateTripStatus</x:v>
      </x:c>
      <x:c r="B34" s="10" t="str">
        <x:v>PATCH /trips/{tripId}/status</x:v>
      </x:c>
      <x:c r="C34" s="10" t="str">
        <x:v>trip-service</x:v>
      </x:c>
      <x:c r="D34" s="10" t="str">
        <x:v>BEARER + role/object</x:v>
      </x:c>
      <x:c r="E34" s="10" t="str">
        <x:v>200</x:v>
      </x:c>
      <x:c r="F34" s="10" t="str">
        <x:v>MVP</x:v>
      </x:c>
      <x:c r="G34" s="10" t="str">
        <x:v>200,400,401,403,404,409,429,503,default</x:v>
      </x:c>
      <x:c r="H34" s="10" t="str">
        <x:v>TC13-API-028</x:v>
      </x:c>
      <x:c r="I34" s="10" t="str"/>
      <x:c r="J34" s="10" t="str">
        <x:f>INDEX(Test_Cases!$F$7:$F$338,MATCH(H34,Test_Cases!$A$7:$A$338,0))</x:f>
        <x:v>NOT_RUN</x:v>
      </x:c>
      <x:c r="K34" s="10" t="str">
        <x:v>04-trip-api.yaml</x:v>
      </x:c>
    </x:row>
    <x:row r="35" ht="34" customHeight="1">
      <x:c r="A35" s="9" t="str">
        <x:v>API-04-cancelTrip</x:v>
      </x:c>
      <x:c r="B35" s="9" t="str">
        <x:v>POST /trips/{tripId}/cancel</x:v>
      </x:c>
      <x:c r="C35" s="9" t="str">
        <x:v>trip-service</x:v>
      </x:c>
      <x:c r="D35" s="9" t="str">
        <x:v>BEARER + role/object</x:v>
      </x:c>
      <x:c r="E35" s="9" t="str">
        <x:v>200</x:v>
      </x:c>
      <x:c r="F35" s="9" t="str">
        <x:v>MVP</x:v>
      </x:c>
      <x:c r="G35" s="9" t="str">
        <x:v>200,400,401,403,404,409,429,503,default</x:v>
      </x:c>
      <x:c r="H35" s="9" t="str">
        <x:v>TC13-API-029</x:v>
      </x:c>
      <x:c r="I35" s="9" t="str"/>
      <x:c r="J35" s="9" t="str">
        <x:f>INDEX(Test_Cases!$F$7:$F$338,MATCH(H35,Test_Cases!$A$7:$A$338,0))</x:f>
        <x:v>NOT_RUN</x:v>
      </x:c>
      <x:c r="K35" s="9" t="str">
        <x:v>04-trip-api.yaml</x:v>
      </x:c>
    </x:row>
    <x:row r="36" ht="34" customHeight="1">
      <x:c r="A36" s="10" t="str">
        <x:v>API-04-reportTripIncident</x:v>
      </x:c>
      <x:c r="B36" s="10" t="str">
        <x:v>POST /trips/{tripId}/incidents</x:v>
      </x:c>
      <x:c r="C36" s="10" t="str">
        <x:v>trip-service</x:v>
      </x:c>
      <x:c r="D36" s="10" t="str">
        <x:v>BEARER + role/object</x:v>
      </x:c>
      <x:c r="E36" s="10" t="str">
        <x:v>201</x:v>
      </x:c>
      <x:c r="F36" s="10" t="str">
        <x:v>MVP</x:v>
      </x:c>
      <x:c r="G36" s="10" t="str">
        <x:v>201,400,401,403,404,409,429,503,default</x:v>
      </x:c>
      <x:c r="H36" s="10" t="str">
        <x:v>TC13-API-030</x:v>
      </x:c>
      <x:c r="I36" s="10" t="str"/>
      <x:c r="J36" s="10" t="str">
        <x:f>INDEX(Test_Cases!$F$7:$F$338,MATCH(H36,Test_Cases!$A$7:$A$338,0))</x:f>
        <x:v>NOT_RUN</x:v>
      </x:c>
      <x:c r="K36" s="10" t="str">
        <x:v>04-trip-api.yaml</x:v>
      </x:c>
    </x:row>
    <x:row r="37" ht="34" customHeight="1">
      <x:c r="A37" s="9" t="str">
        <x:v>API-04-updateMyDriverLocation</x:v>
      </x:c>
      <x:c r="B37" s="9" t="str">
        <x:v>PUT /drivers/me/location</x:v>
      </x:c>
      <x:c r="C37" s="9" t="str">
        <x:v>driver-service</x:v>
      </x:c>
      <x:c r="D37" s="9" t="str">
        <x:v>BEARER + role/object</x:v>
      </x:c>
      <x:c r="E37" s="9" t="str">
        <x:v>200</x:v>
      </x:c>
      <x:c r="F37" s="9" t="str">
        <x:v>MVP</x:v>
      </x:c>
      <x:c r="G37" s="9" t="str">
        <x:v>200,400,401,403,409,429,503,default</x:v>
      </x:c>
      <x:c r="H37" s="9" t="str">
        <x:v>TC13-API-031</x:v>
      </x:c>
      <x:c r="I37" s="9" t="str"/>
      <x:c r="J37" s="9" t="str">
        <x:f>INDEX(Test_Cases!$F$7:$F$338,MATCH(H37,Test_Cases!$A$7:$A$338,0))</x:f>
        <x:v>NOT_RUN</x:v>
      </x:c>
      <x:c r="K37" s="9" t="str">
        <x:v>04-trip-api.yaml</x:v>
      </x:c>
    </x:row>
    <x:row r="38" ht="34" customHeight="1">
      <x:c r="A38" s="10" t="str">
        <x:v>API-04-getTripClosure</x:v>
      </x:c>
      <x:c r="B38" s="10" t="str">
        <x:v>GET /trips/{tripId}/closure</x:v>
      </x:c>
      <x:c r="C38" s="10" t="str">
        <x:v>trip-service</x:v>
      </x:c>
      <x:c r="D38" s="10" t="str">
        <x:v>BEARER + role/object</x:v>
      </x:c>
      <x:c r="E38" s="10" t="str">
        <x:v>200</x:v>
      </x:c>
      <x:c r="F38" s="10" t="str">
        <x:v>MVP</x:v>
      </x:c>
      <x:c r="G38" s="10" t="str">
        <x:v>200,400,401,403,404,409,429,503,default</x:v>
      </x:c>
      <x:c r="H38" s="10" t="str">
        <x:v>TC13-API-032</x:v>
      </x:c>
      <x:c r="I38" s="10" t="str"/>
      <x:c r="J38" s="10" t="str">
        <x:f>INDEX(Test_Cases!$F$7:$F$338,MATCH(H38,Test_Cases!$A$7:$A$338,0))</x:f>
        <x:v>NOT_RUN</x:v>
      </x:c>
      <x:c r="K38" s="10" t="str">
        <x:v>04-trip-api.yaml</x:v>
      </x:c>
    </x:row>
    <x:row r="39" ht="34" customHeight="1">
      <x:c r="A39" s="9" t="str">
        <x:v>API-05-getTripFare</x:v>
      </x:c>
      <x:c r="B39" s="9" t="str">
        <x:v>GET /trips/{tripId}/fare</x:v>
      </x:c>
      <x:c r="C39" s="9" t="str">
        <x:v>payment-service</x:v>
      </x:c>
      <x:c r="D39" s="9" t="str">
        <x:v>BEARER + role/object</x:v>
      </x:c>
      <x:c r="E39" s="9" t="str">
        <x:v>200</x:v>
      </x:c>
      <x:c r="F39" s="9" t="str">
        <x:v>MVP</x:v>
      </x:c>
      <x:c r="G39" s="9" t="str">
        <x:v>200,400,401,403,404,409,429,503,default</x:v>
      </x:c>
      <x:c r="H39" s="9" t="str">
        <x:v>TC13-API-033</x:v>
      </x:c>
      <x:c r="I39" s="9" t="str"/>
      <x:c r="J39" s="9" t="str">
        <x:f>INDEX(Test_Cases!$F$7:$F$338,MATCH(H39,Test_Cases!$A$7:$A$338,0))</x:f>
        <x:v>NOT_RUN</x:v>
      </x:c>
      <x:c r="K39" s="9" t="str">
        <x:v>05-payment-api.yaml</x:v>
      </x:c>
    </x:row>
    <x:row r="40" ht="34" customHeight="1">
      <x:c r="A40" s="10" t="str">
        <x:v>API-05-createTripPayment</x:v>
      </x:c>
      <x:c r="B40" s="10" t="str">
        <x:v>POST /trips/{tripId}/payments</x:v>
      </x:c>
      <x:c r="C40" s="10" t="str">
        <x:v>payment-service</x:v>
      </x:c>
      <x:c r="D40" s="10" t="str">
        <x:v>BEARER + role/object</x:v>
      </x:c>
      <x:c r="E40" s="10" t="str">
        <x:v>201</x:v>
      </x:c>
      <x:c r="F40" s="10" t="str">
        <x:v>MVP</x:v>
      </x:c>
      <x:c r="G40" s="10" t="str">
        <x:v>201,400,401,403,404,409,429,503,default</x:v>
      </x:c>
      <x:c r="H40" s="10" t="str">
        <x:v>TC13-API-034</x:v>
      </x:c>
      <x:c r="I40" s="10" t="str"/>
      <x:c r="J40" s="10" t="str">
        <x:f>INDEX(Test_Cases!$F$7:$F$338,MATCH(H40,Test_Cases!$A$7:$A$338,0))</x:f>
        <x:v>NOT_RUN</x:v>
      </x:c>
      <x:c r="K40" s="10" t="str">
        <x:v>05-payment-api.yaml</x:v>
      </x:c>
    </x:row>
    <x:row r="41" ht="34" customHeight="1">
      <x:c r="A41" s="9" t="str">
        <x:v>API-05-getPaymentByTrip</x:v>
      </x:c>
      <x:c r="B41" s="9" t="str">
        <x:v>GET /trips/{tripId}/payment</x:v>
      </x:c>
      <x:c r="C41" s="9" t="str">
        <x:v>payment-service</x:v>
      </x:c>
      <x:c r="D41" s="9" t="str">
        <x:v>BEARER + role/object</x:v>
      </x:c>
      <x:c r="E41" s="9" t="str">
        <x:v>200</x:v>
      </x:c>
      <x:c r="F41" s="9" t="str">
        <x:v>MVP</x:v>
      </x:c>
      <x:c r="G41" s="9" t="str">
        <x:v>200,400,401,403,404,429,503,default</x:v>
      </x:c>
      <x:c r="H41" s="9" t="str">
        <x:v>TC13-API-035</x:v>
      </x:c>
      <x:c r="I41" s="9" t="str"/>
      <x:c r="J41" s="9" t="str">
        <x:f>INDEX(Test_Cases!$F$7:$F$338,MATCH(H41,Test_Cases!$A$7:$A$338,0))</x:f>
        <x:v>NOT_RUN</x:v>
      </x:c>
      <x:c r="K41" s="9" t="str">
        <x:v>05-payment-api.yaml</x:v>
      </x:c>
    </x:row>
    <x:row r="42" ht="34" customHeight="1">
      <x:c r="A42" s="10" t="str">
        <x:v>API-05-getPayment</x:v>
      </x:c>
      <x:c r="B42" s="10" t="str">
        <x:v>GET /payments/{paymentId}</x:v>
      </x:c>
      <x:c r="C42" s="10" t="str">
        <x:v>payment-service</x:v>
      </x:c>
      <x:c r="D42" s="10" t="str">
        <x:v>BEARER + role/object</x:v>
      </x:c>
      <x:c r="E42" s="10" t="str">
        <x:v>200</x:v>
      </x:c>
      <x:c r="F42" s="10" t="str">
        <x:v>MVP</x:v>
      </x:c>
      <x:c r="G42" s="10" t="str">
        <x:v>200,400,401,403,404,429,503,default</x:v>
      </x:c>
      <x:c r="H42" s="10" t="str">
        <x:v>TC13-API-036</x:v>
      </x:c>
      <x:c r="I42" s="10" t="str"/>
      <x:c r="J42" s="10" t="str">
        <x:f>INDEX(Test_Cases!$F$7:$F$338,MATCH(H42,Test_Cases!$A$7:$A$338,0))</x:f>
        <x:v>NOT_RUN</x:v>
      </x:c>
      <x:c r="K42" s="10" t="str">
        <x:v>05-payment-api.yaml</x:v>
      </x:c>
    </x:row>
    <x:row r="43" ht="34" customHeight="1">
      <x:c r="A43" s="9" t="str">
        <x:v>API-05-listPaymentAttempts</x:v>
      </x:c>
      <x:c r="B43" s="9" t="str">
        <x:v>GET /payments/{paymentId}/attempts</x:v>
      </x:c>
      <x:c r="C43" s="9" t="str">
        <x:v>payment-service</x:v>
      </x:c>
      <x:c r="D43" s="9" t="str">
        <x:v>BEARER + role/object</x:v>
      </x:c>
      <x:c r="E43" s="9" t="str">
        <x:v>200</x:v>
      </x:c>
      <x:c r="F43" s="9" t="str">
        <x:v>MVP</x:v>
      </x:c>
      <x:c r="G43" s="9" t="str">
        <x:v>200,400,401,403,404,429,503,default</x:v>
      </x:c>
      <x:c r="H43" s="9" t="str">
        <x:v>TC13-API-037</x:v>
      </x:c>
      <x:c r="I43" s="9" t="str"/>
      <x:c r="J43" s="9" t="str">
        <x:f>INDEX(Test_Cases!$F$7:$F$338,MATCH(H43,Test_Cases!$A$7:$A$338,0))</x:f>
        <x:v>NOT_RUN</x:v>
      </x:c>
      <x:c r="K43" s="9" t="str">
        <x:v>05-payment-api.yaml</x:v>
      </x:c>
    </x:row>
    <x:row r="44" ht="34" customHeight="1">
      <x:c r="A44" s="10" t="str">
        <x:v>API-05-confirmCashPayment</x:v>
      </x:c>
      <x:c r="B44" s="10" t="str">
        <x:v>POST /payments/{paymentId}/confirm-cash</x:v>
      </x:c>
      <x:c r="C44" s="10" t="str">
        <x:v>payment-service</x:v>
      </x:c>
      <x:c r="D44" s="10" t="str">
        <x:v>BEARER + role/object</x:v>
      </x:c>
      <x:c r="E44" s="10" t="str">
        <x:v>200</x:v>
      </x:c>
      <x:c r="F44" s="10" t="str">
        <x:v>MVP</x:v>
      </x:c>
      <x:c r="G44" s="10" t="str">
        <x:v>200,400,401,403,404,409,429,503,default</x:v>
      </x:c>
      <x:c r="H44" s="10" t="str">
        <x:v>TC13-API-038</x:v>
      </x:c>
      <x:c r="I44" s="10" t="str"/>
      <x:c r="J44" s="10" t="str">
        <x:f>INDEX(Test_Cases!$F$7:$F$338,MATCH(H44,Test_Cases!$A$7:$A$338,0))</x:f>
        <x:v>NOT_RUN</x:v>
      </x:c>
      <x:c r="K44" s="10" t="str">
        <x:v>05-payment-api.yaml</x:v>
      </x:c>
    </x:row>
    <x:row r="45" ht="34" customHeight="1">
      <x:c r="A45" s="9" t="str">
        <x:v>API-05-retryPayment</x:v>
      </x:c>
      <x:c r="B45" s="9" t="str">
        <x:v>POST /payments/{paymentId}/retry</x:v>
      </x:c>
      <x:c r="C45" s="9" t="str">
        <x:v>payment-service</x:v>
      </x:c>
      <x:c r="D45" s="9" t="str">
        <x:v>BEARER + role/object</x:v>
      </x:c>
      <x:c r="E45" s="9" t="str">
        <x:v>202</x:v>
      </x:c>
      <x:c r="F45" s="9" t="str">
        <x:v>MVP</x:v>
      </x:c>
      <x:c r="G45" s="9" t="str">
        <x:v>202,400,401,403,404,409,429,503,default</x:v>
      </x:c>
      <x:c r="H45" s="9" t="str">
        <x:v>TC13-API-039</x:v>
      </x:c>
      <x:c r="I45" s="9" t="str">
        <x:v>D05</x:v>
      </x:c>
      <x:c r="J45" s="9" t="str">
        <x:f>INDEX(Test_Cases!$F$7:$F$338,MATCH(H45,Test_Cases!$A$7:$A$338,0))</x:f>
        <x:v>NOT_RUN</x:v>
      </x:c>
      <x:c r="K45" s="9" t="str">
        <x:v>05-payment-api.yaml</x:v>
      </x:c>
    </x:row>
    <x:row r="46" ht="34" customHeight="1">
      <x:c r="A46" s="10" t="str">
        <x:v>API-05-receivePaymentWebhook</x:v>
      </x:c>
      <x:c r="B46" s="10" t="str">
        <x:v>POST /payments/webhooks/{provider}</x:v>
      </x:c>
      <x:c r="C46" s="10" t="str">
        <x:v>payment-service</x:v>
      </x:c>
      <x:c r="D46" s="10" t="str">
        <x:v>PUBLIC/PROOF</x:v>
      </x:c>
      <x:c r="E46" s="10" t="str">
        <x:v>200</x:v>
      </x:c>
      <x:c r="F46" s="10" t="str">
        <x:v>MVP</x:v>
      </x:c>
      <x:c r="G46" s="10" t="str">
        <x:v>200,400,401,404,429,503</x:v>
      </x:c>
      <x:c r="H46" s="10" t="str">
        <x:v>TC13-API-040</x:v>
      </x:c>
      <x:c r="I46" s="10" t="str">
        <x:v>D02</x:v>
      </x:c>
      <x:c r="J46" s="10" t="str">
        <x:f>INDEX(Test_Cases!$F$7:$F$338,MATCH(H46,Test_Cases!$A$7:$A$338,0))</x:f>
        <x:v>NOT_RUN</x:v>
      </x:c>
      <x:c r="K46" s="10" t="str">
        <x:v>05-payment-api.yaml</x:v>
      </x:c>
    </x:row>
    <x:row r="47" ht="34" customHeight="1">
      <x:c r="A47" s="9" t="str">
        <x:v>API-06-listMyNotifications</x:v>
      </x:c>
      <x:c r="B47" s="9" t="str">
        <x:v>GET /notifications</x:v>
      </x:c>
      <x:c r="C47" s="9" t="str">
        <x:v>notification-service</x:v>
      </x:c>
      <x:c r="D47" s="9" t="str">
        <x:v>BEARER + role/object</x:v>
      </x:c>
      <x:c r="E47" s="9" t="str">
        <x:v>200</x:v>
      </x:c>
      <x:c r="F47" s="9" t="str">
        <x:v>MVP</x:v>
      </x:c>
      <x:c r="G47" s="9" t="str">
        <x:v>200,400,401,403,429,503,default</x:v>
      </x:c>
      <x:c r="H47" s="9" t="str">
        <x:v>TC13-API-041</x:v>
      </x:c>
      <x:c r="I47" s="9" t="str"/>
      <x:c r="J47" s="9" t="str">
        <x:f>INDEX(Test_Cases!$F$7:$F$338,MATCH(H47,Test_Cases!$A$7:$A$338,0))</x:f>
        <x:v>NOT_RUN</x:v>
      </x:c>
      <x:c r="K47" s="9" t="str">
        <x:v>06-notification-api.yaml</x:v>
      </x:c>
    </x:row>
    <x:row r="48" ht="34" customHeight="1">
      <x:c r="A48" s="10" t="str">
        <x:v>API-06-markMyNotificationAsRead</x:v>
      </x:c>
      <x:c r="B48" s="10" t="str">
        <x:v>PATCH /notifications/{notificationId}/read</x:v>
      </x:c>
      <x:c r="C48" s="10" t="str">
        <x:v>notification-service</x:v>
      </x:c>
      <x:c r="D48" s="10" t="str">
        <x:v>BEARER + role/object</x:v>
      </x:c>
      <x:c r="E48" s="10" t="str">
        <x:v>200</x:v>
      </x:c>
      <x:c r="F48" s="10" t="str">
        <x:v>MVP</x:v>
      </x:c>
      <x:c r="G48" s="10" t="str">
        <x:v>200,400,401,403,404,429,503,default</x:v>
      </x:c>
      <x:c r="H48" s="10" t="str">
        <x:v>TC13-API-042</x:v>
      </x:c>
      <x:c r="I48" s="10" t="str"/>
      <x:c r="J48" s="10" t="str">
        <x:f>INDEX(Test_Cases!$F$7:$F$338,MATCH(H48,Test_Cases!$A$7:$A$338,0))</x:f>
        <x:v>NOT_RUN</x:v>
      </x:c>
      <x:c r="K48" s="10" t="str">
        <x:v>06-notification-api.yaml</x:v>
      </x:c>
    </x:row>
    <x:row r="49" ht="34" customHeight="1">
      <x:c r="A49" s="9" t="str">
        <x:v>API-07-submitDriverApplication</x:v>
      </x:c>
      <x:c r="B49" s="9" t="str">
        <x:v>POST /driver-applications</x:v>
      </x:c>
      <x:c r="C49" s="9" t="str">
        <x:v>identity-service</x:v>
      </x:c>
      <x:c r="D49" s="9" t="str">
        <x:v>PUBLIC/PROOF</x:v>
      </x:c>
      <x:c r="E49" s="9" t="str">
        <x:v>201,202</x:v>
      </x:c>
      <x:c r="F49" s="9" t="str">
        <x:v>MVP</x:v>
      </x:c>
      <x:c r="G49" s="9" t="str">
        <x:v>201,202,400,409,429,503,default</x:v>
      </x:c>
      <x:c r="H49" s="9" t="str">
        <x:v>TC13-API-043</x:v>
      </x:c>
      <x:c r="I49" s="9" t="str">
        <x:v>D05,G02</x:v>
      </x:c>
      <x:c r="J49" s="9" t="str">
        <x:f>INDEX(Test_Cases!$F$7:$F$338,MATCH(H49,Test_Cases!$A$7:$A$338,0))</x:f>
        <x:v>NOT_RUN</x:v>
      </x:c>
      <x:c r="K49" s="9" t="str">
        <x:v>07-operations-api.yaml</x:v>
      </x:c>
    </x:row>
    <x:row r="50" ht="34" customHeight="1">
      <x:c r="A50" s="10" t="str">
        <x:v>API-07-getMyDriverApplication</x:v>
      </x:c>
      <x:c r="B50" s="10" t="str">
        <x:v>GET /driver-applications/me</x:v>
      </x:c>
      <x:c r="C50" s="10" t="str">
        <x:v>driver-service</x:v>
      </x:c>
      <x:c r="D50" s="10" t="str">
        <x:v>BEARER + role/object</x:v>
      </x:c>
      <x:c r="E50" s="10" t="str">
        <x:v>200</x:v>
      </x:c>
      <x:c r="F50" s="10" t="str">
        <x:v>MVP</x:v>
      </x:c>
      <x:c r="G50" s="10" t="str">
        <x:v>200,400,401,403,404,429,503,default</x:v>
      </x:c>
      <x:c r="H50" s="10" t="str">
        <x:v>TC13-API-044</x:v>
      </x:c>
      <x:c r="I50" s="10" t="str"/>
      <x:c r="J50" s="10" t="str">
        <x:f>INDEX(Test_Cases!$F$7:$F$338,MATCH(H50,Test_Cases!$A$7:$A$338,0))</x:f>
        <x:v>NOT_RUN</x:v>
      </x:c>
      <x:c r="K50" s="10" t="str">
        <x:v>07-operations-api.yaml</x:v>
      </x:c>
    </x:row>
    <x:row r="51" ht="34" customHeight="1">
      <x:c r="A51" s="9" t="str">
        <x:v>API-07-listDriverApplications</x:v>
      </x:c>
      <x:c r="B51" s="9" t="str">
        <x:v>GET /operations/driver-applications</x:v>
      </x:c>
      <x:c r="C51" s="9" t="str">
        <x:v>driver-service</x:v>
      </x:c>
      <x:c r="D51" s="9" t="str">
        <x:v>BEARER + role/object</x:v>
      </x:c>
      <x:c r="E51" s="9" t="str">
        <x:v>200</x:v>
      </x:c>
      <x:c r="F51" s="9" t="str">
        <x:v>MVP</x:v>
      </x:c>
      <x:c r="G51" s="9" t="str">
        <x:v>200,400,401,403,429,503,default</x:v>
      </x:c>
      <x:c r="H51" s="9" t="str">
        <x:v>TC13-API-045</x:v>
      </x:c>
      <x:c r="I51" s="9" t="str"/>
      <x:c r="J51" s="9" t="str">
        <x:f>INDEX(Test_Cases!$F$7:$F$338,MATCH(H51,Test_Cases!$A$7:$A$338,0))</x:f>
        <x:v>NOT_RUN</x:v>
      </x:c>
      <x:c r="K51" s="9" t="str">
        <x:v>07-operations-api.yaml</x:v>
      </x:c>
    </x:row>
    <x:row r="52" ht="34" customHeight="1">
      <x:c r="A52" s="10" t="str">
        <x:v>API-07-getDriverApplication</x:v>
      </x:c>
      <x:c r="B52" s="10" t="str">
        <x:v>GET /operations/driver-applications/{applicationId}</x:v>
      </x:c>
      <x:c r="C52" s="10" t="str">
        <x:v>driver-service</x:v>
      </x:c>
      <x:c r="D52" s="10" t="str">
        <x:v>BEARER + role/object</x:v>
      </x:c>
      <x:c r="E52" s="10" t="str">
        <x:v>200</x:v>
      </x:c>
      <x:c r="F52" s="10" t="str">
        <x:v>MVP</x:v>
      </x:c>
      <x:c r="G52" s="10" t="str">
        <x:v>200,400,401,403,404,429,503,default</x:v>
      </x:c>
      <x:c r="H52" s="10" t="str">
        <x:v>TC13-API-046</x:v>
      </x:c>
      <x:c r="I52" s="10" t="str"/>
      <x:c r="J52" s="10" t="str">
        <x:f>INDEX(Test_Cases!$F$7:$F$338,MATCH(H52,Test_Cases!$A$7:$A$338,0))</x:f>
        <x:v>NOT_RUN</x:v>
      </x:c>
      <x:c r="K52" s="10" t="str">
        <x:v>07-operations-api.yaml</x:v>
      </x:c>
    </x:row>
    <x:row r="53" ht="34" customHeight="1">
      <x:c r="A53" s="9" t="str">
        <x:v>API-07-reviewDriverApplication</x:v>
      </x:c>
      <x:c r="B53" s="9" t="str">
        <x:v>POST /operations/driver-applications/{applicationId}/review</x:v>
      </x:c>
      <x:c r="C53" s="9" t="str">
        <x:v>driver-service</x:v>
      </x:c>
      <x:c r="D53" s="9" t="str">
        <x:v>BEARER + role/object</x:v>
      </x:c>
      <x:c r="E53" s="9" t="str">
        <x:v>200</x:v>
      </x:c>
      <x:c r="F53" s="9" t="str">
        <x:v>MVP</x:v>
      </x:c>
      <x:c r="G53" s="9" t="str">
        <x:v>200,400,401,403,404,409,429,503,default</x:v>
      </x:c>
      <x:c r="H53" s="9" t="str">
        <x:v>TC13-API-047</x:v>
      </x:c>
      <x:c r="I53" s="9" t="str"/>
      <x:c r="J53" s="9" t="str">
        <x:f>INDEX(Test_Cases!$F$7:$F$338,MATCH(H53,Test_Cases!$A$7:$A$338,0))</x:f>
        <x:v>NOT_RUN</x:v>
      </x:c>
      <x:c r="K53" s="9" t="str">
        <x:v>07-operations-api.yaml</x:v>
      </x:c>
    </x:row>
    <x:row r="54" ht="34" customHeight="1">
      <x:c r="A54" s="10" t="str">
        <x:v>API-07-listOperationalAccounts</x:v>
      </x:c>
      <x:c r="B54" s="10" t="str">
        <x:v>GET /operations/accounts</x:v>
      </x:c>
      <x:c r="C54" s="10" t="str">
        <x:v>identity-service</x:v>
      </x:c>
      <x:c r="D54" s="10" t="str">
        <x:v>BEARER + role/object</x:v>
      </x:c>
      <x:c r="E54" s="10" t="str">
        <x:v>200</x:v>
      </x:c>
      <x:c r="F54" s="10" t="str">
        <x:v>MVP</x:v>
      </x:c>
      <x:c r="G54" s="10" t="str">
        <x:v>200,400,401,403,429,503,default</x:v>
      </x:c>
      <x:c r="H54" s="10" t="str">
        <x:v>TC13-API-048</x:v>
      </x:c>
      <x:c r="I54" s="10" t="str"/>
      <x:c r="J54" s="10" t="str">
        <x:f>INDEX(Test_Cases!$F$7:$F$338,MATCH(H54,Test_Cases!$A$7:$A$338,0))</x:f>
        <x:v>NOT_RUN</x:v>
      </x:c>
      <x:c r="K54" s="10" t="str">
        <x:v>07-operations-api.yaml</x:v>
      </x:c>
    </x:row>
    <x:row r="55" ht="34" customHeight="1">
      <x:c r="A55" s="9" t="str">
        <x:v>API-07-changeOperationalAccountStatus</x:v>
      </x:c>
      <x:c r="B55" s="9" t="str">
        <x:v>PATCH /operations/accounts/{accountId}/status</x:v>
      </x:c>
      <x:c r="C55" s="9" t="str">
        <x:v>identity-service</x:v>
      </x:c>
      <x:c r="D55" s="9" t="str">
        <x:v>BEARER + role/object</x:v>
      </x:c>
      <x:c r="E55" s="9" t="str">
        <x:v>200</x:v>
      </x:c>
      <x:c r="F55" s="9" t="str">
        <x:v>MVP</x:v>
      </x:c>
      <x:c r="G55" s="9" t="str">
        <x:v>200,400,401,403,404,409,429,503,default</x:v>
      </x:c>
      <x:c r="H55" s="9" t="str">
        <x:v>TC13-API-049</x:v>
      </x:c>
      <x:c r="I55" s="9" t="str"/>
      <x:c r="J55" s="9" t="str">
        <x:f>INDEX(Test_Cases!$F$7:$F$338,MATCH(H55,Test_Cases!$A$7:$A$338,0))</x:f>
        <x:v>NOT_RUN</x:v>
      </x:c>
      <x:c r="K55" s="9" t="str">
        <x:v>07-operations-api.yaml</x:v>
      </x:c>
    </x:row>
    <x:row r="56" ht="34" customHeight="1">
      <x:c r="A56" s="10" t="str">
        <x:v>API-07-listOperationalDrivers</x:v>
      </x:c>
      <x:c r="B56" s="10" t="str">
        <x:v>GET /operations/drivers</x:v>
      </x:c>
      <x:c r="C56" s="10" t="str">
        <x:v>driver-service</x:v>
      </x:c>
      <x:c r="D56" s="10" t="str">
        <x:v>BEARER + role/object</x:v>
      </x:c>
      <x:c r="E56" s="10" t="str">
        <x:v>200</x:v>
      </x:c>
      <x:c r="F56" s="10" t="str">
        <x:v>MVP</x:v>
      </x:c>
      <x:c r="G56" s="10" t="str">
        <x:v>200,400,401,403,429,503,default</x:v>
      </x:c>
      <x:c r="H56" s="10" t="str">
        <x:v>TC13-API-050</x:v>
      </x:c>
      <x:c r="I56" s="10" t="str"/>
      <x:c r="J56" s="10" t="str">
        <x:f>INDEX(Test_Cases!$F$7:$F$338,MATCH(H56,Test_Cases!$A$7:$A$338,0))</x:f>
        <x:v>NOT_RUN</x:v>
      </x:c>
      <x:c r="K56" s="10" t="str">
        <x:v>07-operations-api.yaml</x:v>
      </x:c>
    </x:row>
    <x:row r="57" ht="34" customHeight="1">
      <x:c r="A57" s="9" t="str">
        <x:v>API-07-getOperationalDriver</x:v>
      </x:c>
      <x:c r="B57" s="9" t="str">
        <x:v>GET /operations/drivers/{driverId}</x:v>
      </x:c>
      <x:c r="C57" s="9" t="str">
        <x:v>driver-service</x:v>
      </x:c>
      <x:c r="D57" s="9" t="str">
        <x:v>BEARER + role/object</x:v>
      </x:c>
      <x:c r="E57" s="9" t="str">
        <x:v>200</x:v>
      </x:c>
      <x:c r="F57" s="9" t="str">
        <x:v>MVP</x:v>
      </x:c>
      <x:c r="G57" s="9" t="str">
        <x:v>200,400,401,403,404,429,503,default</x:v>
      </x:c>
      <x:c r="H57" s="9" t="str">
        <x:v>TC13-API-051</x:v>
      </x:c>
      <x:c r="I57" s="9" t="str"/>
      <x:c r="J57" s="9" t="str">
        <x:f>INDEX(Test_Cases!$F$7:$F$338,MATCH(H57,Test_Cases!$A$7:$A$338,0))</x:f>
        <x:v>NOT_RUN</x:v>
      </x:c>
      <x:c r="K57" s="9" t="str">
        <x:v>07-operations-api.yaml</x:v>
      </x:c>
    </x:row>
    <x:row r="58" ht="34" customHeight="1">
      <x:c r="A58" s="10" t="str">
        <x:v>API-07-getMyDriverProfile</x:v>
      </x:c>
      <x:c r="B58" s="10" t="str">
        <x:v>GET /drivers/me</x:v>
      </x:c>
      <x:c r="C58" s="10" t="str">
        <x:v>driver-service</x:v>
      </x:c>
      <x:c r="D58" s="10" t="str">
        <x:v>BEARER + role/object</x:v>
      </x:c>
      <x:c r="E58" s="10" t="str">
        <x:v>200</x:v>
      </x:c>
      <x:c r="F58" s="10" t="str">
        <x:v>MVP</x:v>
      </x:c>
      <x:c r="G58" s="10" t="str">
        <x:v>200,400,401,403,404,429,503,default</x:v>
      </x:c>
      <x:c r="H58" s="10" t="str">
        <x:v>TC13-API-052</x:v>
      </x:c>
      <x:c r="I58" s="10" t="str"/>
      <x:c r="J58" s="10" t="str">
        <x:f>INDEX(Test_Cases!$F$7:$F$338,MATCH(H58,Test_Cases!$A$7:$A$338,0))</x:f>
        <x:v>NOT_RUN</x:v>
      </x:c>
      <x:c r="K58" s="10" t="str">
        <x:v>07-operations-api.yaml</x:v>
      </x:c>
    </x:row>
    <x:row r="59" ht="34" customHeight="1">
      <x:c r="A59" s="9" t="str">
        <x:v>API-07-getDriverById</x:v>
      </x:c>
      <x:c r="B59" s="9" t="str">
        <x:v>GET /drivers/{driverId}</x:v>
      </x:c>
      <x:c r="C59" s="9" t="str">
        <x:v>driver-service</x:v>
      </x:c>
      <x:c r="D59" s="9" t="str">
        <x:v>BEARER + role/object</x:v>
      </x:c>
      <x:c r="E59" s="9" t="str">
        <x:v>200</x:v>
      </x:c>
      <x:c r="F59" s="9" t="str">
        <x:v>MVP</x:v>
      </x:c>
      <x:c r="G59" s="9" t="str">
        <x:v>200,400,401,403,404,429,503,default</x:v>
      </x:c>
      <x:c r="H59" s="9" t="str">
        <x:v>TC13-API-053</x:v>
      </x:c>
      <x:c r="I59" s="9" t="str"/>
      <x:c r="J59" s="9" t="str">
        <x:f>INDEX(Test_Cases!$F$7:$F$338,MATCH(H59,Test_Cases!$A$7:$A$338,0))</x:f>
        <x:v>NOT_RUN</x:v>
      </x:c>
      <x:c r="K59" s="9" t="str">
        <x:v>07-operations-api.yaml</x:v>
      </x:c>
    </x:row>
    <x:row r="60" ht="34" customHeight="1">
      <x:c r="A60" s="10" t="str">
        <x:v>API-07-setMyDriverAvailability</x:v>
      </x:c>
      <x:c r="B60" s="10" t="str">
        <x:v>PUT /drivers/me/availability</x:v>
      </x:c>
      <x:c r="C60" s="10" t="str">
        <x:v>driver-service</x:v>
      </x:c>
      <x:c r="D60" s="10" t="str">
        <x:v>BEARER + role/object</x:v>
      </x:c>
      <x:c r="E60" s="10" t="str">
        <x:v>200</x:v>
      </x:c>
      <x:c r="F60" s="10" t="str">
        <x:v>MVP</x:v>
      </x:c>
      <x:c r="G60" s="10" t="str">
        <x:v>200,400,401,403,404,409,429,503,default</x:v>
      </x:c>
      <x:c r="H60" s="10" t="str">
        <x:v>TC13-API-054</x:v>
      </x:c>
      <x:c r="I60" s="10" t="str"/>
      <x:c r="J60" s="10" t="str">
        <x:f>INDEX(Test_Cases!$F$7:$F$338,MATCH(H60,Test_Cases!$A$7:$A$338,0))</x:f>
        <x:v>NOT_RUN</x:v>
      </x:c>
      <x:c r="K60" s="10" t="str">
        <x:v>07-operations-api.yaml</x:v>
      </x:c>
    </x:row>
    <x:row r="61" ht="34" customHeight="1">
      <x:c r="A61" s="9" t="str">
        <x:v>API-07-setDriverVehicle</x:v>
      </x:c>
      <x:c r="B61" s="9" t="str">
        <x:v>PUT /operations/drivers/{driverId}/vehicle</x:v>
      </x:c>
      <x:c r="C61" s="9" t="str">
        <x:v>driver-service</x:v>
      </x:c>
      <x:c r="D61" s="9" t="str">
        <x:v>BEARER + role/object</x:v>
      </x:c>
      <x:c r="E61" s="9" t="str">
        <x:v>200</x:v>
      </x:c>
      <x:c r="F61" s="9" t="str">
        <x:v>MVP</x:v>
      </x:c>
      <x:c r="G61" s="9" t="str">
        <x:v>200,400,401,403,404,409,429,503,default</x:v>
      </x:c>
      <x:c r="H61" s="9" t="str">
        <x:v>TC13-API-055</x:v>
      </x:c>
      <x:c r="I61" s="9" t="str"/>
      <x:c r="J61" s="9" t="str">
        <x:f>INDEX(Test_Cases!$F$7:$F$338,MATCH(H61,Test_Cases!$A$7:$A$338,0))</x:f>
        <x:v>NOT_RUN</x:v>
      </x:c>
      <x:c r="K61" s="9" t="str">
        <x:v>07-operations-api.yaml</x:v>
      </x:c>
    </x:row>
    <x:row r="62" ht="34" customHeight="1">
      <x:c r="A62" s="10" t="str">
        <x:v>API-07-listOperationalVehicles</x:v>
      </x:c>
      <x:c r="B62" s="10" t="str">
        <x:v>GET /operations/vehicles</x:v>
      </x:c>
      <x:c r="C62" s="10" t="str">
        <x:v>driver-service</x:v>
      </x:c>
      <x:c r="D62" s="10" t="str">
        <x:v>BEARER + role/object</x:v>
      </x:c>
      <x:c r="E62" s="10" t="str">
        <x:v>200</x:v>
      </x:c>
      <x:c r="F62" s="10" t="str">
        <x:v>MVP</x:v>
      </x:c>
      <x:c r="G62" s="10" t="str">
        <x:v>200,400,401,403,429,503,default</x:v>
      </x:c>
      <x:c r="H62" s="10" t="str">
        <x:v>TC13-API-056</x:v>
      </x:c>
      <x:c r="I62" s="10" t="str"/>
      <x:c r="J62" s="10" t="str">
        <x:f>INDEX(Test_Cases!$F$7:$F$338,MATCH(H62,Test_Cases!$A$7:$A$338,0))</x:f>
        <x:v>NOT_RUN</x:v>
      </x:c>
      <x:c r="K62" s="10" t="str">
        <x:v>07-operations-api.yaml</x:v>
      </x:c>
    </x:row>
    <x:row r="63" ht="34" customHeight="1">
      <x:c r="A63" s="9" t="str">
        <x:v>API-07-createVehicle</x:v>
      </x:c>
      <x:c r="B63" s="9" t="str">
        <x:v>POST /operations/vehicles</x:v>
      </x:c>
      <x:c r="C63" s="9" t="str">
        <x:v>driver-service</x:v>
      </x:c>
      <x:c r="D63" s="9" t="str">
        <x:v>BEARER + role/object</x:v>
      </x:c>
      <x:c r="E63" s="9" t="str">
        <x:v>201</x:v>
      </x:c>
      <x:c r="F63" s="9" t="str">
        <x:v>MVP</x:v>
      </x:c>
      <x:c r="G63" s="9" t="str">
        <x:v>201,400,401,403,409,429,503,default</x:v>
      </x:c>
      <x:c r="H63" s="9" t="str">
        <x:v>TC13-API-057</x:v>
      </x:c>
      <x:c r="I63" s="9" t="str"/>
      <x:c r="J63" s="9" t="str">
        <x:f>INDEX(Test_Cases!$F$7:$F$338,MATCH(H63,Test_Cases!$A$7:$A$338,0))</x:f>
        <x:v>NOT_RUN</x:v>
      </x:c>
      <x:c r="K63" s="9" t="str">
        <x:v>07-operations-api.yaml</x:v>
      </x:c>
    </x:row>
    <x:row r="64" ht="34" customHeight="1">
      <x:c r="A64" s="10" t="str">
        <x:v>API-07-getOperationalVehicle</x:v>
      </x:c>
      <x:c r="B64" s="10" t="str">
        <x:v>GET /operations/vehicles/{vehicleId}</x:v>
      </x:c>
      <x:c r="C64" s="10" t="str">
        <x:v>driver-service</x:v>
      </x:c>
      <x:c r="D64" s="10" t="str">
        <x:v>BEARER + role/object</x:v>
      </x:c>
      <x:c r="E64" s="10" t="str">
        <x:v>200</x:v>
      </x:c>
      <x:c r="F64" s="10" t="str">
        <x:v>MVP</x:v>
      </x:c>
      <x:c r="G64" s="10" t="str">
        <x:v>200,400,401,403,404,429,503,default</x:v>
      </x:c>
      <x:c r="H64" s="10" t="str">
        <x:v>TC13-API-058</x:v>
      </x:c>
      <x:c r="I64" s="10" t="str"/>
      <x:c r="J64" s="10" t="str">
        <x:f>INDEX(Test_Cases!$F$7:$F$338,MATCH(H64,Test_Cases!$A$7:$A$338,0))</x:f>
        <x:v>NOT_RUN</x:v>
      </x:c>
      <x:c r="K64" s="10" t="str">
        <x:v>07-operations-api.yaml</x:v>
      </x:c>
    </x:row>
    <x:row r="65" ht="34" customHeight="1">
      <x:c r="A65" s="9" t="str">
        <x:v>API-07-updateVehicle</x:v>
      </x:c>
      <x:c r="B65" s="9" t="str">
        <x:v>PATCH /operations/vehicles/{vehicleId}</x:v>
      </x:c>
      <x:c r="C65" s="9" t="str">
        <x:v>driver-service</x:v>
      </x:c>
      <x:c r="D65" s="9" t="str">
        <x:v>BEARER + role/object</x:v>
      </x:c>
      <x:c r="E65" s="9" t="str">
        <x:v>200</x:v>
      </x:c>
      <x:c r="F65" s="9" t="str">
        <x:v>MVP</x:v>
      </x:c>
      <x:c r="G65" s="9" t="str">
        <x:v>200,400,401,403,404,409,429,503,default</x:v>
      </x:c>
      <x:c r="H65" s="9" t="str">
        <x:v>TC13-API-059</x:v>
      </x:c>
      <x:c r="I65" s="9" t="str"/>
      <x:c r="J65" s="9" t="str">
        <x:f>INDEX(Test_Cases!$F$7:$F$338,MATCH(H65,Test_Cases!$A$7:$A$338,0))</x:f>
        <x:v>NOT_RUN</x:v>
      </x:c>
      <x:c r="K65" s="9" t="str">
        <x:v>07-operations-api.yaml</x:v>
      </x:c>
    </x:row>
    <x:row r="66" ht="34" customHeight="1">
      <x:c r="A66" s="10" t="str">
        <x:v>API-07-listOperationalTrips</x:v>
      </x:c>
      <x:c r="B66" s="10" t="str">
        <x:v>GET /operations/trips</x:v>
      </x:c>
      <x:c r="C66" s="10" t="str">
        <x:v>trip-service</x:v>
      </x:c>
      <x:c r="D66" s="10" t="str">
        <x:v>BEARER + role/object</x:v>
      </x:c>
      <x:c r="E66" s="10" t="str">
        <x:v>200</x:v>
      </x:c>
      <x:c r="F66" s="10" t="str">
        <x:v>MVP</x:v>
      </x:c>
      <x:c r="G66" s="10" t="str">
        <x:v>200,400,401,403,429,503,default</x:v>
      </x:c>
      <x:c r="H66" s="10" t="str">
        <x:v>TC13-API-060</x:v>
      </x:c>
      <x:c r="I66" s="10" t="str"/>
      <x:c r="J66" s="10" t="str">
        <x:f>INDEX(Test_Cases!$F$7:$F$338,MATCH(H66,Test_Cases!$A$7:$A$338,0))</x:f>
        <x:v>NOT_RUN</x:v>
      </x:c>
      <x:c r="K66" s="10" t="str">
        <x:v>07-operations-api.yaml</x:v>
      </x:c>
    </x:row>
    <x:row r="67" ht="34" customHeight="1">
      <x:c r="A67" s="9" t="str">
        <x:v>API-07-listOperationalIncidents</x:v>
      </x:c>
      <x:c r="B67" s="9" t="str">
        <x:v>GET /operations/incidents</x:v>
      </x:c>
      <x:c r="C67" s="9" t="str">
        <x:v>trip-service</x:v>
      </x:c>
      <x:c r="D67" s="9" t="str">
        <x:v>BEARER + role/object</x:v>
      </x:c>
      <x:c r="E67" s="9" t="str">
        <x:v>200</x:v>
      </x:c>
      <x:c r="F67" s="9" t="str">
        <x:v>MVP</x:v>
      </x:c>
      <x:c r="G67" s="9" t="str">
        <x:v>200,400,401,403,429,503,default</x:v>
      </x:c>
      <x:c r="H67" s="9" t="str">
        <x:v>TC13-API-061</x:v>
      </x:c>
      <x:c r="I67" s="9" t="str"/>
      <x:c r="J67" s="9" t="str">
        <x:f>INDEX(Test_Cases!$F$7:$F$338,MATCH(H67,Test_Cases!$A$7:$A$338,0))</x:f>
        <x:v>NOT_RUN</x:v>
      </x:c>
      <x:c r="K67" s="9" t="str">
        <x:v>07-operations-api.yaml</x:v>
      </x:c>
    </x:row>
    <x:row r="68" ht="34" customHeight="1">
      <x:c r="A68" s="10" t="str">
        <x:v>API-07-createOperationalIncident</x:v>
      </x:c>
      <x:c r="B68" s="10" t="str">
        <x:v>POST /operations/incidents</x:v>
      </x:c>
      <x:c r="C68" s="10" t="str">
        <x:v>trip-service</x:v>
      </x:c>
      <x:c r="D68" s="10" t="str">
        <x:v>BEARER + role/object</x:v>
      </x:c>
      <x:c r="E68" s="10" t="str">
        <x:v>201</x:v>
      </x:c>
      <x:c r="F68" s="10" t="str">
        <x:v>MVP</x:v>
      </x:c>
      <x:c r="G68" s="10" t="str">
        <x:v>201,400,401,403,404,409,429,503,default</x:v>
      </x:c>
      <x:c r="H68" s="10" t="str">
        <x:v>TC13-API-062</x:v>
      </x:c>
      <x:c r="I68" s="10" t="str"/>
      <x:c r="J68" s="10" t="str">
        <x:f>INDEX(Test_Cases!$F$7:$F$338,MATCH(H68,Test_Cases!$A$7:$A$338,0))</x:f>
        <x:v>NOT_RUN</x:v>
      </x:c>
      <x:c r="K68" s="10" t="str">
        <x:v>07-operations-api.yaml</x:v>
      </x:c>
    </x:row>
    <x:row r="69" ht="34" customHeight="1">
      <x:c r="A69" s="9" t="str">
        <x:v>API-07-resolveTripError</x:v>
      </x:c>
      <x:c r="B69" s="9" t="str">
        <x:v>POST /operations/trips/{tripId}/resolve-error</x:v>
      </x:c>
      <x:c r="C69" s="9" t="str">
        <x:v>trip-service</x:v>
      </x:c>
      <x:c r="D69" s="9" t="str">
        <x:v>BEARER + role/object</x:v>
      </x:c>
      <x:c r="E69" s="9" t="str">
        <x:v>200</x:v>
      </x:c>
      <x:c r="F69" s="9" t="str">
        <x:v>MVP</x:v>
      </x:c>
      <x:c r="G69" s="9" t="str">
        <x:v>200,400,401,403,404,409,429,503,default</x:v>
      </x:c>
      <x:c r="H69" s="9" t="str">
        <x:v>TC13-API-063</x:v>
      </x:c>
      <x:c r="I69" s="9" t="str"/>
      <x:c r="J69" s="9" t="str">
        <x:f>INDEX(Test_Cases!$F$7:$F$338,MATCH(H69,Test_Cases!$A$7:$A$338,0))</x:f>
        <x:v>NOT_RUN</x:v>
      </x:c>
      <x:c r="K69" s="9" t="str">
        <x:v>07-operations-api.yaml</x:v>
      </x:c>
    </x:row>
    <x:row r="70" ht="34" customHeight="1">
      <x:c r="A70" s="10" t="str">
        <x:v>API-07-listPricingVersions</x:v>
      </x:c>
      <x:c r="B70" s="10" t="str">
        <x:v>GET /operations/pricing</x:v>
      </x:c>
      <x:c r="C70" s="10" t="str">
        <x:v>payment-service</x:v>
      </x:c>
      <x:c r="D70" s="10" t="str">
        <x:v>BEARER + role/object</x:v>
      </x:c>
      <x:c r="E70" s="10" t="str">
        <x:v>200</x:v>
      </x:c>
      <x:c r="F70" s="10" t="str">
        <x:v>MVP</x:v>
      </x:c>
      <x:c r="G70" s="10" t="str">
        <x:v>200,400,401,403,429,503,default</x:v>
      </x:c>
      <x:c r="H70" s="10" t="str">
        <x:v>TC13-API-064</x:v>
      </x:c>
      <x:c r="I70" s="10" t="str"/>
      <x:c r="J70" s="10" t="str">
        <x:f>INDEX(Test_Cases!$F$7:$F$338,MATCH(H70,Test_Cases!$A$7:$A$338,0))</x:f>
        <x:v>NOT_RUN</x:v>
      </x:c>
      <x:c r="K70" s="10" t="str">
        <x:v>07-operations-api.yaml</x:v>
      </x:c>
    </x:row>
    <x:row r="71" ht="34" customHeight="1">
      <x:c r="A71" s="9" t="str">
        <x:v>API-07-createPricingVersion</x:v>
      </x:c>
      <x:c r="B71" s="9" t="str">
        <x:v>POST /operations/pricing</x:v>
      </x:c>
      <x:c r="C71" s="9" t="str">
        <x:v>payment-service</x:v>
      </x:c>
      <x:c r="D71" s="9" t="str">
        <x:v>BEARER + role/object</x:v>
      </x:c>
      <x:c r="E71" s="9" t="str">
        <x:v>201</x:v>
      </x:c>
      <x:c r="F71" s="9" t="str">
        <x:v>MVP</x:v>
      </x:c>
      <x:c r="G71" s="9" t="str">
        <x:v>201,400,401,403,409,429,503,default</x:v>
      </x:c>
      <x:c r="H71" s="9" t="str">
        <x:v>TC13-API-065</x:v>
      </x:c>
      <x:c r="I71" s="9" t="str"/>
      <x:c r="J71" s="9" t="str">
        <x:f>INDEX(Test_Cases!$F$7:$F$338,MATCH(H71,Test_Cases!$A$7:$A$338,0))</x:f>
        <x:v>NOT_RUN</x:v>
      </x:c>
      <x:c r="K71" s="9" t="str">
        <x:v>07-operations-api.yaml</x:v>
      </x:c>
    </x:row>
    <x:row r="72" ht="34" customHeight="1">
      <x:c r="A72" s="10" t="str">
        <x:v>API-07-listOperationalPayments</x:v>
      </x:c>
      <x:c r="B72" s="10" t="str">
        <x:v>GET /operations/payments</x:v>
      </x:c>
      <x:c r="C72" s="10" t="str">
        <x:v>payment-service</x:v>
      </x:c>
      <x:c r="D72" s="10" t="str">
        <x:v>BEARER + role/object</x:v>
      </x:c>
      <x:c r="E72" s="10" t="str">
        <x:v>200</x:v>
      </x:c>
      <x:c r="F72" s="10" t="str">
        <x:v>MVP</x:v>
      </x:c>
      <x:c r="G72" s="10" t="str">
        <x:v>200,400,401,403,429,503,default</x:v>
      </x:c>
      <x:c r="H72" s="10" t="str">
        <x:v>TC13-API-066</x:v>
      </x:c>
      <x:c r="I72" s="10" t="str"/>
      <x:c r="J72" s="10" t="str">
        <x:f>INDEX(Test_Cases!$F$7:$F$338,MATCH(H72,Test_Cases!$A$7:$A$338,0))</x:f>
        <x:v>NOT_RUN</x:v>
      </x:c>
      <x:c r="K72" s="10" t="str">
        <x:v>07-operations-api.yaml</x:v>
      </x:c>
    </x:row>
    <x:row r="73" ht="34" customHeight="1">
      <x:c r="A73" s="9" t="str">
        <x:v>API-07-getOperationalSummary</x:v>
      </x:c>
      <x:c r="B73" s="9" t="str">
        <x:v>GET /operations/reports/summary</x:v>
      </x:c>
      <x:c r="C73" s="9" t="str">
        <x:v>outside-mvp</x:v>
      </x:c>
      <x:c r="D73" s="9" t="str">
        <x:v>BEARER + role/object</x:v>
      </x:c>
      <x:c r="E73" s="9" t="str">
        <x:v>200</x:v>
      </x:c>
      <x:c r="F73" s="9" t="str">
        <x:v>OUT_OF_SCOPE</x:v>
      </x:c>
      <x:c r="G73" s="9" t="str">
        <x:v>200,400,401,403,429,503,default</x:v>
      </x:c>
      <x:c r="H73" s="9" t="str"/>
      <x:c r="I73" s="9" t="str">
        <x:v>SCOPE</x:v>
      </x:c>
      <x:c r="J73" s="9" t="str">
        <x:v>OUT_OF_SCOPE</x:v>
      </x:c>
      <x:c r="K73" s="9" t="str">
        <x:v>07-operations-api.yaml</x:v>
      </x:c>
    </x:row>
    <x:row r="74" ht="34" customHeight="1">
      <x:c r="A74" s="10" t="str">
        <x:v>API-07-getGatewayLiveness</x:v>
      </x:c>
      <x:c r="B74" s="10" t="str">
        <x:v>GET /health</x:v>
      </x:c>
      <x:c r="C74" s="10" t="str">
        <x:v>gateway</x:v>
      </x:c>
      <x:c r="D74" s="10" t="str">
        <x:v>PUBLIC/PROOF</x:v>
      </x:c>
      <x:c r="E74" s="10" t="str">
        <x:v>200</x:v>
      </x:c>
      <x:c r="F74" s="10" t="str">
        <x:v>MVP</x:v>
      </x:c>
      <x:c r="G74" s="10" t="str">
        <x:v>200,429,default</x:v>
      </x:c>
      <x:c r="H74" s="10" t="str">
        <x:v>TC13-API-067</x:v>
      </x:c>
      <x:c r="I74" s="10" t="str"/>
      <x:c r="J74" s="10" t="str">
        <x:f>INDEX(Test_Cases!$F$7:$F$338,MATCH(H74,Test_Cases!$A$7:$A$338,0))</x:f>
        <x:v>NOT_RUN</x:v>
      </x:c>
      <x:c r="K74" s="10" t="str">
        <x:v>07-operations-api.yaml</x:v>
      </x:c>
    </x:row>
    <x:row r="75" ht="34" customHeight="1">
      <x:c r="A75" s="9" t="str">
        <x:v>API-07-getSystemReadiness</x:v>
      </x:c>
      <x:c r="B75" s="9" t="str">
        <x:v>GET /ready</x:v>
      </x:c>
      <x:c r="C75" s="9" t="str">
        <x:v>gateway</x:v>
      </x:c>
      <x:c r="D75" s="9" t="str">
        <x:v>PUBLIC/PROOF</x:v>
      </x:c>
      <x:c r="E75" s="9" t="str">
        <x:v>200</x:v>
      </x:c>
      <x:c r="F75" s="9" t="str">
        <x:v>MVP</x:v>
      </x:c>
      <x:c r="G75" s="9" t="str">
        <x:v>200,429,503,default</x:v>
      </x:c>
      <x:c r="H75" s="9" t="str">
        <x:v>TC13-API-068</x:v>
      </x:c>
      <x:c r="I75" s="9" t="str"/>
      <x:c r="J75" s="9" t="str">
        <x:f>INDEX(Test_Cases!$F$7:$F$338,MATCH(H75,Test_Cases!$A$7:$A$338,0))</x:f>
        <x:v>NOT_RUN</x:v>
      </x:c>
      <x:c r="K75" s="9" t="str">
        <x:v>07-operations-api.yaml</x:v>
      </x:c>
    </x:row>
    <x:row r="76" ht="34" customHeight="1">
      <x:c r="A76" s="10" t="str">
        <x:v>API-07-getServiceHealthDetails</x:v>
      </x:c>
      <x:c r="B76" s="10" t="str">
        <x:v>GET /health/services</x:v>
      </x:c>
      <x:c r="C76" s="10" t="str">
        <x:v>gateway</x:v>
      </x:c>
      <x:c r="D76" s="10" t="str">
        <x:v>BEARER + role/object</x:v>
      </x:c>
      <x:c r="E76" s="10" t="str">
        <x:v>200</x:v>
      </x:c>
      <x:c r="F76" s="10" t="str">
        <x:v>MVP</x:v>
      </x:c>
      <x:c r="G76" s="10" t="str">
        <x:v>200,401,403,429,503,default</x:v>
      </x:c>
      <x:c r="H76" s="10" t="str">
        <x:v>TC13-API-069</x:v>
      </x:c>
      <x:c r="I76" s="10" t="str"/>
      <x:c r="J76" s="10" t="str">
        <x:f>INDEX(Test_Cases!$F$7:$F$338,MATCH(H76,Test_Cases!$A$7:$A$338,0))</x:f>
        <x:v>NOT_RUN</x:v>
      </x:c>
      <x:c r="K76" s="10" t="str">
        <x:v>07-operations-api.yaml</x:v>
      </x:c>
    </x:row>
    <x:row r="77" ht="34" customHeight="1">
      <x:c r="A77" s="9" t="str">
        <x:v>API-07-getDriverRegistrationOperation</x:v>
      </x:c>
      <x:c r="B77" s="9" t="str">
        <x:v>GET /driver-registration-operations/{operationId}</x:v>
      </x:c>
      <x:c r="C77" s="9" t="str">
        <x:v>identity-service</x:v>
      </x:c>
      <x:c r="D77" s="9" t="str">
        <x:v>BEARER + role/object</x:v>
      </x:c>
      <x:c r="E77" s="9" t="str">
        <x:v>200</x:v>
      </x:c>
      <x:c r="F77" s="9" t="str">
        <x:v>MVP</x:v>
      </x:c>
      <x:c r="G77" s="9" t="str">
        <x:v>200,401,404,429,503,default</x:v>
      </x:c>
      <x:c r="H77" s="9" t="str">
        <x:v>TC13-API-070</x:v>
      </x:c>
      <x:c r="I77" s="9" t="str"/>
      <x:c r="J77" s="9" t="str">
        <x:f>INDEX(Test_Cases!$F$7:$F$338,MATCH(H77,Test_Cases!$A$7:$A$338,0))</x:f>
        <x:v>NOT_RUN</x:v>
      </x:c>
      <x:c r="K77" s="9" t="str">
        <x:v>07-operations-api.yaml</x:v>
      </x:c>
    </x:row>
    <x:row r="78" ht="34" customHeight="1">
      <x:c r="A78" s="10" t="str">
        <x:v>API-08-createTripRating</x:v>
      </x:c>
      <x:c r="B78" s="10" t="str">
        <x:v>POST /trips/{tripId}/rating</x:v>
      </x:c>
      <x:c r="C78" s="10" t="str">
        <x:v>rating-service</x:v>
      </x:c>
      <x:c r="D78" s="10" t="str">
        <x:v>BEARER + role/object</x:v>
      </x:c>
      <x:c r="E78" s="10" t="str">
        <x:v>201</x:v>
      </x:c>
      <x:c r="F78" s="10" t="str">
        <x:v>MVP</x:v>
      </x:c>
      <x:c r="G78" s="10" t="str">
        <x:v>201,400,401,403,404,409,429,503,default</x:v>
      </x:c>
      <x:c r="H78" s="10" t="str">
        <x:v>TC13-API-071</x:v>
      </x:c>
      <x:c r="I78" s="10" t="str"/>
      <x:c r="J78" s="10" t="str">
        <x:f>INDEX(Test_Cases!$F$7:$F$338,MATCH(H78,Test_Cases!$A$7:$A$338,0))</x:f>
        <x:v>NOT_RUN</x:v>
      </x:c>
      <x:c r="K78" s="10" t="str">
        <x:v>08-rating-api.yaml</x:v>
      </x:c>
    </x:row>
    <x:row r="79" ht="34" customHeight="1">
      <x:c r="A79" s="9" t="str">
        <x:v>API-08-getTripRating</x:v>
      </x:c>
      <x:c r="B79" s="9" t="str">
        <x:v>GET /trips/{tripId}/rating</x:v>
      </x:c>
      <x:c r="C79" s="9" t="str">
        <x:v>rating-service</x:v>
      </x:c>
      <x:c r="D79" s="9" t="str">
        <x:v>BEARER + role/object</x:v>
      </x:c>
      <x:c r="E79" s="9" t="str">
        <x:v>200</x:v>
      </x:c>
      <x:c r="F79" s="9" t="str">
        <x:v>MVP</x:v>
      </x:c>
      <x:c r="G79" s="9" t="str">
        <x:v>200,400,401,403,404,429,503,default</x:v>
      </x:c>
      <x:c r="H79" s="9" t="str">
        <x:v>TC13-API-072</x:v>
      </x:c>
      <x:c r="I79" s="9" t="str"/>
      <x:c r="J79" s="9" t="str">
        <x:f>INDEX(Test_Cases!$F$7:$F$338,MATCH(H79,Test_Cases!$A$7:$A$338,0))</x:f>
        <x:v>NOT_RUN</x:v>
      </x:c>
      <x:c r="K79" s="9" t="str">
        <x:v>08-rating-api.yaml</x:v>
      </x:c>
    </x:row>
    <x:row r="80" ht="34" customHeight="1">
      <x:c r="A80" s="10" t="str">
        <x:v>API-08-listMyDriverRatings</x:v>
      </x:c>
      <x:c r="B80" s="10" t="str">
        <x:v>GET /drivers/me/ratings</x:v>
      </x:c>
      <x:c r="C80" s="10" t="str">
        <x:v>rating-service</x:v>
      </x:c>
      <x:c r="D80" s="10" t="str">
        <x:v>BEARER + role/object</x:v>
      </x:c>
      <x:c r="E80" s="10" t="str">
        <x:v>200</x:v>
      </x:c>
      <x:c r="F80" s="10" t="str">
        <x:v>MVP</x:v>
      </x:c>
      <x:c r="G80" s="10" t="str">
        <x:v>200,400,401,403,429,503,default</x:v>
      </x:c>
      <x:c r="H80" s="10" t="str">
        <x:v>TC13-API-073</x:v>
      </x:c>
      <x:c r="I80" s="10" t="str"/>
      <x:c r="J80" s="10" t="str">
        <x:f>INDEX(Test_Cases!$F$7:$F$338,MATCH(H80,Test_Cases!$A$7:$A$338,0))</x:f>
        <x:v>NOT_RUN</x:v>
      </x:c>
      <x:c r="K80" s="10" t="str">
        <x:v>08-rating-api.yaml</x:v>
      </x:c>
    </x:row>
    <x:row r="81" ht="34" customHeight="1">
      <x:c r="A81" s="9" t="str">
        <x:v>API-08-listOperationalRatings</x:v>
      </x:c>
      <x:c r="B81" s="9" t="str">
        <x:v>GET /operations/ratings</x:v>
      </x:c>
      <x:c r="C81" s="9" t="str">
        <x:v>rating-service</x:v>
      </x:c>
      <x:c r="D81" s="9" t="str">
        <x:v>BEARER + role/object</x:v>
      </x:c>
      <x:c r="E81" s="9" t="str">
        <x:v>200</x:v>
      </x:c>
      <x:c r="F81" s="9" t="str">
        <x:v>MVP</x:v>
      </x:c>
      <x:c r="G81" s="9" t="str">
        <x:v>200,400,401,403,429,503,default</x:v>
      </x:c>
      <x:c r="H81" s="9" t="str">
        <x:v>TC13-API-074</x:v>
      </x:c>
      <x:c r="I81" s="9" t="str"/>
      <x:c r="J81" s="9" t="str">
        <x:f>INDEX(Test_Cases!$F$7:$F$338,MATCH(H81,Test_Cases!$A$7:$A$338,0))</x:f>
        <x:v>NOT_RUN</x:v>
      </x:c>
      <x:c r="K81" s="9" t="str">
        <x:v>08-rating-api.yaml</x:v>
      </x:c>
    </x:row>
  </x:sheetData>
  <x:pageMargins left="0.7" right="0.7" top="0.75" bottom="0.75" header="0.3" footer="0.3"/>
  <x:tableParts count="1">
    <x:tablePart xmlns:r="http://schemas.openxmlformats.org/officeDocument/2006/relationships" r:id="R76c70244e20f4bd0"/>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0" hidden="0" customWidth="1"/>
    <x:col min="2" max="2" width="45" hidden="0" customWidth="1"/>
    <x:col min="3" max="3" width="58" hidden="0" customWidth="1"/>
    <x:col min="4" max="4" width="100" hidden="0" customWidth="1"/>
    <x:col min="5" max="5" width="48" hidden="0" customWidth="1"/>
    <x:col min="6" max="6" width="14" hidden="0" customWidth="1"/>
    <x:col min="7" max="7" width="15" hidden="0" customWidth="1"/>
    <x:col min="8" max="8" width="15" hidden="0" customWidth="1"/>
    <x:col min="9" max="9" width="55" hidden="0" customWidth="1"/>
  </x:cols>
  <x:sheetData>
    <x:row r="2">
      <x:c r="A2" s="1" t="str">
        <x:v>Đối chiếu 30 tiêu chí chấm</x:v>
      </x:c>
    </x:row>
    <x:row r="4">
      <x:c r="A4" t="str">
        <x:v>Lấy 30 tiêu chí từ bảng đối chiếu trong SRS. Không đọc phiếu chấm gốc hoặc workbook cũ trong lần tạo này.</x:v>
      </x:c>
    </x:row>
    <x:row r="6" ht="32" customHeight="1">
      <x:c r="A6" s="8" t="str">
        <x:v>STT</x:v>
      </x:c>
      <x:c r="B6" s="8" t="str">
        <x:v>Tiêu chí</x:v>
      </x:c>
      <x:c r="C6" s="8" t="str">
        <x:v>Yêu cầu SRS</x:v>
      </x:c>
      <x:c r="D6" s="8" t="str">
        <x:v>Test ID liên quan</x:v>
      </x:c>
      <x:c r="E6" s="8" t="str">
        <x:v>Bằng chứng</x:v>
      </x:c>
      <x:c r="F6" s="8" t="str">
        <x:v>Số ca</x:v>
      </x:c>
      <x:c r="G6" s="8" t="str">
        <x:v>PASS</x:v>
      </x:c>
      <x:c r="H6" s="8" t="str">
        <x:v>FAIL</x:v>
      </x:c>
      <x:c r="I6" s="8" t="str">
        <x:v>Kết luận nghiệm thu</x:v>
      </x:c>
    </x:row>
    <x:row r="7" ht="38" customHeight="1">
      <x:c r="A7" s="9" t="n">
        <x:v>1</x:v>
      </x:c>
      <x:c r="B7" s="9" t="str">
        <x:v>Tổ chức source code</x:v>
      </x:c>
      <x:c r="C7" s="9" t="str">
        <x:v>NFR14, AC19</x:v>
      </x:c>
      <x:c r="D7" s="9" t="str">
        <x:v>TC13-INFRA-001</x:v>
      </x:c>
      <x:c r="E7" s="9" t="str">
        <x:v>Xem cột Bằng chứng cần có của từng ca; lưu request/response, trace và bằng chứng chạy thực.</x:v>
      </x:c>
      <x:c r="F7" s="9" t="n">
        <x:v>1</x:v>
      </x:c>
      <x:c r="G7" s="9" t="n">
        <x:f>COUNTIFS(Test_Cases!F234,"PASS")</x:f>
        <x:v>0</x:v>
      </x:c>
      <x:c r="H7" s="9" t="n">
        <x:f>COUNTIFS(Test_Cases!F234,"FAIL")</x:f>
        <x:v>0</x:v>
      </x:c>
      <x:c r="I7" s="11" t="str">
        <x:v>Chưa nghiệm thu</x:v>
      </x:c>
    </x:row>
    <x:row r="8" ht="38" customHeight="1">
      <x:c r="A8" s="10" t="n">
        <x:v>2</x:v>
      </x:c>
      <x:c r="B8" s="10" t="str">
        <x:v>.gitignore và .env</x:v>
      </x:c>
      <x:c r="C8" s="10" t="str">
        <x:v>NFR05, NFR14, AC19</x:v>
      </x:c>
      <x:c r="D8" s="10" t="str">
        <x:v>TC13-SEC-012</x:v>
      </x:c>
      <x:c r="E8" s="10" t="str">
        <x:v>Xem cột Bằng chứng cần có của từng ca; lưu request/response, trace và bằng chứng chạy thực.</x:v>
      </x:c>
      <x:c r="F8" s="10" t="n">
        <x:v>1</x:v>
      </x:c>
      <x:c r="G8" s="10" t="n">
        <x:f>COUNTIFS(Test_Cases!F228,"PASS")</x:f>
        <x:v>0</x:v>
      </x:c>
      <x:c r="H8" s="10" t="n">
        <x:f>COUNTIFS(Test_Cases!F228,"FAIL")</x:f>
        <x:v>0</x:v>
      </x:c>
      <x:c r="I8" s="11" t="str">
        <x:v>Chưa nghiệm thu</x:v>
      </x:c>
    </x:row>
    <x:row r="9" ht="38" customHeight="1">
      <x:c r="A9" s="9" t="n">
        <x:v>3</x:v>
      </x:c>
      <x:c r="B9" s="9" t="str">
        <x:v>Nhiệm vụ Gateway</x:v>
      </x:c>
      <x:c r="C9" s="9" t="str">
        <x:v>NFR11, AC19</x:v>
      </x:c>
      <x:c r="D9" s="9" t="str">
        <x:v>TC13-INFRA-004, TC13-INFRA-005</x:v>
      </x:c>
      <x:c r="E9" s="9" t="str">
        <x:v>Xem cột Bằng chứng cần có của từng ca; lưu request/response, trace và bằng chứng chạy thực.</x:v>
      </x:c>
      <x:c r="F9" s="9" t="n">
        <x:v>2</x:v>
      </x:c>
      <x:c r="G9" s="9" t="n">
        <x:f>COUNTIFS(Test_Cases!F237,"PASS")+COUNTIFS(Test_Cases!F238,"PASS")</x:f>
        <x:v>0</x:v>
      </x:c>
      <x:c r="H9" s="9" t="n">
        <x:f>COUNTIFS(Test_Cases!F237,"FAIL")+COUNTIFS(Test_Cases!F238,"FAIL")</x:f>
        <x:v>0</x:v>
      </x:c>
      <x:c r="I9" s="11" t="str">
        <x:v>Chưa nghiệm thu</x:v>
      </x:c>
    </x:row>
    <x:row r="10" ht="38" customHeight="1">
      <x:c r="A10" s="10" t="n">
        <x:v>4</x:v>
      </x:c>
      <x:c r="B10" s="10" t="str">
        <x:v>IPC giữa các dịch vụ</x:v>
      </x:c>
      <x:c r="C10" s="10" t="str">
        <x:v>NFR02, NFR12, AC19</x:v>
      </x:c>
      <x:c r="D10" s="10" t="str">
        <x:v>TC13-SAGA-001, TC13-SAGA-002, TC13-SAGA-003, TC13-SAGA-004, TC13-SAGA-005, TC13-SAGA-006, TC13-SAGA-007, TC13-SAGA-008, TC13-SAGA-009, TC13-SAGA-010, TC13-SAGA-011, TC13-INFRA-006, TC13-INFRA-019</x:v>
      </x:c>
      <x:c r="E10" s="10" t="str">
        <x:v>Xem cột Bằng chứng cần có của từng ca; lưu request/response, trace và bằng chứng chạy thực.</x:v>
      </x:c>
      <x:c r="F10" s="10" t="n">
        <x:v>13</x:v>
      </x:c>
      <x:c r="G10" s="10" t="n">
        <x:f>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239,"PASS")+COUNTIFS(Test_Cases!F252,"PASS")</x:f>
        <x:v>0</x:v>
      </x:c>
      <x:c r="H10" s="10" t="n">
        <x:f>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239,"FAIL")+COUNTIFS(Test_Cases!F252,"FAIL")</x:f>
        <x:v>0</x:v>
      </x:c>
      <x:c r="I10" s="11" t="str">
        <x:v>Chưa nghiệm thu</x:v>
      </x:c>
    </x:row>
    <x:row r="11" ht="38" customHeight="1">
      <x:c r="A11" s="9" t="n">
        <x:v>5</x:v>
      </x:c>
      <x:c r="B11" s="9" t="str">
        <x:v>Compose và danh sách container</x:v>
      </x:c>
      <x:c r="C11" s="9" t="str">
        <x:v>NFR13, AC19</x:v>
      </x:c>
      <x:c r="D11" s="9" t="str">
        <x:v>TC13-INFRA-002</x:v>
      </x:c>
      <x:c r="E11" s="9" t="str">
        <x:v>Xem cột Bằng chứng cần có của từng ca; lưu request/response, trace và bằng chứng chạy thực.</x:v>
      </x:c>
      <x:c r="F11" s="9" t="n">
        <x:v>1</x:v>
      </x:c>
      <x:c r="G11" s="9" t="n">
        <x:f>COUNTIFS(Test_Cases!F235,"PASS")</x:f>
        <x:v>0</x:v>
      </x:c>
      <x:c r="H11" s="9" t="n">
        <x:f>COUNTIFS(Test_Cases!F235,"FAIL")</x:f>
        <x:v>0</x:v>
      </x:c>
      <x:c r="I11" s="11" t="str">
        <x:v>Chưa nghiệm thu</x:v>
      </x:c>
    </x:row>
    <x:row r="12" ht="38" customHeight="1">
      <x:c r="A12" s="10" t="n">
        <x:v>6</x:v>
      </x:c>
      <x:c r="B12" s="10" t="str">
        <x:v>Health, ready và danh sách service</x:v>
      </x:c>
      <x:c r="C12" s="10" t="str">
        <x:v>FR27, UC21, NFR07, AC19</x:v>
      </x:c>
      <x:c r="D12" s="10" t="str">
        <x:v>TC13-INFRA-008, TC13-INFRA-009, TC13-INFRA-010, TC13-INFRA-011, TC13-INFRA-012, TC13-API-067, TC13-API-068, TC13-API-069</x:v>
      </x:c>
      <x:c r="E12" s="10" t="str">
        <x:v>Xem cột Bằng chứng cần có của từng ca; lưu request/response, trace và bằng chứng chạy thực.</x:v>
      </x:c>
      <x:c r="F12" s="10" t="n">
        <x:v>8</x:v>
      </x:c>
      <x:c r="G12" s="10" t="n">
        <x:f>COUNTIFS(Test_Cases!F241,"PASS")+COUNTIFS(Test_Cases!F242,"PASS")+COUNTIFS(Test_Cases!F243,"PASS")+COUNTIFS(Test_Cases!F244,"PASS")+COUNTIFS(Test_Cases!F245,"PASS")+COUNTIFS(Test_Cases!F331,"PASS")+COUNTIFS(Test_Cases!F332,"PASS")+COUNTIFS(Test_Cases!F333,"PASS")</x:f>
        <x:v>0</x:v>
      </x:c>
      <x:c r="H12" s="10" t="n">
        <x:f>COUNTIFS(Test_Cases!F241,"FAIL")+COUNTIFS(Test_Cases!F242,"FAIL")+COUNTIFS(Test_Cases!F243,"FAIL")+COUNTIFS(Test_Cases!F244,"FAIL")+COUNTIFS(Test_Cases!F245,"FAIL")+COUNTIFS(Test_Cases!F331,"FAIL")+COUNTIFS(Test_Cases!F332,"FAIL")+COUNTIFS(Test_Cases!F333,"FAIL")</x:f>
        <x:v>0</x:v>
      </x:c>
      <x:c r="I12" s="11" t="str">
        <x:v>Chưa nghiệm thu</x:v>
      </x:c>
    </x:row>
    <x:row r="13" ht="52" customHeight="1">
      <x:c r="A13" s="9" t="n">
        <x:v>7</x:v>
      </x:c>
      <x:c r="B13" s="9" t="str">
        <x:v>Kafka/RabbitMQ</x:v>
      </x:c>
      <x:c r="C13" s="9" t="str">
        <x:v>NFR12, AC19; CAB chọn RabbitMQ</x:v>
      </x:c>
      <x:c r="D13" s="9" t="str">
        <x:v>TC13-NOTI-001, TC13-NOTI-002, TC13-NOTI-003, TC13-NOTI-004, TC13-NOTI-005, TC13-NOTI-006, TC13-NOTI-011, TC13-NOTI-012, TC13-NOTI-013, TC13-NOTI-014, TC13-INFRA-013, TC13-INFRA-014, TC13-INFRA-015, TC13-INFRA-016, TC13-API-041, TC13-API-042</x:v>
      </x:c>
      <x:c r="E13" s="9" t="str">
        <x:v>Xem cột Bằng chứng cần có của từng ca; lưu request/response, trace và bằng chứng chạy thực.</x:v>
      </x:c>
      <x:c r="F13" s="9" t="n">
        <x:v>16</x:v>
      </x:c>
      <x:c r="G13" s="9" t="n">
        <x:f>COUNTIFS(Test_Cases!F181,"PASS")+COUNTIFS(Test_Cases!F182,"PASS")+COUNTIFS(Test_Cases!F183,"PASS")+COUNTIFS(Test_Cases!F184,"PASS")+COUNTIFS(Test_Cases!F185,"PASS")+COUNTIFS(Test_Cases!F186,"PASS")+COUNTIFS(Test_Cases!F191,"PASS")+COUNTIFS(Test_Cases!F192,"PASS")+COUNTIFS(Test_Cases!F193,"PASS")+COUNTIFS(Test_Cases!F194,"PASS")+COUNTIFS(Test_Cases!F246,"PASS")+COUNTIFS(Test_Cases!F247,"PASS")+COUNTIFS(Test_Cases!F248,"PASS")+COUNTIFS(Test_Cases!F249,"PASS")+COUNTIFS(Test_Cases!F305,"PASS")+COUNTIFS(Test_Cases!F306,"PASS")</x:f>
        <x:v>0</x:v>
      </x:c>
      <x:c r="H13" s="9" t="n">
        <x:f>COUNTIFS(Test_Cases!F181,"FAIL")+COUNTIFS(Test_Cases!F182,"FAIL")+COUNTIFS(Test_Cases!F183,"FAIL")+COUNTIFS(Test_Cases!F184,"FAIL")+COUNTIFS(Test_Cases!F185,"FAIL")+COUNTIFS(Test_Cases!F186,"FAIL")+COUNTIFS(Test_Cases!F191,"FAIL")+COUNTIFS(Test_Cases!F192,"FAIL")+COUNTIFS(Test_Cases!F193,"FAIL")+COUNTIFS(Test_Cases!F194,"FAIL")+COUNTIFS(Test_Cases!F246,"FAIL")+COUNTIFS(Test_Cases!F247,"FAIL")+COUNTIFS(Test_Cases!F248,"FAIL")+COUNTIFS(Test_Cases!F249,"FAIL")+COUNTIFS(Test_Cases!F305,"FAIL")+COUNTIFS(Test_Cases!F306,"FAIL")</x:f>
        <x:v>0</x:v>
      </x:c>
      <x:c r="I13" s="11" t="str">
        <x:v>Chưa nghiệm thu</x:v>
      </x:c>
    </x:row>
    <x:row r="14" ht="38" customHeight="1">
      <x:c r="A14" s="10" t="n">
        <x:v>8</x:v>
      </x:c>
      <x:c r="B14" s="10" t="str">
        <x:v>Request bên ngoài qua Gateway</x:v>
      </x:c>
      <x:c r="C14" s="10" t="str">
        <x:v>NFR11, AC19</x:v>
      </x:c>
      <x:c r="D14" s="10" t="str">
        <x:v>TC13-INFRA-003, TC13-INFRA-004, TC13-INFRA-005</x:v>
      </x:c>
      <x:c r="E14" s="10" t="str">
        <x:v>Xem cột Bằng chứng cần có của từng ca; lưu request/response, trace và bằng chứng chạy thực.</x:v>
      </x:c>
      <x:c r="F14" s="10" t="n">
        <x:v>3</x:v>
      </x:c>
      <x:c r="G14" s="10" t="n">
        <x:f>COUNTIFS(Test_Cases!F236,"PASS")+COUNTIFS(Test_Cases!F237,"PASS")+COUNTIFS(Test_Cases!F238,"PASS")</x:f>
        <x:v>0</x:v>
      </x:c>
      <x:c r="H14" s="10" t="n">
        <x:f>COUNTIFS(Test_Cases!F236,"FAIL")+COUNTIFS(Test_Cases!F237,"FAIL")+COUNTIFS(Test_Cases!F238,"FAIL")</x:f>
        <x:v>0</x:v>
      </x:c>
      <x:c r="I14" s="11" t="str">
        <x:v>Chưa nghiệm thu</x:v>
      </x:c>
    </x:row>
    <x:row r="15" ht="52" customHeight="1">
      <x:c r="A15" s="9" t="n">
        <x:v>9</x:v>
      </x:c>
      <x:c r="B15" s="9" t="str">
        <x:v>Đăng ký khách hàng</x:v>
      </x:c>
      <x:c r="C15" s="9" t="str">
        <x:v>FR01.1, UC01.1, AC01</x:v>
      </x:c>
      <x:c r="D15" s="9" t="str">
        <x:v>TC13-AUTH-001, TC13-AUTH-002, TC13-AUTH-003, TC13-AUTH-004, TC13-AUTH-005, TC13-AUTH-006, TC13-AUTH-007, TC13-AUTH-008, TC13-AUTH-009, TC13-AUTH-010, TC13-AUTH-011, TC13-AUTH-012, TC13-AUTH-028, TC13-AUTH-029, TC13-E2E-001, TC13-E2E-002, TC13-E2E-003, TC13-E2E-004, TC13-E2E-005, TC13-API-001</x:v>
      </x:c>
      <x:c r="E15" s="9" t="str">
        <x:v>Xem cột Bằng chứng cần có của từng ca; lưu request/response, trace và bằng chứng chạy thực.</x:v>
      </x:c>
      <x:c r="F15" s="9" t="n">
        <x:v>20</x:v>
      </x:c>
      <x:c r="G15" s="9" t="n">
        <x:f>COUNTIFS(Test_Cases!F7,"PASS")+COUNTIFS(Test_Cases!F8,"PASS")+COUNTIFS(Test_Cases!F9,"PASS")+COUNTIFS(Test_Cases!F10,"PASS")+COUNTIFS(Test_Cases!F11,"PASS")+COUNTIFS(Test_Cases!F12,"PASS")+COUNTIFS(Test_Cases!F13,"PASS")+COUNTIFS(Test_Cases!F14,"PASS")+COUNTIFS(Test_Cases!F15,"PASS")+COUNTIFS(Test_Cases!F16,"PASS")+COUNTIFS(Test_Cases!F17,"PASS")+COUNTIFS(Test_Cases!F18,"PASS")+COUNTIFS(Test_Cases!F34,"PASS")+COUNTIFS(Test_Cases!F35,"PASS")+COUNTIFS(Test_Cases!F253,"PASS")+COUNTIFS(Test_Cases!F254,"PASS")+COUNTIFS(Test_Cases!F255,"PASS")+COUNTIFS(Test_Cases!F256,"PASS")+COUNTIFS(Test_Cases!F257,"PASS")+COUNTIFS(Test_Cases!F265,"PASS")</x:f>
        <x:v>0</x:v>
      </x:c>
      <x:c r="H15" s="9" t="n">
        <x:f>COUNTIFS(Test_Cases!F7,"FAIL")+COUNTIFS(Test_Cases!F8,"FAIL")+COUNTIFS(Test_Cases!F9,"FAIL")+COUNTIFS(Test_Cases!F10,"FAIL")+COUNTIFS(Test_Cases!F11,"FAIL")+COUNTIFS(Test_Cases!F12,"FAIL")+COUNTIFS(Test_Cases!F13,"FAIL")+COUNTIFS(Test_Cases!F14,"FAIL")+COUNTIFS(Test_Cases!F15,"FAIL")+COUNTIFS(Test_Cases!F16,"FAIL")+COUNTIFS(Test_Cases!F17,"FAIL")+COUNTIFS(Test_Cases!F18,"FAIL")+COUNTIFS(Test_Cases!F34,"FAIL")+COUNTIFS(Test_Cases!F35,"FAIL")+COUNTIFS(Test_Cases!F253,"FAIL")+COUNTIFS(Test_Cases!F254,"FAIL")+COUNTIFS(Test_Cases!F255,"FAIL")+COUNTIFS(Test_Cases!F256,"FAIL")+COUNTIFS(Test_Cases!F257,"FAIL")+COUNTIFS(Test_Cases!F265,"FAIL")</x:f>
        <x:v>0</x:v>
      </x:c>
      <x:c r="I15" s="11" t="str">
        <x:v>Chưa nghiệm thu</x:v>
      </x:c>
    </x:row>
    <x:row r="16" ht="52" customHeight="1">
      <x:c r="A16" s="10" t="n">
        <x:v>10</x:v>
      </x:c>
      <x:c r="B16" s="10" t="str">
        <x:v>Đăng nhập và cấp token</x:v>
      </x:c>
      <x:c r="C16" s="10" t="str">
        <x:v>FR01.2, UC01.2, AC01</x:v>
      </x:c>
      <x:c r="D16" s="10" t="str">
        <x:v>TC13-AUTH-013, TC13-AUTH-014, TC13-AUTH-015, TC13-AUTH-016, TC13-AUTH-017, TC13-AUTH-018, TC13-AUTH-019, TC13-AUTH-020, TC13-AUTH-021, TC13-AUTH-022, TC13-E2E-001, TC13-E2E-002, TC13-E2E-003, TC13-E2E-004, TC13-E2E-005, TC13-API-002, TC13-API-003, TC13-API-004, TC13-API-005, TC13-API-008, TC13-API-009, TC13-API-011</x:v>
      </x:c>
      <x:c r="E16" s="10" t="str">
        <x:v>Xem cột Bằng chứng cần có của từng ca; lưu request/response, trace và bằng chứng chạy thực.</x:v>
      </x:c>
      <x:c r="F16" s="10" t="n">
        <x:v>22</x:v>
      </x:c>
      <x:c r="G16" s="10" t="n">
        <x:f>COUNTIFS(Test_Cases!F19,"PASS")+COUNTIFS(Test_Cases!F20,"PASS")+COUNTIFS(Test_Cases!F21,"PASS")+COUNTIFS(Test_Cases!F22,"PASS")+COUNTIFS(Test_Cases!F23,"PASS")+COUNTIFS(Test_Cases!F24,"PASS")+COUNTIFS(Test_Cases!F25,"PASS")+COUNTIFS(Test_Cases!F26,"PASS")+COUNTIFS(Test_Cases!F27,"PASS")+COUNTIFS(Test_Cases!F28,"PASS")+COUNTIFS(Test_Cases!F253,"PASS")+COUNTIFS(Test_Cases!F254,"PASS")+COUNTIFS(Test_Cases!F255,"PASS")+COUNTIFS(Test_Cases!F256,"PASS")+COUNTIFS(Test_Cases!F257,"PASS")+COUNTIFS(Test_Cases!F266,"PASS")+COUNTIFS(Test_Cases!F267,"PASS")+COUNTIFS(Test_Cases!F268,"PASS")+COUNTIFS(Test_Cases!F269,"PASS")+COUNTIFS(Test_Cases!F272,"PASS")+COUNTIFS(Test_Cases!F273,"PASS")+COUNTIFS(Test_Cases!F275,"PASS")</x:f>
        <x:v>0</x:v>
      </x:c>
      <x:c r="H16" s="10" t="n">
        <x:f>COUNTIFS(Test_Cases!F19,"FAIL")+COUNTIFS(Test_Cases!F20,"FAIL")+COUNTIFS(Test_Cases!F21,"FAIL")+COUNTIFS(Test_Cases!F22,"FAIL")+COUNTIFS(Test_Cases!F23,"FAIL")+COUNTIFS(Test_Cases!F24,"FAIL")+COUNTIFS(Test_Cases!F25,"FAIL")+COUNTIFS(Test_Cases!F26,"FAIL")+COUNTIFS(Test_Cases!F27,"FAIL")+COUNTIFS(Test_Cases!F28,"FAIL")+COUNTIFS(Test_Cases!F253,"FAIL")+COUNTIFS(Test_Cases!F254,"FAIL")+COUNTIFS(Test_Cases!F255,"FAIL")+COUNTIFS(Test_Cases!F256,"FAIL")+COUNTIFS(Test_Cases!F257,"FAIL")+COUNTIFS(Test_Cases!F266,"FAIL")+COUNTIFS(Test_Cases!F267,"FAIL")+COUNTIFS(Test_Cases!F268,"FAIL")+COUNTIFS(Test_Cases!F269,"FAIL")+COUNTIFS(Test_Cases!F272,"FAIL")+COUNTIFS(Test_Cases!F273,"FAIL")+COUNTIFS(Test_Cases!F275,"FAIL")</x:f>
        <x:v>0</x:v>
      </x:c>
      <x:c r="I16" s="11" t="str">
        <x:v>Chưa nghiệm thu</x:v>
      </x:c>
    </x:row>
    <x:row r="17" ht="38" customHeight="1">
      <x:c r="A17" s="9" t="n">
        <x:v>11</x:v>
      </x:c>
      <x:c r="B17" s="9" t="str">
        <x:v>Tra cứu Customer theo mã</x:v>
      </x:c>
      <x:c r="C17" s="9" t="str">
        <x:v>FR26, UC20, AC18</x:v>
      </x:c>
      <x:c r="D17" s="9" t="str">
        <x:v>TC13-AUTH-025, TC13-AUTH-026, TC13-API-010</x:v>
      </x:c>
      <x:c r="E17" s="9" t="str">
        <x:v>Xem cột Bằng chứng cần có của từng ca; lưu request/response, trace và bằng chứng chạy thực.</x:v>
      </x:c>
      <x:c r="F17" s="9" t="n">
        <x:v>3</x:v>
      </x:c>
      <x:c r="G17" s="9" t="n">
        <x:f>COUNTIFS(Test_Cases!F31,"PASS")+COUNTIFS(Test_Cases!F32,"PASS")+COUNTIFS(Test_Cases!F274,"PASS")</x:f>
        <x:v>0</x:v>
      </x:c>
      <x:c r="H17" s="9" t="n">
        <x:f>COUNTIFS(Test_Cases!F31,"FAIL")+COUNTIFS(Test_Cases!F32,"FAIL")+COUNTIFS(Test_Cases!F274,"FAIL")</x:f>
        <x:v>0</x:v>
      </x:c>
      <x:c r="I17" s="11" t="str">
        <x:v>Chưa nghiệm thu</x:v>
      </x:c>
    </x:row>
    <x:row r="18" ht="38" customHeight="1">
      <x:c r="A18" s="10" t="n">
        <x:v>12</x:v>
      </x:c>
      <x:c r="B18" s="10" t="str">
        <x:v>Tra cứu Driver theo mã</x:v>
      </x:c>
      <x:c r="C18" s="10" t="str">
        <x:v>FR26, UC20, AC18</x:v>
      </x:c>
      <x:c r="D18" s="10" t="str">
        <x:v>TC13-FLEET-028, TC13-API-053</x:v>
      </x:c>
      <x:c r="E18" s="10" t="str">
        <x:v>Xem cột Bằng chứng cần có của từng ca; lưu request/response, trace và bằng chứng chạy thực.</x:v>
      </x:c>
      <x:c r="F18" s="10" t="n">
        <x:v>2</x:v>
      </x:c>
      <x:c r="G18" s="10" t="n">
        <x:f>COUNTIFS(Test_Cases!F77,"PASS")+COUNTIFS(Test_Cases!F317,"PASS")</x:f>
        <x:v>0</x:v>
      </x:c>
      <x:c r="H18" s="10" t="n">
        <x:f>COUNTIFS(Test_Cases!F77,"FAIL")+COUNTIFS(Test_Cases!F317,"FAIL")</x:f>
        <x:v>0</x:v>
      </x:c>
      <x:c r="I18" s="11" t="str">
        <x:v>Chưa nghiệm thu</x:v>
      </x:c>
    </x:row>
    <x:row r="19" ht="38" customHeight="1">
      <x:c r="A19" s="9" t="n">
        <x:v>13</x:v>
      </x:c>
      <x:c r="B19" s="9" t="str">
        <x:v>Tài xế trong 1 km, limit và paging</x:v>
      </x:c>
      <x:c r="C19" s="9" t="str">
        <x:v>FR24, UC18, AC16</x:v>
      </x:c>
      <x:c r="D19" s="9" t="str">
        <x:v>TC13-DISP-001, TC13-DISP-002, TC13-DISP-003, TC13-DISP-004, TC13-DISP-005, TC13-DISP-006, TC13-DISP-007, TC13-API-018</x:v>
      </x:c>
      <x:c r="E19" s="9" t="str">
        <x:v>Xem cột Bằng chứng cần có của từng ca; lưu request/response, trace và bằng chứng chạy thực.</x:v>
      </x:c>
      <x:c r="F19" s="9" t="n">
        <x:v>8</x:v>
      </x:c>
      <x:c r="G19" s="9" t="n">
        <x:f>COUNTIFS(Test_Cases!F102,"PASS")+COUNTIFS(Test_Cases!F103,"PASS")+COUNTIFS(Test_Cases!F104,"PASS")+COUNTIFS(Test_Cases!F105,"PASS")+COUNTIFS(Test_Cases!F106,"PASS")+COUNTIFS(Test_Cases!F107,"PASS")+COUNTIFS(Test_Cases!F108,"PASS")+COUNTIFS(Test_Cases!F282,"PASS")</x:f>
        <x:v>0</x:v>
      </x:c>
      <x:c r="H19" s="9" t="n">
        <x:f>COUNTIFS(Test_Cases!F102,"FAIL")+COUNTIFS(Test_Cases!F103,"FAIL")+COUNTIFS(Test_Cases!F104,"FAIL")+COUNTIFS(Test_Cases!F105,"FAIL")+COUNTIFS(Test_Cases!F106,"FAIL")+COUNTIFS(Test_Cases!F107,"FAIL")+COUNTIFS(Test_Cases!F108,"FAIL")+COUNTIFS(Test_Cases!F282,"FAIL")</x:f>
        <x:v>0</x:v>
      </x:c>
      <x:c r="I19" s="11" t="str">
        <x:v>Chưa nghiệm thu</x:v>
      </x:c>
    </x:row>
    <x:row r="20" ht="38" customHeight="1">
      <x:c r="A20" s="10" t="n">
        <x:v>14</x:v>
      </x:c>
      <x:c r="B20" s="10" t="str">
        <x:v>Danh sách Booking của Customer</x:v>
      </x:c>
      <x:c r="C20" s="10" t="str">
        <x:v>FR25, UC19, AC17</x:v>
      </x:c>
      <x:c r="D20" s="10" t="str">
        <x:v>TC13-BOOK-012, TC13-BOOK-013, TC13-BOOK-014, TC13-BOOK-015, TC13-API-012</x:v>
      </x:c>
      <x:c r="E20" s="10" t="str">
        <x:v>Xem cột Bằng chứng cần có của từng ca; lưu request/response, trace và bằng chứng chạy thực.</x:v>
      </x:c>
      <x:c r="F20" s="10" t="n">
        <x:v>5</x:v>
      </x:c>
      <x:c r="G20" s="10" t="n">
        <x:f>COUNTIFS(Test_Cases!F92,"PASS")+COUNTIFS(Test_Cases!F93,"PASS")+COUNTIFS(Test_Cases!F94,"PASS")+COUNTIFS(Test_Cases!F95,"PASS")+COUNTIFS(Test_Cases!F276,"PASS")</x:f>
        <x:v>0</x:v>
      </x:c>
      <x:c r="H20" s="10" t="n">
        <x:f>COUNTIFS(Test_Cases!F92,"FAIL")+COUNTIFS(Test_Cases!F93,"FAIL")+COUNTIFS(Test_Cases!F94,"FAIL")+COUNTIFS(Test_Cases!F95,"FAIL")+COUNTIFS(Test_Cases!F276,"FAIL")</x:f>
        <x:v>0</x:v>
      </x:c>
      <x:c r="I20" s="11" t="str">
        <x:v>Chưa nghiệm thu</x:v>
      </x:c>
    </x:row>
    <x:row r="21" ht="94" customHeight="1">
      <x:c r="A21" s="9" t="n">
        <x:v>15</x:v>
      </x:c>
      <x:c r="B21" s="9" t="str">
        <x:v>Đặt xe và phát offer</x:v>
      </x:c>
      <x:c r="C21" s="9" t="str">
        <x:v>FR02–FR07, FR28, UC02–UC03, UC22, AC02–AC03, AC21</x:v>
      </x:c>
      <x:c r="D21" s="9" t="str">
        <x:v>TC13-BOOK-001, TC13-BOOK-002, TC13-BOOK-003, TC13-BOOK-004, TC13-BOOK-005, TC13-BOOK-006, TC13-BOOK-007, TC13-BOOK-008, TC13-BOOK-009, TC13-BOOK-010, TC13-BOOK-011, TC13-BOOK-021, TC13-DISP-008, TC13-DISP-009, TC13-DISP-010, TC13-DISP-019, TC13-NOTI-010, TC13-SAGA-001, TC13-SAGA-002, TC13-SAGA-003, TC13-SAGA-004, TC13-SAGA-005, TC13-SAGA-006, TC13-SAGA-007, TC13-SAGA-008, TC13-SAGA-009, TC13-SAGA-010, TC13-SAGA-011, TC13-INFRA-017, TC13-E2E-001, TC13-E2E-002, TC13-E2E-003, TC13-E2E-004, TC13-E2E-005, TC13-API-013, TC13-API-014, TC13-API-015, TC13-API-017, TC13-API-019, TC13-API-020, TC13-API-021, TC13-API-022, TC13-API-023, TC13-API-024</x:v>
      </x:c>
      <x:c r="E21" s="9" t="str">
        <x:v>Xem cột Bằng chứng cần có của từng ca; lưu request/response, trace và bằng chứng chạy thực.</x:v>
      </x:c>
      <x:c r="F21" s="9" t="n">
        <x:v>44</x:v>
      </x:c>
      <x:c r="G21" s="9" t="n">
        <x:f>COUNTIFS(Test_Cases!F81,"PASS")+COUNTIFS(Test_Cases!F82,"PASS")+COUNTIFS(Test_Cases!F83,"PASS")+COUNTIFS(Test_Cases!F84,"PASS")+COUNTIFS(Test_Cases!F85,"PASS")+COUNTIFS(Test_Cases!F86,"PASS")+COUNTIFS(Test_Cases!F87,"PASS")+COUNTIFS(Test_Cases!F88,"PASS")+COUNTIFS(Test_Cases!F89,"PASS")+COUNTIFS(Test_Cases!F90,"PASS")+COUNTIFS(Test_Cases!F91,"PASS")+COUNTIFS(Test_Cases!F101,"PASS")+COUNTIFS(Test_Cases!F109,"PASS")+COUNTIFS(Test_Cases!F110,"PASS")+COUNTIFS(Test_Cases!F111,"PASS")+COUNTIFS(Test_Cases!F120,"PASS")+COUNTIFS(Test_Cases!F190,"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250,"PASS")+COUNTIFS(Test_Cases!F253,"PASS")+COUNTIFS(Test_Cases!F254,"PASS")+COUNTIFS(Test_Cases!F255,"PASS")+COUNTIFS(Test_Cases!F256,"PASS")+COUNTIFS(Test_Cases!F257,"PASS")+COUNTIFS(Test_Cases!F277,"PASS")+COUNTIFS(Test_Cases!F278,"PASS")+COUNTIFS(Test_Cases!F279,"PASS")+COUNTIFS(Test_Cases!F281,"PASS")+COUNTIFS(Test_Cases!F283,"PASS")+COUNTIFS(Test_Cases!F284,"PASS")+COUNTIFS(Test_Cases!F285,"PASS")+COUNTIFS(Test_Cases!F286,"PASS")+COUNTIFS(Test_Cases!F287,"PASS")+COUNTIFS(Test_Cases!F288,"PASS")</x:f>
        <x:v>0</x:v>
      </x:c>
      <x:c r="H21" s="9" t="n">
        <x:f>COUNTIFS(Test_Cases!F81,"FAIL")+COUNTIFS(Test_Cases!F82,"FAIL")+COUNTIFS(Test_Cases!F83,"FAIL")+COUNTIFS(Test_Cases!F84,"FAIL")+COUNTIFS(Test_Cases!F85,"FAIL")+COUNTIFS(Test_Cases!F86,"FAIL")+COUNTIFS(Test_Cases!F87,"FAIL")+COUNTIFS(Test_Cases!F88,"FAIL")+COUNTIFS(Test_Cases!F89,"FAIL")+COUNTIFS(Test_Cases!F90,"FAIL")+COUNTIFS(Test_Cases!F91,"FAIL")+COUNTIFS(Test_Cases!F101,"FAIL")+COUNTIFS(Test_Cases!F109,"FAIL")+COUNTIFS(Test_Cases!F110,"FAIL")+COUNTIFS(Test_Cases!F111,"FAIL")+COUNTIFS(Test_Cases!F120,"FAIL")+COUNTIFS(Test_Cases!F190,"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250,"FAIL")+COUNTIFS(Test_Cases!F253,"FAIL")+COUNTIFS(Test_Cases!F254,"FAIL")+COUNTIFS(Test_Cases!F255,"FAIL")+COUNTIFS(Test_Cases!F256,"FAIL")+COUNTIFS(Test_Cases!F257,"FAIL")+COUNTIFS(Test_Cases!F277,"FAIL")+COUNTIFS(Test_Cases!F278,"FAIL")+COUNTIFS(Test_Cases!F279,"FAIL")+COUNTIFS(Test_Cases!F281,"FAIL")+COUNTIFS(Test_Cases!F283,"FAIL")+COUNTIFS(Test_Cases!F284,"FAIL")+COUNTIFS(Test_Cases!F285,"FAIL")+COUNTIFS(Test_Cases!F286,"FAIL")+COUNTIFS(Test_Cases!F287,"FAIL")+COUNTIFS(Test_Cases!F288,"FAIL")</x:f>
        <x:v>0</x:v>
      </x:c>
      <x:c r="I21" s="11" t="str">
        <x:v>Chưa nghiệm thu</x:v>
      </x:c>
    </x:row>
    <x:row r="22" ht="80" customHeight="1">
      <x:c r="A22" s="10" t="n">
        <x:v>16</x:v>
      </x:c>
      <x:c r="B22" s="10" t="str">
        <x:v>Tài xế nhận chuyến</x:v>
      </x:c>
      <x:c r="C22" s="10" t="str">
        <x:v>FR05, FR28, UC05, UC22, AC03, AC21</x:v>
      </x:c>
      <x:c r="D22" s="10" t="str">
        <x:v>TC13-DISP-011, TC13-DISP-012, TC13-DISP-013, TC13-DISP-014, TC13-DISP-015, TC13-DISP-016, TC13-DISP-017, TC13-DISP-018, TC13-DISP-020, TC13-NOTI-010, TC13-SAGA-001, TC13-SAGA-002, TC13-SAGA-003, TC13-SAGA-004, TC13-SAGA-005, TC13-SAGA-006, TC13-SAGA-007, TC13-SAGA-008, TC13-SAGA-009, TC13-SAGA-010, TC13-SAGA-011, TC13-E2E-001, TC13-E2E-002, TC13-E2E-003, TC13-E2E-004, TC13-E2E-005, TC13-API-019, TC13-API-020, TC13-API-021, TC13-API-022, TC13-API-023, TC13-API-024</x:v>
      </x:c>
      <x:c r="E22" s="10" t="str">
        <x:v>Xem cột Bằng chứng cần có của từng ca; lưu request/response, trace và bằng chứng chạy thực.</x:v>
      </x:c>
      <x:c r="F22" s="10" t="n">
        <x:v>32</x:v>
      </x:c>
      <x:c r="G22" s="10" t="n">
        <x:f>COUNTIFS(Test_Cases!F112,"PASS")+COUNTIFS(Test_Cases!F113,"PASS")+COUNTIFS(Test_Cases!F114,"PASS")+COUNTIFS(Test_Cases!F115,"PASS")+COUNTIFS(Test_Cases!F116,"PASS")+COUNTIFS(Test_Cases!F117,"PASS")+COUNTIFS(Test_Cases!F118,"PASS")+COUNTIFS(Test_Cases!F119,"PASS")+COUNTIFS(Test_Cases!F121,"PASS")+COUNTIFS(Test_Cases!F190,"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253,"PASS")+COUNTIFS(Test_Cases!F254,"PASS")+COUNTIFS(Test_Cases!F255,"PASS")+COUNTIFS(Test_Cases!F256,"PASS")+COUNTIFS(Test_Cases!F257,"PASS")+COUNTIFS(Test_Cases!F283,"PASS")+COUNTIFS(Test_Cases!F284,"PASS")+COUNTIFS(Test_Cases!F285,"PASS")+COUNTIFS(Test_Cases!F286,"PASS")+COUNTIFS(Test_Cases!F287,"PASS")+COUNTIFS(Test_Cases!F288,"PASS")</x:f>
        <x:v>0</x:v>
      </x:c>
      <x:c r="H22" s="10" t="n">
        <x:f>COUNTIFS(Test_Cases!F112,"FAIL")+COUNTIFS(Test_Cases!F113,"FAIL")+COUNTIFS(Test_Cases!F114,"FAIL")+COUNTIFS(Test_Cases!F115,"FAIL")+COUNTIFS(Test_Cases!F116,"FAIL")+COUNTIFS(Test_Cases!F117,"FAIL")+COUNTIFS(Test_Cases!F118,"FAIL")+COUNTIFS(Test_Cases!F119,"FAIL")+COUNTIFS(Test_Cases!F121,"FAIL")+COUNTIFS(Test_Cases!F190,"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253,"FAIL")+COUNTIFS(Test_Cases!F254,"FAIL")+COUNTIFS(Test_Cases!F255,"FAIL")+COUNTIFS(Test_Cases!F256,"FAIL")+COUNTIFS(Test_Cases!F257,"FAIL")+COUNTIFS(Test_Cases!F283,"FAIL")+COUNTIFS(Test_Cases!F284,"FAIL")+COUNTIFS(Test_Cases!F285,"FAIL")+COUNTIFS(Test_Cases!F286,"FAIL")+COUNTIFS(Test_Cases!F287,"FAIL")+COUNTIFS(Test_Cases!F288,"FAIL")</x:f>
        <x:v>0</x:v>
      </x:c>
      <x:c r="I22" s="11" t="str">
        <x:v>Chưa nghiệm thu</x:v>
      </x:c>
    </x:row>
    <x:row r="23" ht="94" customHeight="1">
      <x:c r="A23" s="9" t="n">
        <x:v>17</x:v>
      </x:c>
      <x:c r="B23" s="9" t="str">
        <x:v>Trạng thái và vị trí chuyến</x:v>
      </x:c>
      <x:c r="C23" s="9" t="str">
        <x:v>FR08, FR09, FR18, UC04, UC06, UC11, AC04–AC05</x:v>
      </x:c>
      <x:c r="D23" s="9" t="str">
        <x:v>TC13-TRIP-001, TC13-TRIP-002, TC13-TRIP-003, TC13-TRIP-004, TC13-TRIP-005, TC13-TRIP-013, TC13-TRIP-014, TC13-TRIP-015, TC13-TRIP-016, TC13-TRIP-017, TC13-TRIP-018, TC13-TRIP-019, TC13-TRIP-020, TC13-TRIP-021, TC13-TRIP-022, TC13-TRIP-023, TC13-TRIP-024, TC13-TRIP-025, TC13-TRIP-026, TC13-TRIP-027, TC13-TRIP-028, TC13-TRIP-029, TC13-E2E-001, TC13-E2E-002, TC13-E2E-003, TC13-E2E-004, TC13-E2E-005, TC13-PERF-003, TC13-API-025, TC13-API-026, TC13-API-027, TC13-API-028, TC13-API-030, TC13-API-031, TC13-API-032, TC13-API-060, TC13-API-061, TC13-API-062, TC13-API-063</x:v>
      </x:c>
      <x:c r="E23" s="9" t="str">
        <x:v>Xem cột Bằng chứng cần có của từng ca; lưu request/response, trace và bằng chứng chạy thực.</x:v>
      </x:c>
      <x:c r="F23" s="9" t="n">
        <x:v>39</x:v>
      </x:c>
      <x:c r="G23" s="9" t="n">
        <x:f>COUNTIFS(Test_Cases!F122,"PASS")+COUNTIFS(Test_Cases!F123,"PASS")+COUNTIFS(Test_Cases!F124,"PASS")+COUNTIFS(Test_Cases!F125,"PASS")+COUNTIFS(Test_Cases!F126,"PASS")+COUNTIFS(Test_Cases!F134,"PASS")+COUNTIFS(Test_Cases!F135,"PASS")+COUNTIFS(Test_Cases!F136,"PASS")+COUNTIFS(Test_Cases!F137,"PASS")+COUNTIFS(Test_Cases!F138,"PASS")+COUNTIFS(Test_Cases!F139,"PASS")+COUNTIFS(Test_Cases!F140,"PASS")+COUNTIFS(Test_Cases!F141,"PASS")+COUNTIFS(Test_Cases!F142,"PASS")+COUNTIFS(Test_Cases!F143,"PASS")+COUNTIFS(Test_Cases!F144,"PASS")+COUNTIFS(Test_Cases!F145,"PASS")+COUNTIFS(Test_Cases!F146,"PASS")+COUNTIFS(Test_Cases!F147,"PASS")+COUNTIFS(Test_Cases!F148,"PASS")+COUNTIFS(Test_Cases!F149,"PASS")+COUNTIFS(Test_Cases!F150,"PASS")+COUNTIFS(Test_Cases!F253,"PASS")+COUNTIFS(Test_Cases!F254,"PASS")+COUNTIFS(Test_Cases!F255,"PASS")+COUNTIFS(Test_Cases!F256,"PASS")+COUNTIFS(Test_Cases!F257,"PASS")+COUNTIFS(Test_Cases!F260,"PASS")+COUNTIFS(Test_Cases!F289,"PASS")+COUNTIFS(Test_Cases!F290,"PASS")+COUNTIFS(Test_Cases!F291,"PASS")+COUNTIFS(Test_Cases!F292,"PASS")+COUNTIFS(Test_Cases!F294,"PASS")+COUNTIFS(Test_Cases!F295,"PASS")+COUNTIFS(Test_Cases!F296,"PASS")+COUNTIFS(Test_Cases!F324,"PASS")+COUNTIFS(Test_Cases!F325,"PASS")+COUNTIFS(Test_Cases!F326,"PASS")+COUNTIFS(Test_Cases!F327,"PASS")</x:f>
        <x:v>0</x:v>
      </x:c>
      <x:c r="H23" s="9" t="n">
        <x:f>COUNTIFS(Test_Cases!F122,"FAIL")+COUNTIFS(Test_Cases!F123,"FAIL")+COUNTIFS(Test_Cases!F124,"FAIL")+COUNTIFS(Test_Cases!F125,"FAIL")+COUNTIFS(Test_Cases!F126,"FAIL")+COUNTIFS(Test_Cases!F134,"FAIL")+COUNTIFS(Test_Cases!F135,"FAIL")+COUNTIFS(Test_Cases!F136,"FAIL")+COUNTIFS(Test_Cases!F137,"FAIL")+COUNTIFS(Test_Cases!F138,"FAIL")+COUNTIFS(Test_Cases!F139,"FAIL")+COUNTIFS(Test_Cases!F140,"FAIL")+COUNTIFS(Test_Cases!F141,"FAIL")+COUNTIFS(Test_Cases!F142,"FAIL")+COUNTIFS(Test_Cases!F143,"FAIL")+COUNTIFS(Test_Cases!F144,"FAIL")+COUNTIFS(Test_Cases!F145,"FAIL")+COUNTIFS(Test_Cases!F146,"FAIL")+COUNTIFS(Test_Cases!F147,"FAIL")+COUNTIFS(Test_Cases!F148,"FAIL")+COUNTIFS(Test_Cases!F149,"FAIL")+COUNTIFS(Test_Cases!F150,"FAIL")+COUNTIFS(Test_Cases!F253,"FAIL")+COUNTIFS(Test_Cases!F254,"FAIL")+COUNTIFS(Test_Cases!F255,"FAIL")+COUNTIFS(Test_Cases!F256,"FAIL")+COUNTIFS(Test_Cases!F257,"FAIL")+COUNTIFS(Test_Cases!F260,"FAIL")+COUNTIFS(Test_Cases!F289,"FAIL")+COUNTIFS(Test_Cases!F290,"FAIL")+COUNTIFS(Test_Cases!F291,"FAIL")+COUNTIFS(Test_Cases!F292,"FAIL")+COUNTIFS(Test_Cases!F294,"FAIL")+COUNTIFS(Test_Cases!F295,"FAIL")+COUNTIFS(Test_Cases!F296,"FAIL")+COUNTIFS(Test_Cases!F324,"FAIL")+COUNTIFS(Test_Cases!F325,"FAIL")+COUNTIFS(Test_Cases!F326,"FAIL")+COUNTIFS(Test_Cases!F327,"FAIL")</x:f>
        <x:v>0</x:v>
      </x:c>
      <x:c r="I23" s="11" t="str">
        <x:v>Chưa nghiệm thu</x:v>
      </x:c>
    </x:row>
    <x:row r="24" ht="66" customHeight="1">
      <x:c r="A24" s="10" t="n">
        <x:v>18</x:v>
      </x:c>
      <x:c r="B24" s="10" t="str">
        <x:v>Hủy chuyến có lý do và thông báo</x:v>
      </x:c>
      <x:c r="C24" s="10" t="str">
        <x:v>FR19, FR28, UC12, UC22, AC10, AC13, AC21</x:v>
      </x:c>
      <x:c r="D24" s="10" t="str">
        <x:v>TC13-BOOK-016, TC13-BOOK-017, TC13-BOOK-018, TC13-BOOK-019, TC13-BOOK-020, TC13-TRIP-006, TC13-TRIP-007, TC13-TRIP-008, TC13-TRIP-009, TC13-TRIP-010, TC13-TRIP-011, TC13-TRIP-012, TC13-TRIP-018, TC13-TRIP-019, TC13-TRIP-020, TC13-SAGA-001, TC13-SAGA-002, TC13-SAGA-003, TC13-SAGA-004, TC13-SAGA-005, TC13-SAGA-006, TC13-SAGA-007, TC13-SAGA-008, TC13-SAGA-009, TC13-SAGA-010, TC13-SAGA-011, TC13-API-016, TC13-API-029, TC13-API-041, TC13-API-042</x:v>
      </x:c>
      <x:c r="E24" s="10" t="str">
        <x:v>Xem cột Bằng chứng cần có của từng ca; lưu request/response, trace và bằng chứng chạy thực.</x:v>
      </x:c>
      <x:c r="F24" s="10" t="n">
        <x:v>30</x:v>
      </x:c>
      <x:c r="G24" s="10" t="n">
        <x:f>COUNTIFS(Test_Cases!F96,"PASS")+COUNTIFS(Test_Cases!F97,"PASS")+COUNTIFS(Test_Cases!F98,"PASS")+COUNTIFS(Test_Cases!F99,"PASS")+COUNTIFS(Test_Cases!F100,"PASS")+COUNTIFS(Test_Cases!F127,"PASS")+COUNTIFS(Test_Cases!F128,"PASS")+COUNTIFS(Test_Cases!F129,"PASS")+COUNTIFS(Test_Cases!F130,"PASS")+COUNTIFS(Test_Cases!F131,"PASS")+COUNTIFS(Test_Cases!F132,"PASS")+COUNTIFS(Test_Cases!F133,"PASS")+COUNTIFS(Test_Cases!F139,"PASS")+COUNTIFS(Test_Cases!F140,"PASS")+COUNTIFS(Test_Cases!F141,"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280,"PASS")+COUNTIFS(Test_Cases!F293,"PASS")+COUNTIFS(Test_Cases!F305,"PASS")+COUNTIFS(Test_Cases!F306,"PASS")</x:f>
        <x:v>0</x:v>
      </x:c>
      <x:c r="H24" s="10" t="n">
        <x:f>COUNTIFS(Test_Cases!F96,"FAIL")+COUNTIFS(Test_Cases!F97,"FAIL")+COUNTIFS(Test_Cases!F98,"FAIL")+COUNTIFS(Test_Cases!F99,"FAIL")+COUNTIFS(Test_Cases!F100,"FAIL")+COUNTIFS(Test_Cases!F127,"FAIL")+COUNTIFS(Test_Cases!F128,"FAIL")+COUNTIFS(Test_Cases!F129,"FAIL")+COUNTIFS(Test_Cases!F130,"FAIL")+COUNTIFS(Test_Cases!F131,"FAIL")+COUNTIFS(Test_Cases!F132,"FAIL")+COUNTIFS(Test_Cases!F133,"FAIL")+COUNTIFS(Test_Cases!F139,"FAIL")+COUNTIFS(Test_Cases!F140,"FAIL")+COUNTIFS(Test_Cases!F141,"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280,"FAIL")+COUNTIFS(Test_Cases!F293,"FAIL")+COUNTIFS(Test_Cases!F305,"FAIL")+COUNTIFS(Test_Cases!F306,"FAIL")</x:f>
        <x:v>0</x:v>
      </x:c>
      <x:c r="I24" s="11" t="str">
        <x:v>Chưa nghiệm thu</x:v>
      </x:c>
    </x:row>
    <x:row r="25" ht="80" customHeight="1">
      <x:c r="A25" s="9" t="n">
        <x:v>19</x:v>
      </x:c>
      <x:c r="B25" s="9" t="str">
        <x:v>Thanh toán online và callback</x:v>
      </x:c>
      <x:c r="C25" s="9" t="str">
        <x:v>FR11–FR12, UC07, AC06</x:v>
      </x:c>
      <x:c r="D25" s="9" t="str">
        <x:v>TC13-PAY-001, TC13-PAY-002, TC13-PAY-003, TC13-PAY-004, TC13-PAY-005, TC13-PAY-006, TC13-PAY-007, TC13-PAY-008, TC13-PAY-015, TC13-PAY-016, TC13-PAY-020, TC13-PAY-021, TC13-PAY-022, TC13-PAY-023, TC13-PAY-024, TC13-PAY-025, TC13-PAY-026, TC13-PAY-027, TC13-PAY-028, TC13-E2E-001, TC13-E2E-002, TC13-E2E-003, TC13-E2E-004, TC13-E2E-005, TC13-API-033, TC13-API-034, TC13-API-035, TC13-API-036, TC13-API-037, TC13-API-038, TC13-API-039, TC13-API-040, TC13-API-066</x:v>
      </x:c>
      <x:c r="E25" s="9" t="str">
        <x:v>Xem cột Bằng chứng cần có của từng ca; lưu request/response, trace và bằng chứng chạy thực.</x:v>
      </x:c>
      <x:c r="F25" s="9" t="n">
        <x:v>33</x:v>
      </x:c>
      <x:c r="G25" s="9" t="n">
        <x:f>COUNTIFS(Test_Cases!F151,"PASS")+COUNTIFS(Test_Cases!F152,"PASS")+COUNTIFS(Test_Cases!F153,"PASS")+COUNTIFS(Test_Cases!F154,"PASS")+COUNTIFS(Test_Cases!F155,"PASS")+COUNTIFS(Test_Cases!F156,"PASS")+COUNTIFS(Test_Cases!F157,"PASS")+COUNTIFS(Test_Cases!F158,"PASS")+COUNTIFS(Test_Cases!F165,"PASS")+COUNTIFS(Test_Cases!F166,"PASS")+COUNTIFS(Test_Cases!F170,"PASS")+COUNTIFS(Test_Cases!F171,"PASS")+COUNTIFS(Test_Cases!F172,"PASS")+COUNTIFS(Test_Cases!F173,"PASS")+COUNTIFS(Test_Cases!F174,"PASS")+COUNTIFS(Test_Cases!F175,"PASS")+COUNTIFS(Test_Cases!F176,"PASS")+COUNTIFS(Test_Cases!F177,"PASS")+COUNTIFS(Test_Cases!F178,"PASS")+COUNTIFS(Test_Cases!F253,"PASS")+COUNTIFS(Test_Cases!F254,"PASS")+COUNTIFS(Test_Cases!F255,"PASS")+COUNTIFS(Test_Cases!F256,"PASS")+COUNTIFS(Test_Cases!F257,"PASS")+COUNTIFS(Test_Cases!F297,"PASS")+COUNTIFS(Test_Cases!F298,"PASS")+COUNTIFS(Test_Cases!F299,"PASS")+COUNTIFS(Test_Cases!F300,"PASS")+COUNTIFS(Test_Cases!F301,"PASS")+COUNTIFS(Test_Cases!F302,"PASS")+COUNTIFS(Test_Cases!F303,"PASS")+COUNTIFS(Test_Cases!F304,"PASS")+COUNTIFS(Test_Cases!F330,"PASS")</x:f>
        <x:v>0</x:v>
      </x:c>
      <x:c r="H25" s="9" t="n">
        <x:f>COUNTIFS(Test_Cases!F151,"FAIL")+COUNTIFS(Test_Cases!F152,"FAIL")+COUNTIFS(Test_Cases!F153,"FAIL")+COUNTIFS(Test_Cases!F154,"FAIL")+COUNTIFS(Test_Cases!F155,"FAIL")+COUNTIFS(Test_Cases!F156,"FAIL")+COUNTIFS(Test_Cases!F157,"FAIL")+COUNTIFS(Test_Cases!F158,"FAIL")+COUNTIFS(Test_Cases!F165,"FAIL")+COUNTIFS(Test_Cases!F166,"FAIL")+COUNTIFS(Test_Cases!F170,"FAIL")+COUNTIFS(Test_Cases!F171,"FAIL")+COUNTIFS(Test_Cases!F172,"FAIL")+COUNTIFS(Test_Cases!F173,"FAIL")+COUNTIFS(Test_Cases!F174,"FAIL")+COUNTIFS(Test_Cases!F175,"FAIL")+COUNTIFS(Test_Cases!F176,"FAIL")+COUNTIFS(Test_Cases!F177,"FAIL")+COUNTIFS(Test_Cases!F178,"FAIL")+COUNTIFS(Test_Cases!F253,"FAIL")+COUNTIFS(Test_Cases!F254,"FAIL")+COUNTIFS(Test_Cases!F255,"FAIL")+COUNTIFS(Test_Cases!F256,"FAIL")+COUNTIFS(Test_Cases!F257,"FAIL")+COUNTIFS(Test_Cases!F297,"FAIL")+COUNTIFS(Test_Cases!F298,"FAIL")+COUNTIFS(Test_Cases!F299,"FAIL")+COUNTIFS(Test_Cases!F300,"FAIL")+COUNTIFS(Test_Cases!F301,"FAIL")+COUNTIFS(Test_Cases!F302,"FAIL")+COUNTIFS(Test_Cases!F303,"FAIL")+COUNTIFS(Test_Cases!F304,"FAIL")+COUNTIFS(Test_Cases!F330,"FAIL")</x:f>
        <x:v>0</x:v>
      </x:c>
      <x:c r="I25" s="11" t="str">
        <x:v>Chưa nghiệm thu</x:v>
      </x:c>
    </x:row>
    <x:row r="26" ht="52" customHeight="1">
      <x:c r="A26" s="10" t="n">
        <x:v>20</x:v>
      </x:c>
      <x:c r="B26" s="10" t="str">
        <x:v>Đánh giá chuyến đi</x:v>
      </x:c>
      <x:c r="C26" s="10" t="str">
        <x:v>FR16, UC08, AC07</x:v>
      </x:c>
      <x:c r="D26" s="10" t="str">
        <x:v>TC13-RATE-001, TC13-RATE-002, TC13-RATE-003, TC13-RATE-004, TC13-RATE-005, TC13-RATE-006, TC13-RATE-007, TC13-RATE-008, TC13-RATE-009, TC13-RATE-010, TC13-RATE-011, TC13-E2E-001, TC13-E2E-002, TC13-E2E-003, TC13-E2E-004, TC13-E2E-005, TC13-API-071, TC13-API-072, TC13-API-073, TC13-API-074</x:v>
      </x:c>
      <x:c r="E26" s="10" t="str">
        <x:v>Xem cột Bằng chứng cần có của từng ca; lưu request/response, trace và bằng chứng chạy thực.</x:v>
      </x:c>
      <x:c r="F26" s="10" t="n">
        <x:v>20</x:v>
      </x:c>
      <x:c r="G26" s="10" t="n">
        <x:f>COUNTIFS(Test_Cases!F195,"PASS")+COUNTIFS(Test_Cases!F196,"PASS")+COUNTIFS(Test_Cases!F197,"PASS")+COUNTIFS(Test_Cases!F198,"PASS")+COUNTIFS(Test_Cases!F199,"PASS")+COUNTIFS(Test_Cases!F200,"PASS")+COUNTIFS(Test_Cases!F201,"PASS")+COUNTIFS(Test_Cases!F202,"PASS")+COUNTIFS(Test_Cases!F203,"PASS")+COUNTIFS(Test_Cases!F204,"PASS")+COUNTIFS(Test_Cases!F205,"PASS")+COUNTIFS(Test_Cases!F253,"PASS")+COUNTIFS(Test_Cases!F254,"PASS")+COUNTIFS(Test_Cases!F255,"PASS")+COUNTIFS(Test_Cases!F256,"PASS")+COUNTIFS(Test_Cases!F257,"PASS")+COUNTIFS(Test_Cases!F335,"PASS")+COUNTIFS(Test_Cases!F336,"PASS")+COUNTIFS(Test_Cases!F337,"PASS")+COUNTIFS(Test_Cases!F338,"PASS")</x:f>
        <x:v>0</x:v>
      </x:c>
      <x:c r="H26" s="10" t="n">
        <x:f>COUNTIFS(Test_Cases!F195,"FAIL")+COUNTIFS(Test_Cases!F196,"FAIL")+COUNTIFS(Test_Cases!F197,"FAIL")+COUNTIFS(Test_Cases!F198,"FAIL")+COUNTIFS(Test_Cases!F199,"FAIL")+COUNTIFS(Test_Cases!F200,"FAIL")+COUNTIFS(Test_Cases!F201,"FAIL")+COUNTIFS(Test_Cases!F202,"FAIL")+COUNTIFS(Test_Cases!F203,"FAIL")+COUNTIFS(Test_Cases!F204,"FAIL")+COUNTIFS(Test_Cases!F205,"FAIL")+COUNTIFS(Test_Cases!F253,"FAIL")+COUNTIFS(Test_Cases!F254,"FAIL")+COUNTIFS(Test_Cases!F255,"FAIL")+COUNTIFS(Test_Cases!F256,"FAIL")+COUNTIFS(Test_Cases!F257,"FAIL")+COUNTIFS(Test_Cases!F335,"FAIL")+COUNTIFS(Test_Cases!F336,"FAIL")+COUNTIFS(Test_Cases!F337,"FAIL")+COUNTIFS(Test_Cases!F338,"FAIL")</x:f>
        <x:v>0</x:v>
      </x:c>
      <x:c r="I26" s="11" t="str">
        <x:v>Chưa nghiệm thu</x:v>
      </x:c>
    </x:row>
    <x:row r="27" ht="66" customHeight="1">
      <x:c r="A27" s="9" t="n">
        <x:v>21</x:v>
      </x:c>
      <x:c r="B27" s="9" t="str">
        <x:v>Tài xế đăng ký qua OTP</x:v>
      </x:c>
      <x:c r="C27" s="9" t="str">
        <x:v>FR23, FR28, UC17, UC22, AC15, AC21</x:v>
      </x:c>
      <x:c r="D27" s="9" t="str">
        <x:v>TC13-OTP-001, TC13-OTP-002, TC13-OTP-003, TC13-OTP-004, TC13-OTP-005, TC13-OTP-006, TC13-OTP-007, TC13-OTP-008, TC13-OTP-009, TC13-OTP-010, TC13-OTP-011, TC13-OTP-012, TC13-OTP-013, TC13-FLEET-001, TC13-FLEET-002, TC13-FLEET-003, TC13-FLEET-004, TC13-FLEET-005, TC13-FLEET-006, TC13-API-006, TC13-API-007, TC13-API-043, TC13-API-044, TC13-API-070</x:v>
      </x:c>
      <x:c r="E27" s="9" t="str">
        <x:v>Xem cột Bằng chứng cần có của từng ca; lưu request/response, trace và bằng chứng chạy thực.</x:v>
      </x:c>
      <x:c r="F27" s="9" t="n">
        <x:v>24</x:v>
      </x:c>
      <x:c r="G27" s="9" t="n">
        <x:f>COUNTIFS(Test_Cases!F37,"PASS")+COUNTIFS(Test_Cases!F38,"PASS")+COUNTIFS(Test_Cases!F39,"PASS")+COUNTIFS(Test_Cases!F40,"PASS")+COUNTIFS(Test_Cases!F41,"PASS")+COUNTIFS(Test_Cases!F42,"PASS")+COUNTIFS(Test_Cases!F43,"PASS")+COUNTIFS(Test_Cases!F44,"PASS")+COUNTIFS(Test_Cases!F45,"PASS")+COUNTIFS(Test_Cases!F46,"PASS")+COUNTIFS(Test_Cases!F47,"PASS")+COUNTIFS(Test_Cases!F48,"PASS")+COUNTIFS(Test_Cases!F49,"PASS")+COUNTIFS(Test_Cases!F50,"PASS")+COUNTIFS(Test_Cases!F51,"PASS")+COUNTIFS(Test_Cases!F52,"PASS")+COUNTIFS(Test_Cases!F53,"PASS")+COUNTIFS(Test_Cases!F54,"PASS")+COUNTIFS(Test_Cases!F55,"PASS")+COUNTIFS(Test_Cases!F270,"PASS")+COUNTIFS(Test_Cases!F271,"PASS")+COUNTIFS(Test_Cases!F307,"PASS")+COUNTIFS(Test_Cases!F308,"PASS")+COUNTIFS(Test_Cases!F334,"PASS")</x:f>
        <x:v>0</x:v>
      </x:c>
      <x:c r="H27" s="9" t="n">
        <x:f>COUNTIFS(Test_Cases!F37,"FAIL")+COUNTIFS(Test_Cases!F38,"FAIL")+COUNTIFS(Test_Cases!F39,"FAIL")+COUNTIFS(Test_Cases!F40,"FAIL")+COUNTIFS(Test_Cases!F41,"FAIL")+COUNTIFS(Test_Cases!F42,"FAIL")+COUNTIFS(Test_Cases!F43,"FAIL")+COUNTIFS(Test_Cases!F44,"FAIL")+COUNTIFS(Test_Cases!F45,"FAIL")+COUNTIFS(Test_Cases!F46,"FAIL")+COUNTIFS(Test_Cases!F47,"FAIL")+COUNTIFS(Test_Cases!F48,"FAIL")+COUNTIFS(Test_Cases!F49,"FAIL")+COUNTIFS(Test_Cases!F50,"FAIL")+COUNTIFS(Test_Cases!F51,"FAIL")+COUNTIFS(Test_Cases!F52,"FAIL")+COUNTIFS(Test_Cases!F53,"FAIL")+COUNTIFS(Test_Cases!F54,"FAIL")+COUNTIFS(Test_Cases!F55,"FAIL")+COUNTIFS(Test_Cases!F270,"FAIL")+COUNTIFS(Test_Cases!F271,"FAIL")+COUNTIFS(Test_Cases!F307,"FAIL")+COUNTIFS(Test_Cases!F308,"FAIL")+COUNTIFS(Test_Cases!F334,"FAIL")</x:f>
        <x:v>0</x:v>
      </x:c>
      <x:c r="I27" s="11" t="str">
        <x:v>Chưa nghiệm thu</x:v>
      </x:c>
    </x:row>
    <x:row r="28" ht="66" customHeight="1">
      <x:c r="A28" s="10" t="n">
        <x:v>22</x:v>
      </x:c>
      <x:c r="B28" s="10" t="str">
        <x:v>Duyệt/từ chối hồ sơ</x:v>
      </x:c>
      <x:c r="C28" s="10" t="str">
        <x:v>FR17, FR13, UC10, UC15, AC15, AC13</x:v>
      </x:c>
      <x:c r="D28" s="10" t="str">
        <x:v>TC13-FLEET-007, TC13-FLEET-008, TC13-FLEET-009, TC13-FLEET-010, TC13-FLEET-011, TC13-FLEET-012, TC13-FLEET-013, TC13-FLEET-014, TC13-FLEET-015, TC13-FLEET-016, TC13-FLEET-023, TC13-FLEET-024, TC13-FLEET-025, TC13-FLEET-026, TC13-FLEET-027, TC13-API-041, TC13-API-042, TC13-API-045, TC13-API-046, TC13-API-047, TC13-API-050, TC13-API-051, TC13-API-052, TC13-API-055, TC13-API-056, TC13-API-057, TC13-API-058, TC13-API-059</x:v>
      </x:c>
      <x:c r="E28" s="10" t="str">
        <x:v>Xem cột Bằng chứng cần có của từng ca; lưu request/response, trace và bằng chứng chạy thực.</x:v>
      </x:c>
      <x:c r="F28" s="10" t="n">
        <x:v>28</x:v>
      </x:c>
      <x:c r="G28" s="10" t="n">
        <x:f>COUNTIFS(Test_Cases!F56,"PASS")+COUNTIFS(Test_Cases!F57,"PASS")+COUNTIFS(Test_Cases!F58,"PASS")+COUNTIFS(Test_Cases!F59,"PASS")+COUNTIFS(Test_Cases!F60,"PASS")+COUNTIFS(Test_Cases!F61,"PASS")+COUNTIFS(Test_Cases!F62,"PASS")+COUNTIFS(Test_Cases!F63,"PASS")+COUNTIFS(Test_Cases!F64,"PASS")+COUNTIFS(Test_Cases!F65,"PASS")+COUNTIFS(Test_Cases!F72,"PASS")+COUNTIFS(Test_Cases!F73,"PASS")+COUNTIFS(Test_Cases!F74,"PASS")+COUNTIFS(Test_Cases!F75,"PASS")+COUNTIFS(Test_Cases!F76,"PASS")+COUNTIFS(Test_Cases!F305,"PASS")+COUNTIFS(Test_Cases!F306,"PASS")+COUNTIFS(Test_Cases!F309,"PASS")+COUNTIFS(Test_Cases!F310,"PASS")+COUNTIFS(Test_Cases!F311,"PASS")+COUNTIFS(Test_Cases!F314,"PASS")+COUNTIFS(Test_Cases!F315,"PASS")+COUNTIFS(Test_Cases!F316,"PASS")+COUNTIFS(Test_Cases!F319,"PASS")+COUNTIFS(Test_Cases!F320,"PASS")+COUNTIFS(Test_Cases!F321,"PASS")+COUNTIFS(Test_Cases!F322,"PASS")+COUNTIFS(Test_Cases!F323,"PASS")</x:f>
        <x:v>0</x:v>
      </x:c>
      <x:c r="H28" s="10" t="n">
        <x:f>COUNTIFS(Test_Cases!F56,"FAIL")+COUNTIFS(Test_Cases!F57,"FAIL")+COUNTIFS(Test_Cases!F58,"FAIL")+COUNTIFS(Test_Cases!F59,"FAIL")+COUNTIFS(Test_Cases!F60,"FAIL")+COUNTIFS(Test_Cases!F61,"FAIL")+COUNTIFS(Test_Cases!F62,"FAIL")+COUNTIFS(Test_Cases!F63,"FAIL")+COUNTIFS(Test_Cases!F64,"FAIL")+COUNTIFS(Test_Cases!F65,"FAIL")+COUNTIFS(Test_Cases!F72,"FAIL")+COUNTIFS(Test_Cases!F73,"FAIL")+COUNTIFS(Test_Cases!F74,"FAIL")+COUNTIFS(Test_Cases!F75,"FAIL")+COUNTIFS(Test_Cases!F76,"FAIL")+COUNTIFS(Test_Cases!F305,"FAIL")+COUNTIFS(Test_Cases!F306,"FAIL")+COUNTIFS(Test_Cases!F309,"FAIL")+COUNTIFS(Test_Cases!F310,"FAIL")+COUNTIFS(Test_Cases!F311,"FAIL")+COUNTIFS(Test_Cases!F314,"FAIL")+COUNTIFS(Test_Cases!F315,"FAIL")+COUNTIFS(Test_Cases!F316,"FAIL")+COUNTIFS(Test_Cases!F319,"FAIL")+COUNTIFS(Test_Cases!F320,"FAIL")+COUNTIFS(Test_Cases!F321,"FAIL")+COUNTIFS(Test_Cases!F322,"FAIL")+COUNTIFS(Test_Cases!F323,"FAIL")</x:f>
        <x:v>0</x:v>
      </x:c>
      <x:c r="I28" s="11" t="str">
        <x:v>Chưa nghiệm thu</x:v>
      </x:c>
    </x:row>
    <x:row r="29" ht="38" customHeight="1">
      <x:c r="A29" s="9" t="n">
        <x:v>23</x:v>
      </x:c>
      <x:c r="B29" s="9" t="str">
        <x:v>Bật/tắt nhận chuyến</x:v>
      </x:c>
      <x:c r="C29" s="9" t="str">
        <x:v>FR18, UC11, AC09</x:v>
      </x:c>
      <x:c r="D29" s="9" t="str">
        <x:v>TC13-FLEET-017, TC13-FLEET-018, TC13-FLEET-019, TC13-FLEET-020, TC13-FLEET-021, TC13-FLEET-022, TC13-API-054</x:v>
      </x:c>
      <x:c r="E29" s="9" t="str">
        <x:v>Xem cột Bằng chứng cần có của từng ca; lưu request/response, trace và bằng chứng chạy thực.</x:v>
      </x:c>
      <x:c r="F29" s="9" t="n">
        <x:v>7</x:v>
      </x:c>
      <x:c r="G29" s="9" t="n">
        <x:f>COUNTIFS(Test_Cases!F66,"PASS")+COUNTIFS(Test_Cases!F67,"PASS")+COUNTIFS(Test_Cases!F68,"PASS")+COUNTIFS(Test_Cases!F69,"PASS")+COUNTIFS(Test_Cases!F70,"PASS")+COUNTIFS(Test_Cases!F71,"PASS")+COUNTIFS(Test_Cases!F318,"PASS")</x:f>
        <x:v>0</x:v>
      </x:c>
      <x:c r="H29" s="9" t="n">
        <x:f>COUNTIFS(Test_Cases!F66,"FAIL")+COUNTIFS(Test_Cases!F67,"FAIL")+COUNTIFS(Test_Cases!F68,"FAIL")+COUNTIFS(Test_Cases!F69,"FAIL")+COUNTIFS(Test_Cases!F70,"FAIL")+COUNTIFS(Test_Cases!F71,"FAIL")+COUNTIFS(Test_Cases!F318,"FAIL")</x:f>
        <x:v>0</x:v>
      </x:c>
      <x:c r="I29" s="11" t="str">
        <x:v>Chưa nghiệm thu</x:v>
      </x:c>
    </x:row>
    <x:row r="30" ht="38" customHeight="1">
      <x:c r="A30" s="10" t="n">
        <x:v>24</x:v>
      </x:c>
      <x:c r="B30" s="10" t="str">
        <x:v>Bảo vệ dữ liệu lưu trữ và quản lý khóa</x:v>
      </x:c>
      <x:c r="C30" s="10" t="str">
        <x:v>NFR05, AC20</x:v>
      </x:c>
      <x:c r="D30" s="10" t="str">
        <x:v>TC13-AUTH-027, TC13-SEC-009, TC13-SEC-010, TC13-SEC-011, TC13-SEC-012, TC13-SEC-016, TC13-SEC-017, TC13-INFRA-007</x:v>
      </x:c>
      <x:c r="E30" s="10" t="str">
        <x:v>Xem cột Bằng chứng cần có của từng ca; lưu request/response, trace và bằng chứng chạy thực.</x:v>
      </x:c>
      <x:c r="F30" s="10" t="n">
        <x:v>8</x:v>
      </x:c>
      <x:c r="G30" s="10" t="n">
        <x:f>COUNTIFS(Test_Cases!F33,"PASS")+COUNTIFS(Test_Cases!F225,"PASS")+COUNTIFS(Test_Cases!F226,"PASS")+COUNTIFS(Test_Cases!F227,"PASS")+COUNTIFS(Test_Cases!F228,"PASS")+COUNTIFS(Test_Cases!F232,"PASS")+COUNTIFS(Test_Cases!F233,"PASS")+COUNTIFS(Test_Cases!F240,"PASS")</x:f>
        <x:v>0</x:v>
      </x:c>
      <x:c r="H30" s="10" t="n">
        <x:f>COUNTIFS(Test_Cases!F33,"FAIL")+COUNTIFS(Test_Cases!F225,"FAIL")+COUNTIFS(Test_Cases!F226,"FAIL")+COUNTIFS(Test_Cases!F227,"FAIL")+COUNTIFS(Test_Cases!F228,"FAIL")+COUNTIFS(Test_Cases!F232,"FAIL")+COUNTIFS(Test_Cases!F233,"FAIL")+COUNTIFS(Test_Cases!F240,"FAIL")</x:f>
        <x:v>0</x:v>
      </x:c>
      <x:c r="I30" s="11" t="str">
        <x:v>Chưa nghiệm thu</x:v>
      </x:c>
    </x:row>
    <x:row r="31" ht="38" customHeight="1">
      <x:c r="A31" s="9" t="n">
        <x:v>25</x:v>
      </x:c>
      <x:c r="B31" s="9" t="str">
        <x:v>SQL injection</x:v>
      </x:c>
      <x:c r="C31" s="9" t="str">
        <x:v>NFR15, AC20</x:v>
      </x:c>
      <x:c r="D31" s="9" t="str">
        <x:v>TC13-SEC-006, TC13-SEC-007</x:v>
      </x:c>
      <x:c r="E31" s="9" t="str">
        <x:v>Xem cột Bằng chứng cần có của từng ca; lưu request/response, trace và bằng chứng chạy thực.</x:v>
      </x:c>
      <x:c r="F31" s="9" t="n">
        <x:v>2</x:v>
      </x:c>
      <x:c r="G31" s="9" t="n">
        <x:f>COUNTIFS(Test_Cases!F222,"PASS")+COUNTIFS(Test_Cases!F223,"PASS")</x:f>
        <x:v>0</x:v>
      </x:c>
      <x:c r="H31" s="9" t="n">
        <x:f>COUNTIFS(Test_Cases!F222,"FAIL")+COUNTIFS(Test_Cases!F223,"FAIL")</x:f>
        <x:v>0</x:v>
      </x:c>
      <x:c r="I31" s="11" t="str">
        <x:v>Chưa nghiệm thu</x:v>
      </x:c>
    </x:row>
    <x:row r="32" ht="38" customHeight="1">
      <x:c r="A32" s="10" t="n">
        <x:v>26</x:v>
      </x:c>
      <x:c r="B32" s="10" t="str">
        <x:v>XSS</x:v>
      </x:c>
      <x:c r="C32" s="10" t="str">
        <x:v>NFR16, AC20</x:v>
      </x:c>
      <x:c r="D32" s="10" t="str">
        <x:v>TC13-SEC-008</x:v>
      </x:c>
      <x:c r="E32" s="10" t="str">
        <x:v>Xem cột Bằng chứng cần có của từng ca; lưu request/response, trace và bằng chứng chạy thực.</x:v>
      </x:c>
      <x:c r="F32" s="10" t="n">
        <x:v>1</x:v>
      </x:c>
      <x:c r="G32" s="10" t="n">
        <x:f>COUNTIFS(Test_Cases!F224,"PASS")</x:f>
        <x:v>0</x:v>
      </x:c>
      <x:c r="H32" s="10" t="n">
        <x:f>COUNTIFS(Test_Cases!F224,"FAIL")</x:f>
        <x:v>0</x:v>
      </x:c>
      <x:c r="I32" s="11" t="str">
        <x:v>Chưa nghiệm thu</x:v>
      </x:c>
    </x:row>
    <x:row r="33" ht="38" customHeight="1">
      <x:c r="A33" s="9" t="n">
        <x:v>27</x:v>
      </x:c>
      <x:c r="B33" s="9" t="str">
        <x:v>JWT tampering</x:v>
      </x:c>
      <x:c r="C33" s="9" t="str">
        <x:v>NFR04, AC20</x:v>
      </x:c>
      <x:c r="D33" s="9" t="str">
        <x:v>TC13-SEC-001, TC13-SEC-002</x:v>
      </x:c>
      <x:c r="E33" s="9" t="str">
        <x:v>Xem cột Bằng chứng cần có của từng ca; lưu request/response, trace và bằng chứng chạy thực.</x:v>
      </x:c>
      <x:c r="F33" s="9" t="n">
        <x:v>2</x:v>
      </x:c>
      <x:c r="G33" s="9" t="n">
        <x:f>COUNTIFS(Test_Cases!F217,"PASS")+COUNTIFS(Test_Cases!F218,"PASS")</x:f>
        <x:v>0</x:v>
      </x:c>
      <x:c r="H33" s="9" t="n">
        <x:f>COUNTIFS(Test_Cases!F217,"FAIL")+COUNTIFS(Test_Cases!F218,"FAIL")</x:f>
        <x:v>0</x:v>
      </x:c>
      <x:c r="I33" s="11" t="str">
        <x:v>Chưa nghiệm thu</x:v>
      </x:c>
    </x:row>
    <x:row r="34" ht="38" customHeight="1">
      <x:c r="A34" s="10" t="n">
        <x:v>28</x:v>
      </x:c>
      <x:c r="B34" s="10" t="str">
        <x:v>Truy cập API sai quyền</x:v>
      </x:c>
      <x:c r="C34" s="10" t="str">
        <x:v>FR01.7, NFR04, AC20</x:v>
      </x:c>
      <x:c r="D34" s="10" t="str">
        <x:v>TC13-AUTH-023, TC13-AUTH-024, TC13-AUTH-030, TC13-FLEET-029, TC13-FLEET-030, TC13-FLEET-031, TC13-SEC-003, TC13-SEC-004, TC13-SEC-005, TC13-API-048, TC13-API-049</x:v>
      </x:c>
      <x:c r="E34" s="10" t="str">
        <x:v>Xem cột Bằng chứng cần có của từng ca; lưu request/response, trace và bằng chứng chạy thực.</x:v>
      </x:c>
      <x:c r="F34" s="10" t="n">
        <x:v>11</x:v>
      </x:c>
      <x:c r="G34" s="10" t="n">
        <x:f>COUNTIFS(Test_Cases!F29,"PASS")+COUNTIFS(Test_Cases!F30,"PASS")+COUNTIFS(Test_Cases!F36,"PASS")+COUNTIFS(Test_Cases!F78,"PASS")+COUNTIFS(Test_Cases!F79,"PASS")+COUNTIFS(Test_Cases!F80,"PASS")+COUNTIFS(Test_Cases!F219,"PASS")+COUNTIFS(Test_Cases!F220,"PASS")+COUNTIFS(Test_Cases!F221,"PASS")+COUNTIFS(Test_Cases!F312,"PASS")+COUNTIFS(Test_Cases!F313,"PASS")</x:f>
        <x:v>0</x:v>
      </x:c>
      <x:c r="H34" s="10" t="n">
        <x:f>COUNTIFS(Test_Cases!F29,"FAIL")+COUNTIFS(Test_Cases!F30,"FAIL")+COUNTIFS(Test_Cases!F36,"FAIL")+COUNTIFS(Test_Cases!F78,"FAIL")+COUNTIFS(Test_Cases!F79,"FAIL")+COUNTIFS(Test_Cases!F80,"FAIL")+COUNTIFS(Test_Cases!F219,"FAIL")+COUNTIFS(Test_Cases!F220,"FAIL")+COUNTIFS(Test_Cases!F221,"FAIL")+COUNTIFS(Test_Cases!F312,"FAIL")+COUNTIFS(Test_Cases!F313,"FAIL")</x:f>
        <x:v>0</x:v>
      </x:c>
      <x:c r="I34" s="11" t="str">
        <x:v>Chưa nghiệm thu</x:v>
      </x:c>
    </x:row>
    <x:row r="35" ht="38" customHeight="1">
      <x:c r="A35" s="9" t="n">
        <x:v>29</x:v>
      </x:c>
      <x:c r="B35" s="9" t="str">
        <x:v>Rate limit</x:v>
      </x:c>
      <x:c r="C35" s="9" t="str">
        <x:v>NFR17, AC20</x:v>
      </x:c>
      <x:c r="D35" s="9" t="str">
        <x:v>TC13-SEC-013, TC13-SEC-014, TC13-SEC-015, TC13-PERF-002</x:v>
      </x:c>
      <x:c r="E35" s="9" t="str">
        <x:v>Xem cột Bằng chứng cần có của từng ca; lưu request/response, trace và bằng chứng chạy thực.</x:v>
      </x:c>
      <x:c r="F35" s="9" t="n">
        <x:v>4</x:v>
      </x:c>
      <x:c r="G35" s="9" t="n">
        <x:f>COUNTIFS(Test_Cases!F229,"PASS")+COUNTIFS(Test_Cases!F230,"PASS")+COUNTIFS(Test_Cases!F231,"PASS")+COUNTIFS(Test_Cases!F259,"PASS")</x:f>
        <x:v>0</x:v>
      </x:c>
      <x:c r="H35" s="9" t="n">
        <x:f>COUNTIFS(Test_Cases!F229,"FAIL")+COUNTIFS(Test_Cases!F230,"FAIL")+COUNTIFS(Test_Cases!F231,"FAIL")+COUNTIFS(Test_Cases!F259,"FAIL")</x:f>
        <x:v>0</x:v>
      </x:c>
      <x:c r="I35" s="11" t="str">
        <x:v>Chưa nghiệm thu</x:v>
      </x:c>
    </x:row>
    <x:row r="36" ht="80" customHeight="1">
      <x:c r="A36" s="10" t="n">
        <x:v>30</x:v>
      </x:c>
      <x:c r="B36" s="10" t="str">
        <x:v>Replay/idempotency thanh toán</x:v>
      </x:c>
      <x:c r="C36" s="10" t="str">
        <x:v>FR12, FR28, NFR03, NFR18, AC06, AC20, AC21</x:v>
      </x:c>
      <x:c r="D36" s="10" t="str">
        <x:v>TC13-PAY-009, TC13-PAY-010, TC13-PAY-011, TC13-PAY-012, TC13-PAY-013, TC13-PAY-014, TC13-PAY-015, TC13-PAY-016, TC13-PAY-017, TC13-PAY-018, TC13-PAY-019, TC13-PAY-024, TC13-PAY-025, TC13-PAY-026, TC13-PAY-027, TC13-PAY-028, TC13-PAY-029, TC13-SAGA-001, TC13-SAGA-002, TC13-SAGA-003, TC13-SAGA-004, TC13-SAGA-005, TC13-SAGA-006, TC13-SAGA-007, TC13-SAGA-008, TC13-SAGA-009, TC13-SAGA-010, TC13-SAGA-011, TC13-API-033, TC13-API-034, TC13-API-035, TC13-API-036, TC13-API-037, TC13-API-038, TC13-API-039, TC13-API-040</x:v>
      </x:c>
      <x:c r="E36" s="10" t="str">
        <x:v>Xem cột Bằng chứng cần có của từng ca; lưu request/response, trace và bằng chứng chạy thực.</x:v>
      </x:c>
      <x:c r="F36" s="10" t="n">
        <x:v>36</x:v>
      </x:c>
      <x:c r="G36" s="10" t="n">
        <x:f>COUNTIFS(Test_Cases!F159,"PASS")+COUNTIFS(Test_Cases!F160,"PASS")+COUNTIFS(Test_Cases!F161,"PASS")+COUNTIFS(Test_Cases!F162,"PASS")+COUNTIFS(Test_Cases!F163,"PASS")+COUNTIFS(Test_Cases!F164,"PASS")+COUNTIFS(Test_Cases!F165,"PASS")+COUNTIFS(Test_Cases!F166,"PASS")+COUNTIFS(Test_Cases!F167,"PASS")+COUNTIFS(Test_Cases!F168,"PASS")+COUNTIFS(Test_Cases!F169,"PASS")+COUNTIFS(Test_Cases!F174,"PASS")+COUNTIFS(Test_Cases!F175,"PASS")+COUNTIFS(Test_Cases!F176,"PASS")+COUNTIFS(Test_Cases!F177,"PASS")+COUNTIFS(Test_Cases!F178,"PASS")+COUNTIFS(Test_Cases!F179,"PASS")+COUNTIFS(Test_Cases!F206,"PASS")+COUNTIFS(Test_Cases!F207,"PASS")+COUNTIFS(Test_Cases!F208,"PASS")+COUNTIFS(Test_Cases!F209,"PASS")+COUNTIFS(Test_Cases!F210,"PASS")+COUNTIFS(Test_Cases!F211,"PASS")+COUNTIFS(Test_Cases!F212,"PASS")+COUNTIFS(Test_Cases!F213,"PASS")+COUNTIFS(Test_Cases!F214,"PASS")+COUNTIFS(Test_Cases!F215,"PASS")+COUNTIFS(Test_Cases!F216,"PASS")+COUNTIFS(Test_Cases!F297,"PASS")+COUNTIFS(Test_Cases!F298,"PASS")+COUNTIFS(Test_Cases!F299,"PASS")+COUNTIFS(Test_Cases!F300,"PASS")+COUNTIFS(Test_Cases!F301,"PASS")+COUNTIFS(Test_Cases!F302,"PASS")+COUNTIFS(Test_Cases!F303,"PASS")+COUNTIFS(Test_Cases!F304,"PASS")</x:f>
        <x:v>0</x:v>
      </x:c>
      <x:c r="H36" s="10" t="n">
        <x:f>COUNTIFS(Test_Cases!F159,"FAIL")+COUNTIFS(Test_Cases!F160,"FAIL")+COUNTIFS(Test_Cases!F161,"FAIL")+COUNTIFS(Test_Cases!F162,"FAIL")+COUNTIFS(Test_Cases!F163,"FAIL")+COUNTIFS(Test_Cases!F164,"FAIL")+COUNTIFS(Test_Cases!F165,"FAIL")+COUNTIFS(Test_Cases!F166,"FAIL")+COUNTIFS(Test_Cases!F167,"FAIL")+COUNTIFS(Test_Cases!F168,"FAIL")+COUNTIFS(Test_Cases!F169,"FAIL")+COUNTIFS(Test_Cases!F174,"FAIL")+COUNTIFS(Test_Cases!F175,"FAIL")+COUNTIFS(Test_Cases!F176,"FAIL")+COUNTIFS(Test_Cases!F177,"FAIL")+COUNTIFS(Test_Cases!F178,"FAIL")+COUNTIFS(Test_Cases!F179,"FAIL")+COUNTIFS(Test_Cases!F206,"FAIL")+COUNTIFS(Test_Cases!F207,"FAIL")+COUNTIFS(Test_Cases!F208,"FAIL")+COUNTIFS(Test_Cases!F209,"FAIL")+COUNTIFS(Test_Cases!F210,"FAIL")+COUNTIFS(Test_Cases!F211,"FAIL")+COUNTIFS(Test_Cases!F212,"FAIL")+COUNTIFS(Test_Cases!F213,"FAIL")+COUNTIFS(Test_Cases!F214,"FAIL")+COUNTIFS(Test_Cases!F215,"FAIL")+COUNTIFS(Test_Cases!F216,"FAIL")+COUNTIFS(Test_Cases!F297,"FAIL")+COUNTIFS(Test_Cases!F298,"FAIL")+COUNTIFS(Test_Cases!F299,"FAIL")+COUNTIFS(Test_Cases!F300,"FAIL")+COUNTIFS(Test_Cases!F301,"FAIL")+COUNTIFS(Test_Cases!F302,"FAIL")+COUNTIFS(Test_Cases!F303,"FAIL")+COUNTIFS(Test_Cases!F304,"FAIL")</x:f>
        <x:v>0</x:v>
      </x:c>
      <x:c r="I36" s="11" t="str">
        <x:v>Chưa nghiệm thu</x:v>
      </x:c>
    </x:row>
  </x:sheetData>
  <x:dataValidations count="1">
    <x:dataValidation type="list" sqref="I7:I36">
      <x:formula1>"Chưa nghiệm thu,Đạt,Chưa đạt,Bị chặn"</x:formula1>
    </x:dataValidation>
  </x:dataValidations>
  <x:pageMargins left="0.7" right="0.7" top="0.75" bottom="0.75" header="0.3" footer="0.3"/>
  <x:tableParts count="1">
    <x:tablePart xmlns:r="http://schemas.openxmlformats.org/officeDocument/2006/relationships" r:id="R0612a76415f6406b"/>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2" hidden="0" customWidth="1"/>
    <x:col min="2" max="2" width="34" hidden="0" customWidth="1"/>
    <x:col min="3" max="3" width="80" hidden="0" customWidth="1"/>
    <x:col min="4" max="4" width="80" hidden="0" customWidth="1"/>
    <x:col min="5" max="5" width="17" hidden="0" customWidth="1"/>
    <x:col min="6" max="6" width="70" hidden="0" customWidth="1"/>
    <x:col min="7" max="7" width="30" hidden="0" customWidth="1"/>
    <x:col min="8" max="8" width="65" hidden="0" customWidth="1"/>
  </x:cols>
  <x:sheetData>
    <x:row r="2">
      <x:c r="A2" s="1" t="str">
        <x:v>Quyết định còn mở và khác biệt tài liệu</x:v>
      </x:c>
    </x:row>
    <x:row r="4">
      <x:c r="A4" t="str">
        <x:v>OPEN không đồng nghĩa lỗi triển khai. Chốt hợp đồng, cập nhật ca bị ảnh hưởng rồi mới chuyển thiết kế sang DEFINED.</x:v>
      </x:c>
    </x:row>
    <x:row r="6" ht="32" customHeight="1">
      <x:c r="A6" s="8" t="str">
        <x:v>Mã</x:v>
      </x:c>
      <x:c r="B6" s="8" t="str">
        <x:v>Chủ đề</x:v>
      </x:c>
      <x:c r="C6" s="8" t="str">
        <x:v>Vấn đề / điều chưa chốt</x:v>
      </x:c>
      <x:c r="D6" s="8" t="str">
        <x:v>Điều kiện để đóng</x:v>
      </x:c>
      <x:c r="E6" s="8" t="str">
        <x:v>Trạng thái</x:v>
      </x:c>
      <x:c r="F6" s="8" t="str">
        <x:v>Nguồn</x:v>
      </x:c>
      <x:c r="G6" s="8" t="str">
        <x:v>Người quyết định</x:v>
      </x:c>
      <x:c r="H6" s="8" t="str">
        <x:v>Quyết định đã duyệt</x:v>
      </x:c>
    </x:row>
    <x:row r="7" ht="34" customHeight="1">
      <x:c r="A7" s="9" t="str">
        <x:v>D01</x:v>
      </x:c>
      <x:c r="B7" s="9" t="str">
        <x:v>Nhà cung cấp OTP</x:v>
      </x:c>
      <x:c r="C7" s="9" t="str">
        <x:v>Provider/kênh, sandbox, timeout/retry và evidence gửi thật chưa chốt.</x:v>
      </x:c>
      <x:c r="D7" s="9" t="str">
        <x:v>Chốt adapter và oracle SMS. Test OTP nội bộ vẫn có thể dùng mock có nhãn.</x:v>
      </x:c>
      <x:c r="E7" s="17" t="str">
        <x:v>OPEN</x:v>
      </x:c>
      <x:c r="F7" s="9" t="str">
        <x:v>MSD 15 D01; API01</x:v>
      </x:c>
      <x:c r="G7" s="11" t="str"/>
      <x:c r="H7" s="11" t="str"/>
    </x:row>
    <x:row r="8" ht="34" customHeight="1">
      <x:c r="A8" s="10" t="str">
        <x:v>D02</x:v>
      </x:c>
      <x:c r="B8" s="10" t="str">
        <x:v>Nhà cung cấp thanh toán</x:v>
      </x:c>
      <x:c r="C8" s="10" t="str">
        <x:v>Chữ ký/webhook/ACK, trạng thái cuối, idempotency, truy vấn giao dịch và sandbox chưa chốt.</x:v>
      </x:c>
      <x:c r="D8" s="10" t="str">
        <x:v>Chốt hợp đồng provider trước test online thực; giữ UNKNOWN khi chưa rõ.</x:v>
      </x:c>
      <x:c r="E8" s="17" t="str">
        <x:v>OPEN</x:v>
      </x:c>
      <x:c r="F8" s="10" t="str">
        <x:v>MSD 15 D02; API05</x:v>
      </x:c>
      <x:c r="G8" s="11" t="str"/>
      <x:c r="H8" s="11" t="str"/>
    </x:row>
    <x:row r="9" ht="34" customHeight="1">
      <x:c r="A9" s="9" t="str">
        <x:v>D03</x:v>
      </x:c>
      <x:c r="B9" s="9" t="str">
        <x:v>JourneyMetrics</x:v>
      </x:c>
      <x:c r="C9" s="9" t="str">
        <x:v>Thuật toán quãng đường, chất lượng GPS, khoảng ERROR và review chưa chốt.</x:v>
      </x:c>
      <x:c r="D9" s="9" t="str">
        <x:v>Lập golden GPS dataset với expected distance/duration/quality trước kiểm chứng thuật toán.</x:v>
      </x:c>
      <x:c r="E9" s="17" t="str">
        <x:v>OPEN</x:v>
      </x:c>
      <x:c r="F9" s="9" t="str">
        <x:v>MSD 7.2,15 D03; API04/05</x:v>
      </x:c>
      <x:c r="G9" s="11" t="str"/>
      <x:c r="H9" s="11" t="str"/>
    </x:row>
    <x:row r="10" ht="34" customHeight="1">
      <x:c r="A10" s="10" t="str">
        <x:v>D04</x:v>
      </x:c>
      <x:c r="B10" s="10" t="str">
        <x:v>Hợp đồng gRPC và danh tính dịch vụ</x:v>
      </x:c>
      <x:c r="C10" s="10" t="str">
        <x:v>.proto, scope/audience, metadata, deadline và mapping lỗi chưa hoàn chỉnh.</x:v>
      </x:c>
      <x:c r="D10" s="10" t="str">
        <x:v>Duyệt protobuf/auth/error mapping; không tạo HTTP nội bộ thay thế tùy ý.</x:v>
      </x:c>
      <x:c r="E10" s="17" t="str">
        <x:v>OPEN</x:v>
      </x:c>
      <x:c r="F10" s="10" t="str">
        <x:v>MSD 3.4,15 D04; API08 x-internal-contracts</x:v>
      </x:c>
      <x:c r="G10" s="11" t="str"/>
      <x:c r="H10" s="11" t="str"/>
    </x:row>
    <x:row r="11" ht="34" customHeight="1">
      <x:c r="A11" s="9" t="str">
        <x:v>D05</x:v>
      </x:c>
      <x:c r="B11" s="9" t="str">
        <x:v>Operation và HTTP 202</x:v>
      </x:c>
      <x:c r="C11" s="9" t="str">
        <x:v>YAML đã thêm operation/proof nhưng vẫn ghi bản xem trước; MSD 6.9 còn ghi chưa có YAML.</x:v>
      </x:c>
      <x:c r="D11" s="9" t="str">
        <x:v>Duyệt API 01–03/07, recovery proof, timeout/wait budget và cập nhật SRS/MSD.</x:v>
      </x:c>
      <x:c r="E11" s="17" t="str">
        <x:v>OPEN</x:v>
      </x:c>
      <x:c r="F11" s="9" t="str">
        <x:v>API01–03,07; MSD 6.9</x:v>
      </x:c>
      <x:c r="G11" s="11" t="str"/>
      <x:c r="H11" s="11" t="str"/>
    </x:row>
    <x:row r="12" ht="34" customHeight="1">
      <x:c r="A12" s="10" t="str">
        <x:v>D06</x:v>
      </x:c>
      <x:c r="B12" s="10" t="str">
        <x:v>Saga và reservation</x:v>
      </x:c>
      <x:c r="C12" s="10" t="str">
        <x:v>Generation, điểm quyết định, bù, tiếp quản và các RPC chưa có hợp đồng thực thi đầy đủ.</x:v>
      </x:c>
      <x:c r="D12" s="10" t="str">
        <x:v>Duyệt state machine/ma trận bù; thiết kế fault injection trước/sau từng commit.</x:v>
      </x:c>
      <x:c r="E12" s="17" t="str">
        <x:v>OPEN</x:v>
      </x:c>
      <x:c r="F12" s="10" t="str">
        <x:v>MSD 6,14,15 D06</x:v>
      </x:c>
      <x:c r="G12" s="11" t="str"/>
      <x:c r="H12" s="11" t="str"/>
    </x:row>
    <x:row r="13" ht="34" customHeight="1">
      <x:c r="A13" s="9" t="str">
        <x:v>D07</x:v>
      </x:c>
      <x:c r="B13" s="9" t="str">
        <x:v>Account lock và lệnh in-flight</x:v>
      </x:c>
      <x:c r="C13" s="9" t="str">
        <x:v>Chưa chốt chính sách lệnh đã được cấp quyền nhưng chưa commit khi Account khóa.</x:v>
      </x:c>
      <x:c r="D13" s="9" t="str">
        <x:v>Chốt authorization point và oracle cho race; không yêu cầu atomic xuyên DB.</x:v>
      </x:c>
      <x:c r="E13" s="17" t="str">
        <x:v>OPEN</x:v>
      </x:c>
      <x:c r="F13" s="9" t="str">
        <x:v>MSD 6.7,15 D07; API07/08</x:v>
      </x:c>
      <x:c r="G13" s="11" t="str"/>
      <x:c r="H13" s="11" t="str"/>
    </x:row>
    <x:row r="14" ht="34" customHeight="1">
      <x:c r="A14" s="10" t="str">
        <x:v>D08</x:v>
      </x:c>
      <x:c r="B14" s="10" t="str">
        <x:v>Retention/retry/backup/key rotation</x:v>
      </x:c>
      <x:c r="C14" s="10" t="str">
        <x:v>Thời hạn bằng chứng, tombstone, callback, retry/backoff và phục hồi cần cụ thể hóa.</x:v>
      </x:c>
      <x:c r="D14" s="10" t="str">
        <x:v>Chốt cửa sổ lưu; không dọn pending hoặc bằng chứng còn khả năng replay/callback.</x:v>
      </x:c>
      <x:c r="E14" s="17" t="str">
        <x:v>OPEN</x:v>
      </x:c>
      <x:c r="F14" s="10" t="str">
        <x:v>MSD 11.4,15 D08; API01–08</x:v>
      </x:c>
      <x:c r="G14" s="11" t="str"/>
      <x:c r="H14" s="11" t="str"/>
    </x:row>
    <x:row r="15" ht="34" customHeight="1">
      <x:c r="A15" s="9" t="str">
        <x:v>D09</x:v>
      </x:c>
      <x:c r="B15" s="9" t="str">
        <x:v>Event nhiều producer v2</x:v>
      </x:c>
      <x:c r="C15" s="9" t="str">
        <x:v>API06 đã có v2; MSD 8.2 còn mô tả CAB_CORE và cần chốt cutover/route.</x:v>
      </x:c>
      <x:c r="D15" s="9" t="str">
        <x:v>Duyệt producer matrix/broker ACL/schema và contract tests; giữ eventId khi chuyển đổi.</x:v>
      </x:c>
      <x:c r="E15" s="17" t="str">
        <x:v>OPEN</x:v>
      </x:c>
      <x:c r="F15" s="9" t="str">
        <x:v>API06 x-rabbitmq-contract; MSD 8.2</x:v>
      </x:c>
      <x:c r="G15" s="11" t="str"/>
      <x:c r="H15" s="11" t="str"/>
    </x:row>
    <x:row r="16" ht="38" customHeight="1">
      <x:c r="A16" s="10" t="str">
        <x:v>D10</x:v>
      </x:c>
      <x:c r="B16" s="10" t="str">
        <x:v>Thông số và demo XSS/tải</x:v>
      </x:c>
      <x:c r="C16" s="10" t="str">
        <x:v>Thông số MVP là đề xuất; UI XSS và cấu hình tải cần xác nhận.</x:v>
      </x:c>
      <x:c r="D16" s="10" t="str">
        <x:v>Chốt 5km/30s/5 lượt/180s, freshness, limiter và môi trường đo; đo thực, không suy ra từ cấu hình.</x:v>
      </x:c>
      <x:c r="E16" s="17" t="str">
        <x:v>OPEN</x:v>
      </x:c>
      <x:c r="F16" s="10" t="str">
        <x:v>SRS 4.5,B10; MSD 15 D10</x:v>
      </x:c>
      <x:c r="G16" s="11" t="str"/>
      <x:c r="H16" s="11" t="str"/>
    </x:row>
    <x:row r="17" ht="38" customHeight="1">
      <x:c r="A17" s="9" t="str">
        <x:v>G01</x:v>
      </x:c>
      <x:c r="B17" s="9" t="str">
        <x:v>Owner /drivers/nearby</x:v>
      </x:c>
      <x:c r="C17" s="9" t="str">
        <x:v>MSD mục 9 giao Booking; API03 x-owner-service giao Driver.</x:v>
      </x:c>
      <x:c r="D17" s="9" t="str">
        <x:v>Chốt route/owner; ca nghiệp vụ không phụ thuộc owner vẫn giữ, kiểm IPC theo owner đã duyệt.</x:v>
      </x:c>
      <x:c r="E17" s="17" t="str">
        <x:v>OPEN</x:v>
      </x:c>
      <x:c r="F17" s="9" t="str">
        <x:v>MSD 9; API03 GET /drivers/nearby</x:v>
      </x:c>
      <x:c r="G17" s="11" t="str"/>
      <x:c r="H17" s="11" t="str"/>
    </x:row>
    <x:row r="18" ht="34" customHeight="1">
      <x:c r="A18" s="10" t="str">
        <x:v>G02</x:v>
      </x:c>
      <x:c r="B18" s="10" t="str">
        <x:v>Owner đăng ký Driver</x:v>
      </x:c>
      <x:c r="C18" s="10" t="str">
        <x:v>MSD mục 9 ghi Driver là cửa vào; API07 POST giao Identity coordinator.</x:v>
      </x:c>
      <x:c r="D18" s="10" t="str">
        <x:v>Chốt Gateway→Identity hay façade Driver; Identity vẫn sở hữu OTP/Account/operation.</x:v>
      </x:c>
      <x:c r="E18" s="17" t="str">
        <x:v>OPEN</x:v>
      </x:c>
      <x:c r="F18" s="10" t="str">
        <x:v>MSD 9; API07 POST /driver-applications</x:v>
      </x:c>
      <x:c r="G18" s="11" t="str"/>
      <x:c r="H18" s="11" t="str"/>
    </x:row>
    <x:row r="19" ht="38" customHeight="1">
      <x:c r="A19" s="9" t="str">
        <x:v>G03</x:v>
      </x:c>
      <x:c r="B19" s="9" t="str">
        <x:v>Rating còn tên REST nội bộ cũ</x:v>
      </x:c>
      <x:c r="C19" s="9" t="str">
        <x:v>Mô tả GET drivers/me/ratings còn nhắc /internal/rating/identity dù x-internal-contracts quy định gRPC.</x:v>
      </x:c>
      <x:c r="D19" s="9" t="str">
        <x:v>Đồng bộ mô tả; không cài route HTTP cũ làm hợp đồng hiện hành.</x:v>
      </x:c>
      <x:c r="E19" s="17" t="str">
        <x:v>OPEN</x:v>
      </x:c>
      <x:c r="F19" s="9" t="str">
        <x:v>API08 GET /drivers/me/ratings; x-internal-contracts</x:v>
      </x:c>
      <x:c r="G19" s="11" t="str"/>
      <x:c r="H19" s="11" t="str"/>
    </x:row>
    <x:row r="20" ht="34" customHeight="1">
      <x:c r="A20" s="10" t="str">
        <x:v>G04</x:v>
      </x:c>
      <x:c r="B20" s="10" t="str">
        <x:v>Health worker tách process</x:v>
      </x:c>
      <x:c r="C20" s="10" t="str">
        <x:v>MSD/SRS yêu cầu bổ sung worker nếu tách; API07 enum cố định 12 và worker gộp MS.</x:v>
      </x:c>
      <x:c r="D20" s="10" t="str">
        <x:v>Chốt cách thể hiện worker theo topology triển khai trước nghiệm thu.</x:v>
      </x:c>
      <x:c r="E20" s="17" t="str">
        <x:v>OPEN</x:v>
      </x:c>
      <x:c r="F20" s="10" t="str">
        <x:v>MSD 11.3; SRS FR27; API07 SystemHealth</x:v>
      </x:c>
      <x:c r="G20" s="11" t="str"/>
      <x:c r="H20" s="11" t="str"/>
    </x:row>
    <x:row r="21" ht="38" customHeight="1">
      <x:c r="A21" s="9" t="str">
        <x:v>G05</x:v>
      </x:c>
      <x:c r="B21" s="9" t="str">
        <x:v>Phê duyệt API 1.3.0</x:v>
      </x:c>
      <x:c r="C21" s="9" t="str">
        <x:v>Tám YAML ghi bản xem trước cần duyệt. DEFINED nghĩa đủ mô tả để soạn ca, không là phê duyệt hay PASS.</x:v>
      </x:c>
      <x:c r="D21" s="9" t="str">
        <x:v>Chủ dự án xác nhận baseline API trước thực thi/nghiệm thu.</x:v>
      </x:c>
      <x:c r="E21" s="17" t="str">
        <x:v>OPEN</x:v>
      </x:c>
      <x:c r="F21" s="9" t="str">
        <x:v>API01–08 info.description</x:v>
      </x:c>
      <x:c r="G21" s="11" t="str"/>
      <x:c r="H21" s="11" t="str"/>
    </x:row>
    <x:row r="22" ht="34" customHeight="1">
      <x:c r="A22" s="10" t="str">
        <x:v>G06</x:v>
      </x:c>
      <x:c r="B22" s="10" t="str">
        <x:v>Vùng phục vụ và dữ liệu bản đồ</x:v>
      </x:c>
      <x:c r="C22" s="10" t="str">
        <x:v>Booking yêu cầu tuyến thuộc vùng phục vụ; tài liệu chưa có polygon/biên áp dụng cụ thể.</x:v>
      </x:c>
      <x:c r="D22" s="10" t="str">
        <x:v>Chốt dữ liệu vùng và quy tắc điểm đúng biên; không tự chọn địa giới làm oracle.</x:v>
      </x:c>
      <x:c r="E22" s="17" t="str">
        <x:v>OPEN</x:v>
      </x:c>
      <x:c r="F22" s="10" t="str">
        <x:v>API02 POST /bookings</x:v>
      </x:c>
      <x:c r="G22" s="11" t="str"/>
      <x:c r="H22" s="11" t="str"/>
    </x:row>
  </x:sheetData>
  <x:dataValidations count="1">
    <x:dataValidation type="list" sqref="E7:E22">
      <x:formula1>"OPEN,RESOLVED,DEFERRED"</x:formula1>
    </x:dataValidation>
  </x:dataValidations>
  <x:pageMargins left="0.7" right="0.7" top="0.75" bottom="0.75" header="0.3" footer="0.3"/>
  <x:tableParts count="1">
    <x:tablePart xmlns:r="http://schemas.openxmlformats.org/officeDocument/2006/relationships" r:id="R067704989808496c"/>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3" hidden="0" customWidth="1"/>
    <x:col min="2" max="2" width="20" hidden="0" customWidth="1"/>
    <x:col min="3" max="3" width="110" hidden="0" customWidth="1"/>
    <x:col min="4" max="4" width="100" hidden="0" customWidth="1"/>
  </x:cols>
  <x:sheetData>
    <x:row r="2">
      <x:c r="A2" s="1" t="str">
        <x:v>Dữ liệu và điều kiện kiểm thử</x:v>
      </x:c>
    </x:row>
    <x:row r="4">
      <x:c r="A4" t="str">
        <x:v>Tất cả ID/tài khoản/giá/tọa độ dưới đây là fixture đề xuất. Thay placeholder bằng dữ liệu test và không lưu bí mật thật trong file.</x:v>
      </x:c>
    </x:row>
    <x:row r="6" ht="32" customHeight="1">
      <x:c r="A6" s="8" t="str">
        <x:v>Fixture</x:v>
      </x:c>
      <x:c r="B6" s="8" t="str">
        <x:v>Loại</x:v>
      </x:c>
      <x:c r="C6" s="8" t="str">
        <x:v>Giá trị / trạng thái cần chuẩn bị</x:v>
      </x:c>
      <x:c r="D6" s="8" t="str">
        <x:v>Quy tắc sử dụng</x:v>
      </x:c>
    </x:row>
    <x:row r="7" ht="34" customHeight="1">
      <x:c r="A7" s="9" t="str">
        <x:v>BASE</x:v>
      </x:c>
      <x:c r="B7" s="9" t="str">
        <x:v>Môi trường</x:v>
      </x:c>
      <x:c r="C7" s="9" t="str">
        <x:v>Gateway /v1; health ở gốc; tám service + PostgreSQL/Redis/RabbitMQ; UTC server clock; isolation theo test run.</x:v>
      </x:c>
      <x:c r="D7" s="9" t="str">
        <x:v>Ghi build SHA, env, cấu hình, seed version trước chạy. Không mặc định đã có hệ thống chạy.</x:v>
      </x:c>
    </x:row>
    <x:row r="8" ht="34" customHeight="1">
      <x:c r="A8" s="10" t="str">
        <x:v>C_A / C_B</x:v>
      </x:c>
      <x:c r="B8" s="10" t="str">
        <x:v>Tài khoản</x:v>
      </x:c>
      <x:c r="C8" s="10" t="str">
        <x:v>Hai CUSTOMER ACTIVE, mỗi người một Customer profile, Session hợp lệ; dữ liệu độc lập.</x:v>
      </x:c>
      <x:c r="D8" s="10" t="str">
        <x:v>C_A sở hữu đối tượng chính; C_B thử ngoài quyền. Email cab.a@example.com/cab.b@example.com là dữ liệu giả.</x:v>
      </x:c>
    </x:row>
    <x:row r="9" ht="34" customHeight="1">
      <x:c r="A9" s="9" t="str">
        <x:v>O_A</x:v>
      </x:c>
      <x:c r="B9" s="9" t="str">
        <x:v>Tài khoản</x:v>
      </x:c>
      <x:c r="C9" s="9" t="str">
        <x:v>OPERATOR ACTIVE cấp bằng seed quản trị; không đăng ký công khai.</x:v>
      </x:c>
      <x:c r="D9" s="9" t="str">
        <x:v>Chỉ quyền vận hành trong API, không xác nhận CASH thay Driver.</x:v>
      </x:c>
    </x:row>
    <x:row r="10" ht="34" customHeight="1">
      <x:c r="A10" s="10" t="str">
        <x:v>D_A / D_B</x:v>
      </x:c>
      <x:c r="B10" s="10" t="str">
        <x:v>Tài xế</x:v>
      </x:c>
      <x:c r="C10" s="10" t="str">
        <x:v>Hai DRIVER ACTIVE/APPROVED, xe ACTIVE đúng loại, AVAILABLE, GPS ≤30s, chưa reservation.</x:v>
      </x:c>
      <x:c r="D10" s="10" t="str">
        <x:v>Tạo biến thể OFFLINE/BUSY trong ca riêng; token và ID lấy sau seed/login.</x:v>
      </x:c>
    </x:row>
    <x:row r="11" ht="34" customHeight="1">
      <x:c r="A11" s="9" t="str">
        <x:v>D_PENDING / D_REJECTED</x:v>
      </x:c>
      <x:c r="B11" s="9" t="str">
        <x:v>Tài xế</x:v>
      </x:c>
      <x:c r="C11" s="9" t="str">
        <x:v>Account ACTIVE; Driver PENDING_APPROVAL/REJECTED; OFFLINE.</x:v>
      </x:c>
      <x:c r="D11" s="9" t="str">
        <x:v>Được login/đọc hồ sơ, không được online/accept.</x:v>
      </x:c>
    </x:row>
    <x:row r="12" ht="34" customHeight="1">
      <x:c r="A12" s="10" t="str">
        <x:v>V_FREE / V_ASSIGNED</x:v>
      </x:c>
      <x:c r="B12" s="10" t="str">
        <x:v>Xe</x:v>
      </x:c>
      <x:c r="C12" s="10" t="str">
        <x:v>Xe ACTIVE STANDARD chưa gán và xe có VehicleAssignment hiện hành.</x:v>
      </x:c>
      <x:c r="D12" s="10" t="str">
        <x:v>Biển số giả unique theo run; không dùng biển số người thật.</x:v>
      </x:c>
    </x:row>
    <x:row r="13" ht="34" customHeight="1">
      <x:c r="A13" s="9" t="str">
        <x:v>P0 / P1</x:v>
      </x:c>
      <x:c r="B13" s="9" t="str">
        <x:v>Vị trí</x:v>
      </x:c>
      <x:c r="C13" s="9" t="str">
        <x:v>P0=(10.7769,106.7009), P1=(10.7869,106.7109); địa chỉ hiển thị thử nghiệm.</x:v>
      </x:c>
      <x:c r="D13" s="9" t="str">
        <x:v>Dữ liệu do bộ test đề xuất, không là vùng phục vụ đã duyệt. Dùng adapter test hoặc vùng đã chốt.</x:v>
      </x:c>
    </x:row>
    <x:row r="14" ht="34" customHeight="1">
      <x:c r="A14" s="10" t="str">
        <x:v>D_NEAR1/2, D_FAR</x:v>
      </x:c>
      <x:c r="B14" s="10" t="str">
        <x:v>Nearby</x:v>
      </x:c>
      <x:c r="C14" s="10" t="str">
        <x:v>Ít nhất 5 Driver: hai đủ điều kiện trong 1km, một ngoài 1km, một OFFLINE, một GPS cũ/chưa duyệt.</x:v>
      </x:c>
      <x:c r="D14" s="10" t="str">
        <x:v>Tính khoảng cách theo thuật toán đã chọn; thêm fixture đúng 1km/ngoài biên với sai số oracle đã duyệt.</x:v>
      </x:c>
    </x:row>
    <x:row r="15" ht="34" customHeight="1">
      <x:c r="A15" s="9" t="str">
        <x:v>B_PENDING / B_ASSIGNED / B_NO_DRIVER</x:v>
      </x:c>
      <x:c r="B15" s="9" t="str">
        <x:v>Booking</x:v>
      </x:c>
      <x:c r="C15" s="9" t="str">
        <x:v>Booking các trạng thái PENDING, DRIVER_ASSIGNED và NO_DRIVER_FOUND; C_A có ≥5 bản ghi.</x:v>
      </x:c>
      <x:c r="D15" s="9" t="str">
        <x:v>Trạng thái tạo qua flow hoặc seed hợp lệ; không coi Booking đã phân công là Trip còn hoạt động.</x:v>
      </x:c>
    </x:row>
    <x:row r="16" ht="34" customHeight="1">
      <x:c r="A16" s="10" t="str">
        <x:v>T_ASSIGNED/ARRIVED/PICKED_UP/PROGRESS</x:v>
      </x:c>
      <x:c r="B16" s="10" t="str">
        <x:v>Trip</x:v>
      </x:c>
      <x:c r="C16" s="10" t="str">
        <x:v>Các Trip độc lập ở DRIVER_ASSIGNED/ARRIVED_PICKUP/PICKED_UP/IN_PROGRESS.</x:v>
      </x:c>
      <x:c r="D16" s="10" t="str">
        <x:v>Mỗi Trip dùng Customer/Driver/Vehicle riêng nếu đang hoạt động để không vi phạm guard.</x:v>
      </x:c>
    </x:row>
    <x:row r="17" ht="34" customHeight="1">
      <x:c r="A17" s="9" t="str">
        <x:v>T_ERROR / T_DONE / T_CANCELLED</x:v>
      </x:c>
      <x:c r="B17" s="9" t="str">
        <x:v>Trip</x:v>
      </x:c>
      <x:c r="C17" s="9" t="str">
        <x:v>ERROR chưa đóng; COMPLETED; CANCELLED; thêm ERROR đã closedAt.</x:v>
      </x:c>
      <x:c r="D17" s="9" t="str">
        <x:v>Đọc version trước lệnh mới. Incident OPEN và statusBeforeError nhất quán.</x:v>
      </x:c>
    </x:row>
    <x:row r="18" ht="34" customHeight="1">
      <x:c r="A18" s="10" t="str">
        <x:v>P_V1 / P_V2</x:v>
      </x:c>
      <x:c r="B18" s="10" t="str">
        <x:v>Giá</x:v>
      </x:c>
      <x:c r="C18" s="10" t="str">
        <x:v>P_V1: base 10000 VND, pricePerKm 8000, pricePerMinute 1000. P_V2 dùng giá khác, hiệu lực sau.</x:v>
      </x:c>
      <x:c r="D18" s="10" t="str">
        <x:v>Giá mẫu test, không là chính sách giá thật; seed bằng API/fixture có audit.</x:v>
      </x:c>
    </x:row>
    <x:row r="19" ht="34" customHeight="1">
      <x:c r="A19" s="9" t="str">
        <x:v>METRIC_CONFIRMED</x:v>
      </x:c>
      <x:c r="B19" s="9" t="str">
        <x:v>Metrics</x:v>
      </x:c>
      <x:c r="C19" s="9" t="str">
        <x:v>1.25 km; 2.5 phút; CONFIRMED; version=1; Fare kỳ vọng 22500 VND với P_V1.</x:v>
      </x:c>
      <x:c r="D19" s="9" t="str">
        <x:v>Fixture chỉ kiểm integration/công thức, không chứng minh thuật toán GPS D03.</x:v>
      </x:c>
    </x:row>
    <x:row r="20" ht="34" customHeight="1">
      <x:c r="A20" s="10" t="str">
        <x:v>PAYMENT_*</x:v>
      </x:c>
      <x:c r="B20" s="10" t="str">
        <x:v>Thanh toán</x:v>
      </x:c>
      <x:c r="C20" s="10" t="str">
        <x:v>Các Payment độc lập CASH PENDING, online PROCESSING/UNKNOWN/FAILED/SUCCESS và requiresReview=true.</x:v>
      </x:c>
      <x:c r="D20" s="10" t="str">
        <x:v>Provider sandbox riêng; không dùng tài khoản/tiền thật. FAILED phải có bằng chứng cuối.</x:v>
      </x:c>
    </x:row>
    <x:row r="21" ht="34" customHeight="1">
      <x:c r="A21" s="9" t="str">
        <x:v>N_SENT/PENDING/FAILED</x:v>
      </x:c>
      <x:c r="B21" s="9" t="str">
        <x:v>Thông báo</x:v>
      </x:c>
      <x:c r="C21" s="9" t="str">
        <x:v>Notification của C_A/C_B ở từng deliveryStatus; isRead false/true.</x:v>
      </x:c>
      <x:c r="D21" s="9" t="str">
        <x:v>Giữ eventId/recipient/channel unique; thông báo công khai chỉ SENT.</x:v>
      </x:c>
    </x:row>
    <x:row r="22" ht="34" customHeight="1">
      <x:c r="A22" s="10" t="str">
        <x:v>KEY / PROOF / VERSION</x:v>
      </x:c>
      <x:c r="B22" s="10" t="str">
        <x:v>Request</x:v>
      </x:c>
      <x:c r="C22" s="10" t="str">
        <x:v>KEY là UUID mới cho ý định mới, giữ khi retry; recovery token 32 byte CSPRNG base64url; version lấy GET.</x:v>
      </x:c>
      <x:c r="D22" s="10" t="str">
        <x:v>Không lưu token/OTP/password thật vào workbook. Chỉ ghi ID chứng cứ đã che bí mật.</x:v>
      </x:c>
    </x:row>
    <x:row r="23" ht="34" customHeight="1">
      <x:c r="A23" s="9" t="str">
        <x:v>FAULT</x:v>
      </x:c>
      <x:c r="B23" s="9" t="str">
        <x:v>Phục hồi</x:v>
      </x:c>
      <x:c r="C23" s="9" t="str">
        <x:v>Proxy/test hook chặn response ngay sau commit; barrier đồng thời; quyền restart đúng project.</x:v>
      </x:c>
      <x:c r="D23" s="9" t="str">
        <x:v>Chỉ ngắt CAB test; cleanup bỏ hook/khôi phục dependency; không prune toàn hệ thống.</x:v>
      </x:c>
    </x:row>
    <x:row r="24" ht="34" customHeight="1">
      <x:c r="A24" s="10" t="str">
        <x:v>PERF</x:v>
      </x:c>
      <x:c r="B24" s="10" t="str">
        <x:v>Tải</x:v>
      </x:c>
      <x:c r="C24" s="10" t="str">
        <x:v>50 users/10000 trips/10 phút; kịch bản limiter &gt;1000 req/s; request dữ liệu hợp lệ.</x:v>
      </x:c>
      <x:c r="D24" s="10" t="str">
        <x:v>Phải chốt cấu hình và ghi offered/achieved load; không coi mục tiêu là kết quả thực đo.</x:v>
      </x:c>
    </x:row>
  </x:sheetData>
  <x:pageMargins left="0.7" right="0.7" top="0.75" bottom="0.75" header="0.3" footer="0.3"/>
  <x:tableParts count="1">
    <x:tablePart xmlns:r="http://schemas.openxmlformats.org/officeDocument/2006/relationships" r:id="R1a53970597484b43"/>
  </x:tableParts>
</x:worksheet>
</file>

<file path=xl/worksheets/sheet8.xml><?xml version="1.0" encoding="utf-8"?>
<x:worksheet xmlns:x="http://schemas.openxmlformats.org/spreadsheetml/2006/main">
  <x:sheetPr>
    <x:tabColor rgb="FF8995A6"/>
  </x:sheetPr>
  <x:sheetViews>
    <x:sheetView showGridLines="0" workbookViewId="0">
      <x:pane ySplit="6" topLeftCell="A7" activePane="bottomLeft" state="frozen"/>
    </x:sheetView>
  </x:sheetViews>
  <x:sheetFormatPr defaultRowHeight="15"/>
  <x:cols>
    <x:col min="1" max="1" width="31" hidden="0" customWidth="1"/>
    <x:col min="2" max="2" width="130" hidden="0" customWidth="1"/>
    <x:col min="3" max="3" width="25" hidden="0" customWidth="1"/>
    <x:col min="4" max="4" width="105" hidden="0" customWidth="1"/>
  </x:cols>
  <x:sheetData>
    <x:row r="2">
      <x:c r="A2" s="1" t="str">
        <x:v>Hướng dẫn sử dụng và nguồn tài liệu</x:v>
      </x:c>
    </x:row>
    <x:row r="6" ht="32" customHeight="1">
      <x:c r="A6" s="8" t="str">
        <x:v>Mục / nguồn</x:v>
      </x:c>
      <x:c r="B6" s="8" t="str">
        <x:v>Hướng dẫn / đường dẫn</x:v>
      </x:c>
      <x:c r="C6" s="8" t="str">
        <x:v>Phiên bản</x:v>
      </x:c>
      <x:c r="D6" s="8" t="str">
        <x:v>URL / ghi chú</x:v>
      </x:c>
    </x:row>
    <x:row r="7" ht="38" customHeight="1">
      <x:c r="A7" s="9" t="str">
        <x:v>Phạm vi</x:v>
      </x:c>
      <x:c r="B7" s="9" t="str">
        <x:v>Bộ test được xây mới từ SRS/MSD 1.3 và tám YAML API 1.3.0 tại commit được ghi bên dưới. Không đọc hoặc kế thừa ID/kết quả từ CAB_Test_Cases_ver_1.xlsx.</x:v>
      </x:c>
      <x:c r="C7" s="9" t="str"/>
      <x:c r="D7" s="9" t="str"/>
    </x:row>
    <x:row r="8" ht="34" customHeight="1">
      <x:c r="A8" s="10" t="str">
        <x:v>Mã test</x:v>
      </x:c>
      <x:c r="B8" s="10" t="str">
        <x:v>TC13-&lt;NHÓM&gt;-&lt;SỐ&gt;. Đây là namespace mới, không phải khẳng định giữ ID workbook cũ. Khi chỉnh ca giữ ID; ca ngừng dùng nên lưu truy vết.</x:v>
      </x:c>
      <x:c r="C8" s="10" t="str"/>
      <x:c r="D8" s="10" t="str"/>
    </x:row>
    <x:row r="9" ht="34" customHeight="1">
      <x:c r="A9" s="9" t="str">
        <x:v>DEFINED</x:v>
      </x:c>
      <x:c r="B9" s="9" t="str">
        <x:v>Ca đủ mô tả để thiết kế/thực thi sau khi baseline được xác nhận; không đồng nghĩa backend đã có, API đã duyệt hoặc ca đã PASS.</x:v>
      </x:c>
      <x:c r="C9" s="9" t="str"/>
      <x:c r="D9" s="9" t="str"/>
    </x:row>
    <x:row r="10" ht="38" customHeight="1">
      <x:c r="A10" s="10" t="str">
        <x:v>NEEDS_DECISION</x:v>
      </x:c>
      <x:c r="B10" s="10" t="str">
        <x:v>Chưa chốt provider/thuật toán/hợp đồng hoặc có mâu thuẫn. Cột Quyết định mở liên kết sheet Quyet_dinh. Chỉ chạy phần độc lập/mock có nhãn; chưa nghiệm thu phần đang mở.</x:v>
      </x:c>
      <x:c r="C10" s="10" t="str"/>
      <x:c r="D10" s="10" t="str"/>
    </x:row>
    <x:row r="11" ht="34" customHeight="1">
      <x:c r="A11" s="9" t="str">
        <x:v>OUT_OF_SCOPE</x:v>
      </x:c>
      <x:c r="B11" s="9" t="str">
        <x:v>Không tính vào phạm vi thực thi/đạt MVP. API báo cáo giữ ở danh mục để truy vết, không tự mở route.</x:v>
      </x:c>
      <x:c r="C11" s="9" t="str"/>
      <x:c r="D11" s="9" t="str"/>
    </x:row>
    <x:row r="12" ht="38" customHeight="1">
      <x:c r="A12" s="10" t="str">
        <x:v>Execution Status</x:v>
      </x:c>
      <x:c r="B12" s="10" t="str">
        <x:v>NOT_RUN chưa chạy; PASS đủ các expected và evidence; FAIL sai expected; BLOCKED không thể chạy do môi trường/tiền điều kiện; SKIPPED bỏ qua có lý do. NEEDS_DECISION là trạng thái thiết kế riêng.</x:v>
      </x:c>
      <x:c r="C12" s="10" t="str"/>
      <x:c r="D12" s="10" t="str"/>
    </x:row>
    <x:row r="13" ht="38" customHeight="1">
      <x:c r="A13" s="9" t="str">
        <x:v>Nhập kết quả</x:v>
      </x:c>
      <x:c r="B13" s="9" t="str">
        <x:v>Trong Test_Cases, cập nhật F (Thực thi) và S:W (thực tế, link evidence, defect, người chạy, ngày). Ô vàng nhạt là trường nhập. PASS/FAIL thiếu evidence/người/ngày được cảnh báo.</x:v>
      </x:c>
      <x:c r="C13" s="9" t="str"/>
      <x:c r="D13" s="9" t="str"/>
    </x:row>
    <x:row r="14" ht="34" customHeight="1">
      <x:c r="A14" s="10" t="str">
        <x:v>P0 / P1 / P2</x:v>
      </x:c>
      <x:c r="B14" s="10" t="str">
        <x:v>Ưu tiên đề xuất: P0 bảo vệ tiền/tài nguyên/quyền và phục hồi; P1 nghiệp vụ/contract; P2 ngoài MVP. Đây không phải điểm chấm rubric.</x:v>
      </x:c>
      <x:c r="C14" s="10" t="str"/>
      <x:c r="D14" s="10" t="str"/>
    </x:row>
    <x:row r="15" ht="38" customHeight="1">
      <x:c r="A15" s="9" t="str">
        <x:v>Trình tự chạy</x:v>
      </x:c>
      <x:c r="B15" s="9" t="str">
        <x:v>Chuẩn bị BASE và ghi build/env; chạy INFRA/AUTH/OTP/FLEET; BOOK/DISP/TRIP; PAY/NOTI/RATE; E2E; SAGA/SEC/PERF. Reset bằng seed riêng cho từng ca, không phụ thuộc thứ tự ẩn.</x:v>
      </x:c>
      <x:c r="C15" s="9" t="str"/>
      <x:c r="D15" s="9" t="str"/>
    </x:row>
    <x:row r="16" ht="38" customHeight="1">
      <x:c r="A16" s="10" t="str">
        <x:v>Ca nhiều biến thể</x:v>
      </x:c>
      <x:c r="B16" s="10" t="str">
        <x:v>Nếu một ca có các giá trị biên hoặc fault points, phải chạy đủ từng biến thể và đính kèm bảng kết quả con. Chỉ PASS khi tất cả biến thể đạt; không đánh PASS từ một mẫu.</x:v>
      </x:c>
      <x:c r="C16" s="10" t="str"/>
      <x:c r="D16" s="10" t="str"/>
    </x:row>
    <x:row r="17" ht="38" customHeight="1">
      <x:c r="A17" s="9" t="str">
        <x:v>HTTP và response</x:v>
      </x:c>
      <x:c r="B17" s="9" t="str">
        <x:v>Dùng /v1 cho nghiệp vụ và gốc cho health. Mã lỗi chi tiết không được nguồn chốt thì không tự đặt. Đối chiếu required/type/enum/oneOf, headers và quyền với YAML được viện dẫn.</x:v>
      </x:c>
      <x:c r="C17" s="9" t="str"/>
      <x:c r="D17" s="9" t="str"/>
    </x:row>
    <x:row r="18" ht="38" customHeight="1">
      <x:c r="A18" s="10" t="str">
        <x:v>202 và tiến trình</x:v>
      </x:c>
      <x:c r="B18" s="10" t="str">
        <x:v>202 chỉ xác nhận tiếp nhận/tiến trình theo từng API. OTP không có operation tra cứu trong hợp đồng này; Payment theo GET Payment/attempt; registration/Booking/accept dùng endpoint operation được định nghĩa.</x:v>
      </x:c>
      <x:c r="C18" s="10" t="str"/>
      <x:c r="D18" s="10" t="str"/>
    </x:row>
    <x:row r="19" ht="38" customHeight="1">
      <x:c r="A19" s="9" t="str">
        <x:v>Version và idempotency</x:v>
      </x:c>
      <x:c r="B19" s="9" t="str">
        <x:v>Với request mới lấy version mới và key mới. Replay dùng nguyên key/body; kiểm tra quyền hiện tại trước replay. Key mới không được vượt unique constraint nghiệp vụ. Không gọi chấp nhận lại là một chuyến mới.</x:v>
      </x:c>
      <x:c r="C19" s="9" t="str"/>
      <x:c r="D19" s="9" t="str"/>
    </x:row>
    <x:row r="20" ht="38" customHeight="1">
      <x:c r="A20" s="10" t="str">
        <x:v>Proof đăng ký</x:v>
      </x:c>
      <x:c r="B20" s="10" t="str">
        <x:v>Customer dùng Registration-Recovery-Token tạo trước POST; Driver dùng verification token + Idempotency-Key theo API07. Token không lưu trong evidence công khai hoặc workbook.</x:v>
      </x:c>
      <x:c r="C20" s="10" t="str"/>
      <x:c r="D20" s="10" t="str"/>
    </x:row>
    <x:row r="21" ht="38" customHeight="1">
      <x:c r="A21" s="9" t="str">
        <x:v>Mock và tích hợp thật</x:v>
      </x:c>
      <x:c r="B21" s="9" t="str">
        <x:v>Có thể dùng mock để kiểm logic nội bộ nhưng ghi rõ. SMS/provider sandbox và thuật toán metrics cần bằng chứng riêng; mock không chứng minh tích hợp/thuật toán thật.</x:v>
      </x:c>
      <x:c r="C21" s="9" t="str"/>
      <x:c r="D21" s="9" t="str"/>
    </x:row>
    <x:row r="22" ht="38" customHeight="1">
      <x:c r="A22" s="10" t="str">
        <x:v>Bằng chứng</x:v>
      </x:c>
      <x:c r="B22" s="10" t="str">
        <x:v>Ghi request/response đã che token, timestamps, correlationId, entity IDs, DB trước/sau tại owner, trace IPC, broker/inbox/outbox và provider references khi cần. Không ghi secret hoặc dữ liệu thật.</x:v>
      </x:c>
      <x:c r="C22" s="10" t="str"/>
      <x:c r="D22" s="10" t="str"/>
    </x:row>
    <x:row r="23" ht="38" customHeight="1">
      <x:c r="A23" s="9" t="str">
        <x:v>Lỗi và đồng thời</x:v>
      </x:c>
      <x:c r="B23" s="9" t="str">
        <x:v>Barrier tạo race; ngắt ngay trước/sau commit xác định; kiểm bất biến sau phục hồi. Dừng đúng Compose project CAB. Không prune toàn hệ thống hay xóa volume để làm ca qua.</x:v>
      </x:c>
      <x:c r="C23" s="9" t="str"/>
      <x:c r="D23" s="9" t="str"/>
    </x:row>
    <x:row r="24" ht="38" customHeight="1">
      <x:c r="A24" s="10" t="str">
        <x:v>Thống kê</x:v>
      </x:c>
      <x:c r="B24" s="10" t="str">
        <x:v>Tổng ca gồm ngoài MVP; cột trạng thái chạy và tỷ lệ PASS ở Tong_quan loại OUT_OF_SCOPE. Tỷ lệ PASS = PASS/(PASS+FAIL), chưa có kết quả thì Chưa chạy. BLOCKED/SKIPPED không tính là PASS.</x:v>
      </x:c>
      <x:c r="C24" s="10" t="str"/>
      <x:c r="D24" s="10" t="str"/>
    </x:row>
    <x:row r="25" ht="38" customHeight="1">
      <x:c r="A25" s="9" t="str">
        <x:v>Truy vết</x:v>
      </x:c>
      <x:c r="B25" s="9" t="str">
        <x:v>Truy_vet_YC ánh xạ nhóm FR/NFR/AC và ca liên quan. UC đi cùng ca. Số liên kết không khẳng định exhaustive coverage; Truy_vet_API có một contract case cho từng method/path MVP. Rubric tổng hợp từ SRS, chưa xác minh phiếu gốc.</x:v>
      </x:c>
      <x:c r="C25" s="9" t="str"/>
      <x:c r="D25" s="9" t="str"/>
    </x:row>
    <x:row r="26" ht="38" customHeight="1">
      <x:c r="A26" s="10" t="str">
        <x:v>Cập nhật phạm vi</x:v>
      </x:c>
      <x:c r="B26" s="10" t="str">
        <x:v>Thêm ca trong Excel Table Cases, đồng thời mở rộng phạm vi công thức các sheet tổng hợp và cập nhật ma trận ID. Không giả định phạm vi công thức tự mở rộng qua bảng truy vết cố định.</x:v>
      </x:c>
      <x:c r="C26" s="10" t="str"/>
      <x:c r="D26" s="10" t="str"/>
    </x:row>
    <x:row r="27" ht="38" customHeight="1">
      <x:c r="A27" s="9" t="str">
        <x:v>Điều kiện nghiệm thu</x:v>
      </x:c>
      <x:c r="B27" s="9" t="str">
        <x:v>Baseline/API và quyết định phụ thuộc đã duyệt; các ca áp dụng có kết quả/evidence; lỗi được xử lý theo mức chấp nhận của dự án; đủ minh chứng 30 tiêu chí. Không tự đánh Đạt chỉ từ số ca hoặc số PASS.</x:v>
      </x:c>
      <x:c r="C27" s="9" t="str"/>
      <x:c r="D27" s="9" t="str"/>
    </x:row>
    <x:row r="28" ht="34" customHeight="1">
      <x:c r="A28" s="10" t="str">
        <x:v>Commit nguồn</x:v>
      </x:c>
      <x:c r="B28" s="10" t="str">
        <x:v>1938d4f41e75f99552ae2a0f38578a16563989ed</x:v>
      </x:c>
      <x:c r="C28" s="10" t="str">
        <x:v>Ngày đọc</x:v>
      </x:c>
      <x:c r="D28" s="10" t="str">
        <x:v>01/10/2026</x:v>
      </x:c>
    </x:row>
    <x:row r="29" ht="38" customHeight="1">
      <x:c r="A29" s="9" t="str">
        <x:v>SRS</x:v>
      </x:c>
      <x:c r="B29" s="9" t="str">
        <x:v>srs.md</x:v>
      </x:c>
      <x:c r="C29" s="9" t="str">
        <x:v>1.3</x:v>
      </x:c>
      <x:c r="D29" s="9" t="str">
        <x:v>https://github.com/NguyenDaiLong19HTTT/23722251_NguyenDaiLong_CabSystems/blob/1938d4f41e75f99552ae2a0f38578a16563989ed/srs.md</x:v>
      </x:c>
    </x:row>
    <x:row r="30" ht="38" customHeight="1">
      <x:c r="A30" s="10" t="str">
        <x:v>MSD</x:v>
      </x:c>
      <x:c r="B30" s="10" t="str">
        <x:v>Micro_Service_Design.md</x:v>
      </x:c>
      <x:c r="C30" s="10" t="str">
        <x:v>1.3</x:v>
      </x:c>
      <x:c r="D30" s="10" t="str">
        <x:v>https://github.com/NguyenDaiLong19HTTT/23722251_NguyenDaiLong_CabSystems/blob/1938d4f41e75f99552ae2a0f38578a16563989ed/Micro_Service_Design.md</x:v>
      </x:c>
    </x:row>
    <x:row r="31" ht="38" customHeight="1">
      <x:c r="A31" s="9" t="str">
        <x:v>API01</x:v>
      </x:c>
      <x:c r="B31" s="9" t="str">
        <x:v>API-Document/01-auth-customer-api.yaml</x:v>
      </x:c>
      <x:c r="C31" s="9" t="str">
        <x:v>1.3.0</x:v>
      </x:c>
      <x:c r="D31" s="9" t="str">
        <x:v>https://github.com/NguyenDaiLong19HTTT/23722251_NguyenDaiLong_CabSystems/blob/1938d4f41e75f99552ae2a0f38578a16563989ed/API-Document/01-auth-customer-api.yaml</x:v>
      </x:c>
    </x:row>
    <x:row r="32" ht="38" customHeight="1">
      <x:c r="A32" s="10" t="str">
        <x:v>API02</x:v>
      </x:c>
      <x:c r="B32" s="10" t="str">
        <x:v>API-Document/02-booking-api.yaml</x:v>
      </x:c>
      <x:c r="C32" s="10" t="str">
        <x:v>1.3.0</x:v>
      </x:c>
      <x:c r="D32" s="10" t="str">
        <x:v>https://github.com/NguyenDaiLong19HTTT/23722251_NguyenDaiLong_CabSystems/blob/1938d4f41e75f99552ae2a0f38578a16563989ed/API-Document/02-booking-api.yaml</x:v>
      </x:c>
    </x:row>
    <x:row r="33" ht="38" customHeight="1">
      <x:c r="A33" s="9" t="str">
        <x:v>API03</x:v>
      </x:c>
      <x:c r="B33" s="9" t="str">
        <x:v>API-Document/03-dispatch driver-api.yaml</x:v>
      </x:c>
      <x:c r="C33" s="9" t="str">
        <x:v>1.3.0</x:v>
      </x:c>
      <x:c r="D33" s="9" t="str">
        <x:v>https://github.com/NguyenDaiLong19HTTT/23722251_NguyenDaiLong_CabSystems/blob/1938d4f41e75f99552ae2a0f38578a16563989ed/API-Document/03-dispatch%20driver-api.yaml</x:v>
      </x:c>
    </x:row>
    <x:row r="34" ht="38" customHeight="1">
      <x:c r="A34" s="10" t="str">
        <x:v>API04</x:v>
      </x:c>
      <x:c r="B34" s="10" t="str">
        <x:v>API-Document/04-trip-api.yaml</x:v>
      </x:c>
      <x:c r="C34" s="10" t="str">
        <x:v>1.3.0</x:v>
      </x:c>
      <x:c r="D34" s="10" t="str">
        <x:v>https://github.com/NguyenDaiLong19HTTT/23722251_NguyenDaiLong_CabSystems/blob/1938d4f41e75f99552ae2a0f38578a16563989ed/API-Document/04-trip-api.yaml</x:v>
      </x:c>
    </x:row>
    <x:row r="35" ht="38" customHeight="1">
      <x:c r="A35" s="9" t="str">
        <x:v>API05</x:v>
      </x:c>
      <x:c r="B35" s="9" t="str">
        <x:v>API-Document/05-payment-api.yaml</x:v>
      </x:c>
      <x:c r="C35" s="9" t="str">
        <x:v>1.3.0</x:v>
      </x:c>
      <x:c r="D35" s="9" t="str">
        <x:v>https://github.com/NguyenDaiLong19HTTT/23722251_NguyenDaiLong_CabSystems/blob/1938d4f41e75f99552ae2a0f38578a16563989ed/API-Document/05-payment-api.yaml</x:v>
      </x:c>
    </x:row>
    <x:row r="36" ht="38" customHeight="1">
      <x:c r="A36" s="10" t="str">
        <x:v>API06</x:v>
      </x:c>
      <x:c r="B36" s="10" t="str">
        <x:v>API-Document/06-notification-api.yaml</x:v>
      </x:c>
      <x:c r="C36" s="10" t="str">
        <x:v>1.3.0</x:v>
      </x:c>
      <x:c r="D36" s="10" t="str">
        <x:v>https://github.com/NguyenDaiLong19HTTT/23722251_NguyenDaiLong_CabSystems/blob/1938d4f41e75f99552ae2a0f38578a16563989ed/API-Document/06-notification-api.yaml</x:v>
      </x:c>
    </x:row>
    <x:row r="37" ht="38" customHeight="1">
      <x:c r="A37" s="9" t="str">
        <x:v>API07</x:v>
      </x:c>
      <x:c r="B37" s="9" t="str">
        <x:v>API-Document/07-operations-api.yaml</x:v>
      </x:c>
      <x:c r="C37" s="9" t="str">
        <x:v>1.3.0</x:v>
      </x:c>
      <x:c r="D37" s="9" t="str">
        <x:v>https://github.com/NguyenDaiLong19HTTT/23722251_NguyenDaiLong_CabSystems/blob/1938d4f41e75f99552ae2a0f38578a16563989ed/API-Document/07-operations-api.yaml</x:v>
      </x:c>
    </x:row>
    <x:row r="38" ht="38" customHeight="1">
      <x:c r="A38" s="10" t="str">
        <x:v>API08</x:v>
      </x:c>
      <x:c r="B38" s="10" t="str">
        <x:v>API-Document/08-rating-api.yaml</x:v>
      </x:c>
      <x:c r="C38" s="10" t="str">
        <x:v>1.3.0</x:v>
      </x:c>
      <x:c r="D38" s="10" t="str">
        <x:v>https://github.com/NguyenDaiLong19HTTT/23722251_NguyenDaiLong_CabSystems/blob/1938d4f41e75f99552ae2a0f38578a16563989ed/API-Document/08-rating-api.yaml</x:v>
      </x:c>
    </x:row>
  </x:sheetData>
  <x:pageMargins left="0.7" right="0.7" top="0.75" bottom="0.75" header="0.3" footer="0.3"/>
  <x:tableParts count="1">
    <x:tablePart xmlns:r="http://schemas.openxmlformats.org/officeDocument/2006/relationships" r:id="Rbc93a85813ab4248"/>
  </x:tableParts>
</x:worksheet>
</file>